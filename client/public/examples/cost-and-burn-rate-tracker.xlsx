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ates" sheetId="2" state="visible" r:id="rId4"/>
    <sheet name="FundingMods" sheetId="3" state="visible" r:id="rId5"/>
    <sheet name="Dashboard" sheetId="4" state="visible" r:id="rId6"/>
    <sheet name="Personnel" sheetId="5" state="visible" r:id="rId7"/>
    <sheet name="Labor" sheetId="6" state="visible" r:id="rId8"/>
    <sheet name="ODCs" sheetId="7" state="visible" r:id="rId9"/>
    <sheet name="Trave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<sst xmlns="http://schemas.openxmlformats.org/spreadsheetml/2006/main" count="306" uniqueCount="227">
  <si>
    <t xml:space="preserve">Acqlerate</t>
  </si>
  <si>
    <t xml:space="preserve">DoD Acquisition Training  ·  acqlerate.com</t>
  </si>
  <si>
    <t xml:space="preserve">Cost &amp; Burn Rate Tracker — How to Use This</t>
  </si>
  <si>
    <t xml:space="preserve">What this is:</t>
  </si>
  <si>
    <t xml:space="preserve">A working cost model for a contractor PM: enter your negotiated rates once, log labor, ODCs, and</t>
  </si>
  <si>
    <t xml:space="preserve">travel as they happen, and the Dashboard tab builds up your fully burdened cost, applies G&amp;A and fee,</t>
  </si>
  <si>
    <t xml:space="preserve">and tracks it against your funded ceiling month by month — the same buildup your finance team runs,</t>
  </si>
  <si>
    <t xml:space="preserve">just visible to you instead of buried in a system you don't have access to.</t>
  </si>
  <si>
    <t xml:space="preserve">Tab order — fill these in first, in this order:</t>
  </si>
  <si>
    <t xml:space="preserve">1. Rates — your negotiated Fringe, Overhead, G&amp;A, and Fee rates. Everything else depends on these.</t>
  </si>
  <si>
    <t xml:space="preserve">2. FundingMods — log your original award and every funding modification since, split across</t>
  </si>
  <si>
    <t xml:space="preserve">   Labor / Travel / ODC CLINs (leave a CLIN blank if a mod doesn't touch it). Tag a Project if</t>
  </si>
  <si>
    <t xml:space="preserve">   you run more than one under this contract — leave it blank if you don't. Your current TOA is</t>
  </si>
  <si>
    <t xml:space="preserve">   NOT a single static number, it's the running total of this log, same as on a real contract. The</t>
  </si>
  <si>
    <t xml:space="preserve">   CLIN Funding Status table at the bottom shows spend against each CLIN's ceiling separately —</t>
  </si>
  <si>
    <t xml:space="preserve">   a CLIN can run out even when the contract overall still has funding left.</t>
  </si>
  <si>
    <t xml:space="preserve">3. Dashboard — enter Program Name, Contract #, and Period of Performance dates near the top.</t>
  </si>
  <si>
    <t xml:space="preserve">4. Personnel — one row per person on the program: Employee #, name, LCAT, Exempt or Non-Exempt,</t>
  </si>
  <si>
    <t xml:space="preserve">   salary (exempt) or hourly rate (non-exempt), standard annual hours (2080 is the usual default),</t>
  </si>
  <si>
    <t xml:space="preserve">   start/end date, and PTO accrual/balance. This is the roster the Labor tab looks people up</t>
  </si>
  <si>
    <t xml:space="preserve">   from — set it up before you touch Labor.</t>
  </si>
  <si>
    <t xml:space="preserve">Then, log costs as they happen:</t>
  </si>
  <si>
    <t xml:space="preserve">5. Labor — one row per person, Jan-Dec across the sheet. Type the Employee #; name, LCAT, and</t>
  </si>
  <si>
    <t xml:space="preserve">   hourly rate fill in automatically from Personnel. Also enter Prime or Sub for each person. For</t>
  </si>
  <si>
    <t xml:space="preserve">   each month you only type Recorded Hours and (Non-Exempt only) OT Hours — Max Hours prorates</t>
  </si>
  <si>
    <t xml:space="preserve">   that person's standard capacity automatically (full for a normal month, partial if they</t>
  </si>
  <si>
    <t xml:space="preserve">   started or left mid-month), and Unburdened Cost $ calculates from hours x rate. OT pays at 1.5x</t>
  </si>
  <si>
    <t xml:space="preserve">   and is grayed out and ignored for Exempt rows — they don't earn it. The Monthly Rollup at the</t>
  </si>
  <si>
    <t xml:space="preserve">   bottom totals everyone's Unburdened $ per month and applies Fringe and OH once, there — that's</t>
  </si>
  <si>
    <t xml:space="preserve">   what feeds the Dashboard. The four Yearly columns on the right show capacity vs. actual, both</t>
  </si>
  <si>
    <t xml:space="preserve">   in hours and in unburdened dollars, per person.</t>
  </si>
  <si>
    <t xml:space="preserve">6. ODCs — log each purchase as a line item (date, category, description, month #, amount). The</t>
  </si>
  <si>
    <t xml:space="preserve">   Monthly Rollup section at the bottom totals them automatically by month.</t>
  </si>
  <si>
    <t xml:space="preserve">7. Travel — same idea as ODCs: log each trip/expense as a line item, it rolls up by month.</t>
  </si>
  <si>
    <t xml:space="preserve">The Dashboard tab does the rest automatically:</t>
  </si>
  <si>
    <t xml:space="preserve">Labor + ODCs + Travel → Subtotal → + G&amp;A → Total Cost → + Fee → Total Billed for the month. That</t>
  </si>
  <si>
    <t xml:space="preserve">rolls into cumulative spend, variance against your straight-line plan, a 3-month rolling burn rate,</t>
  </si>
  <si>
    <t xml:space="preserve">a projected fund-exhaustion date, and a plain-language status flag.</t>
  </si>
  <si>
    <t xml:space="preserve">One thing to know about "Planned Cumulative $":</t>
  </si>
  <si>
    <t xml:space="preserve">It's a simple straight-line split of your TOA across the months in your period (TOA ÷ months). It</t>
  </si>
  <si>
    <t xml:space="preserve">does NOT itself apply your rates. So if your spend is more labor-heavy some months and more ODC/</t>
  </si>
  <si>
    <t xml:space="preserve">travel-heavy in others, or your burdened rate is high, your actual Total Billed will naturally run</t>
  </si>
  <si>
    <t xml:space="preserve">above or below that flat line even when you're executing exactly to your real program plan. Use the</t>
  </si>
  <si>
    <t xml:space="preserve">variance and burn rate as a trend to watch, not a hard pass/fail on any single month.</t>
  </si>
  <si>
    <t xml:space="preserve">Color legend:</t>
  </si>
  <si>
    <t xml:space="preserve">  Blue text   = your inputs. Edit these.</t>
  </si>
  <si>
    <t xml:space="preserve">  Green text  = formulas that pull from another tab.</t>
  </si>
  <si>
    <t xml:space="preserve">  Black text  = formulas within the same tab. Don't overwrite these.</t>
  </si>
  <si>
    <t xml:space="preserve">  Yellow fill = key assumptions that drive the whole workbook (rates, TOA inputs).</t>
  </si>
  <si>
    <t xml:space="preserve">A note on Max Hours and PTO:</t>
  </si>
  <si>
    <t xml:space="preserve">Max Hours is a simple day-in-month proration of a person's standard annual hours ÷ 12 — it's an</t>
  </si>
  <si>
    <t xml:space="preserve">approximation for spotting under/over-recorded time at a glance, not a payroll-grade calendar.</t>
  </si>
  <si>
    <t xml:space="preserve">PTO Accrued Since Start is accrual rate × calendar months elapsed since their start date; it</t>
  </si>
  <si>
    <t xml:space="preserve">doesn't model accrual caps, waiting periods, or your company's specific policy, and PTO Used to</t>
  </si>
  <si>
    <t xml:space="preserve">Date is a manual field you update from payroll/HR. Treat both as early-warning signals — your</t>
  </si>
  <si>
    <t xml:space="preserve">actual timekeeping and HR systems are always the system of record.</t>
  </si>
  <si>
    <t xml:space="preserve">This is a planning and early-warning tool, not your official cost report.</t>
  </si>
  <si>
    <t xml:space="preserve">It doesn't replace your contract's EVM reporting, your cost analyst's numbers, or a certified</t>
  </si>
  <si>
    <t xml:space="preserve">Incurred Cost Submission. Reconcile it against your actual accounting system — this is only as</t>
  </si>
  <si>
    <t xml:space="preserve">accurate as what you type in. And double-check your fee base and G&amp;A base against your own</t>
  </si>
  <si>
    <t xml:space="preserve">company's DCAA-approved rate structure — the defaults here are common conventions, not universal ones.</t>
  </si>
  <si>
    <t xml:space="preserve">Negotiated Rates</t>
  </si>
  <si>
    <t xml:space="preserve">Acqlerate  ·  acqlerate.com</t>
  </si>
  <si>
    <t xml:space="preserve">INDIRECT RATES</t>
  </si>
  <si>
    <t xml:space="preserve">Applied in sequence: Fringe -&gt; Overhead -&gt; G&amp;A. These drive every burdened cost figure on this sheet and on Labor.</t>
  </si>
  <si>
    <t xml:space="preserve">Fringe Rate (%)</t>
  </si>
  <si>
    <t xml:space="preserve">Applied to Direct Labor. Covers benefits (health, retirement, PTO).</t>
  </si>
  <si>
    <t xml:space="preserve">Overhead (OH) Rate (%)</t>
  </si>
  <si>
    <t xml:space="preserve">Applied to (Direct Labor + Fringe). Covers indirect labor, facilities, and fringe on indirect staff. Base varies by company — check your DCAA-approved rate agreement.</t>
  </si>
  <si>
    <t xml:space="preserve">G&amp;A Rate (%)</t>
  </si>
  <si>
    <t xml:space="preserve">Applied to Total Cost Input (fully burdened labor + ODCs + Travel). Covers company-wide G&amp;A: executive, finance, HR, business development.</t>
  </si>
  <si>
    <t xml:space="preserve">FEE STRUCTURE</t>
  </si>
  <si>
    <t xml:space="preserve">Pick Fixed or Award from the dropdown — the Applicable Fee Rate below switches automatically.</t>
  </si>
  <si>
    <t xml:space="preserve">Fee Type in Use</t>
  </si>
  <si>
    <t xml:space="preserve">Fixed</t>
  </si>
  <si>
    <t xml:space="preserve">Fixed = flat % of Total Cost (CPFF). Award = pool rate, actual earned fee depends on your award fee score.</t>
  </si>
  <si>
    <t xml:space="preserve">Fixed Fee Rate (%)</t>
  </si>
  <si>
    <t xml:space="preserve">Used if Fee Type = Fixed. A flat % of Total Cost that doesn't vary with performance.</t>
  </si>
  <si>
    <t xml:space="preserve">Target Award Fee Rate (%)</t>
  </si>
  <si>
    <t xml:space="preserve">Used if Fee Type = Award. This is the MAX pool rate (see the CPAF lesson). This tracker assumes 100% earned for planning; adjust down if you have a current-period score.</t>
  </si>
  <si>
    <t xml:space="preserve">Applicable Fee Rate</t>
  </si>
  <si>
    <t xml:space="preserve">This is what the Dashboard tab actually uses.</t>
  </si>
  <si>
    <t xml:space="preserve">Fee base note: this tracker applies fee to Total Cost (burdened labor + ODCs + Travel + G&amp;A). Some contracts exclude ODCs, travel, or facilities capital cost of money from the fee base — check your specific contract's fee clause (FAR 52.216 series) before relying on this for real billing.</t>
  </si>
  <si>
    <t xml:space="preserve">Funding Modification Log</t>
  </si>
  <si>
    <t xml:space="preserve">One row per modification. Split the mod's dollars across the CLIN(s) it actually funds — leave a CLIN blank if the mod doesn't touch it. Project is optional: tag it if you run more than one project/task order under this contract, leave blank for contract-wide.</t>
  </si>
  <si>
    <t xml:space="preserve">Mod #</t>
  </si>
  <si>
    <t xml:space="preserve">Date</t>
  </si>
  <si>
    <t xml:space="preserve">Description</t>
  </si>
  <si>
    <t xml:space="preserve">Project
(optional)</t>
  </si>
  <si>
    <t xml:space="preserve">Labor CLIN
$</t>
  </si>
  <si>
    <t xml:space="preserve">Travel CLIN
$</t>
  </si>
  <si>
    <t xml:space="preserve">ODC CLIN
$</t>
  </si>
  <si>
    <t xml:space="preserve">Mod Total
$</t>
  </si>
  <si>
    <t xml:space="preserve">Cum. Labor
TOA $</t>
  </si>
  <si>
    <t xml:space="preserve">Cum. Travel
TOA $</t>
  </si>
  <si>
    <t xml:space="preserve">Cum. ODC
TOA $</t>
  </si>
  <si>
    <t xml:space="preserve">Cum. Total
TOA $</t>
  </si>
  <si>
    <t xml:space="preserve">P00000 (Award)</t>
  </si>
  <si>
    <t xml:space="preserve">Original award — base period</t>
  </si>
  <si>
    <t xml:space="preserve">P00001</t>
  </si>
  <si>
    <t xml:space="preserve">Incremental funding — added scope</t>
  </si>
  <si>
    <t xml:space="preserve">CLIN Funding Status (auto)</t>
  </si>
  <si>
    <t xml:space="preserve">CLIN</t>
  </si>
  <si>
    <t xml:space="preserve">Cumulative
TOA $</t>
  </si>
  <si>
    <t xml:space="preserve">Spent to
Date $</t>
  </si>
  <si>
    <t xml:space="preserve">Remaining
$</t>
  </si>
  <si>
    <t xml:space="preserve">% Used</t>
  </si>
  <si>
    <t xml:space="preserve">Labor</t>
  </si>
  <si>
    <t xml:space="preserve">Travel</t>
  </si>
  <si>
    <t xml:space="preserve">ODC</t>
  </si>
  <si>
    <t xml:space="preserve">TOTAL</t>
  </si>
  <si>
    <t xml:space="preserve">Acqlerate  ·  DoD Acquisition Training  ·  acqlerate.com</t>
  </si>
  <si>
    <t xml:space="preserve">Cost &amp; Burn Rate Dashboard</t>
  </si>
  <si>
    <t xml:space="preserve">Program / Contract Name</t>
  </si>
  <si>
    <t xml:space="preserve">Example: Fleet Sustainment Support Services</t>
  </si>
  <si>
    <t xml:space="preserve">Contract / Task Order #</t>
  </si>
  <si>
    <t xml:space="preserve">N00019-25-F-0142</t>
  </si>
  <si>
    <t xml:space="preserve">Period of Performance — Start</t>
  </si>
  <si>
    <t xml:space="preserve">Period of Performance — End</t>
  </si>
  <si>
    <t xml:space="preserve">Months in Period</t>
  </si>
  <si>
    <t xml:space="preserve">Current TOA (from FundingMods tab)</t>
  </si>
  <si>
    <t xml:space="preserve">Straight-Line Monthly Plan</t>
  </si>
  <si>
    <t xml:space="preserve">SUMMARY</t>
  </si>
  <si>
    <t xml:space="preserve">Months of Actuals Entered</t>
  </si>
  <si>
    <t xml:space="preserve">Spent to Date</t>
  </si>
  <si>
    <t xml:space="preserve">Remaining Funds</t>
  </si>
  <si>
    <t xml:space="preserve">% of TOA Spent</t>
  </si>
  <si>
    <t xml:space="preserve">Current Monthly Burn Rate (3-mo avg)</t>
  </si>
  <si>
    <t xml:space="preserve">Projected Months to Exhaustion</t>
  </si>
  <si>
    <t xml:space="preserve">Status</t>
  </si>
  <si>
    <t xml:space="preserve">Month #</t>
  </si>
  <si>
    <t xml:space="preserve">Month</t>
  </si>
  <si>
    <t xml:space="preserve">Planned
Cumulative $</t>
  </si>
  <si>
    <t xml:space="preserve">Labor $</t>
  </si>
  <si>
    <t xml:space="preserve">ODCs $</t>
  </si>
  <si>
    <t xml:space="preserve">Travel $</t>
  </si>
  <si>
    <t xml:space="preserve">Subtotal
(L+O+T)</t>
  </si>
  <si>
    <t xml:space="preserve">G&amp;A $</t>
  </si>
  <si>
    <t xml:space="preserve">Total
Cost</t>
  </si>
  <si>
    <t xml:space="preserve">Fee $</t>
  </si>
  <si>
    <t xml:space="preserve">Total Billed
(This Month)</t>
  </si>
  <si>
    <t xml:space="preserve">Actual
Cumulative $</t>
  </si>
  <si>
    <t xml:space="preserve">Variance $</t>
  </si>
  <si>
    <t xml:space="preserve">Variance %</t>
  </si>
  <si>
    <t xml:space="preserve">Remaining
Funds $</t>
  </si>
  <si>
    <t xml:space="preserve">Personnel</t>
  </si>
  <si>
    <t xml:space="preserve">One row per person. Enter Employee Type as exactly "Exempt" (salaried) or "Non-Exempt" (hourly, OT-eligible).</t>
  </si>
  <si>
    <t xml:space="preserve">Employee #</t>
  </si>
  <si>
    <t xml:space="preserve">Employee Name</t>
  </si>
  <si>
    <t xml:space="preserve">LCAT</t>
  </si>
  <si>
    <t xml:space="preserve">Employee Type</t>
  </si>
  <si>
    <t xml:space="preserve">Annual Salary
(Exempt only)</t>
  </si>
  <si>
    <t xml:space="preserve">Direct Hourly Rate
(Non-Exempt only)</t>
  </si>
  <si>
    <t xml:space="preserve">Standard
Annual Hours</t>
  </si>
  <si>
    <t xml:space="preserve">Straight-Time
Rate $/hr</t>
  </si>
  <si>
    <t xml:space="preserve">OT Rate
$/hr (1.5x)</t>
  </si>
  <si>
    <t xml:space="preserve">Start Date</t>
  </si>
  <si>
    <t xml:space="preserve">End Date
(optional)</t>
  </si>
  <si>
    <t xml:space="preserve">PTO Accrual
(hrs/mo)</t>
  </si>
  <si>
    <t xml:space="preserve">PTO Beginning
Balance (hrs)</t>
  </si>
  <si>
    <t xml:space="preserve">PTO Accrued
Since Start</t>
  </si>
  <si>
    <t xml:space="preserve">PTO Used
to Date (hrs)</t>
  </si>
  <si>
    <t xml:space="preserve">PTO Balance
(hrs)</t>
  </si>
  <si>
    <t xml:space="preserve">John Smith</t>
  </si>
  <si>
    <t xml:space="preserve">Engineer 4</t>
  </si>
  <si>
    <t xml:space="preserve">Exempt</t>
  </si>
  <si>
    <t xml:space="preserve">Maria Alvarez</t>
  </si>
  <si>
    <t xml:space="preserve">Program Manager</t>
  </si>
  <si>
    <t xml:space="preserve">Dave Chen</t>
  </si>
  <si>
    <t xml:space="preserve">Admin Support</t>
  </si>
  <si>
    <t xml:space="preserve">Non-Exempt</t>
  </si>
  <si>
    <t xml:space="preserve">One row per person. Max Hrs = prorated standard capacity for that month. OT Hrs grays out for Exempt people (don't earn OT) and Subs (typically T&amp;M, not tracked here).</t>
  </si>
  <si>
    <t xml:space="preserve">Employee
Name</t>
  </si>
  <si>
    <t xml:space="preserve">Hourly
Rate $</t>
  </si>
  <si>
    <t xml:space="preserve">Prime /
Sub</t>
  </si>
  <si>
    <t xml:space="preserve">Employee
Type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</si>
  <si>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</si>
  <si>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</si>
  <si>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</si>
  <si>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</si>
  <si>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</si>
  <si>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</si>
  <si>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</si>
  <si>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</si>
  <si>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</si>
  <si>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</si>
  <si>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</si>
  <si>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</si>
  <si>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Yearly Max
Hours</t>
  </si>
  <si>
    <t xml:space="preserve">Yearly Recorded
Hours</t>
  </si>
  <si>
    <t xml:space="preserve">Max Cost
(unburdened)</t>
  </si>
  <si>
    <t xml:space="preserve">Recorded Cost
(unburdened)</t>
  </si>
  <si>
    <t xml:space="preserve">Max
Hrs</t>
  </si>
  <si>
    <t xml:space="preserve">Recorded
Hrs</t>
  </si>
  <si>
    <t xml:space="preserve">OT
Hrs</t>
  </si>
  <si>
    <t xml:space="preserve">Unburdened
$</t>
  </si>
  <si>
    <t xml:space="preserve">Prime</t>
  </si>
  <si>
    <t xml:space="preserve">Sub</t>
  </si>
  <si>
    <t xml:space="preserve">Monthly Rollup (auto) — Prime gets Fringe/OH, Sub passes through at cost</t>
  </si>
  <si>
    <t xml:space="preserve">Prime
Unburdened $</t>
  </si>
  <si>
    <t xml:space="preserve">Prime
Fringe $</t>
  </si>
  <si>
    <t xml:space="preserve">Prime
OH $</t>
  </si>
  <si>
    <t xml:space="preserve">Prime Fully
Burdened $</t>
  </si>
  <si>
    <t xml:space="preserve">Sub $
(no burden)</t>
  </si>
  <si>
    <t xml:space="preserve">Total
Labor $</t>
  </si>
  <si>
    <t xml:space="preserve">G&amp;A $ on Labor
(informational)</t>
  </si>
  <si>
    <t xml:space="preserve">Total Labor $
+ G&amp;A (info)</t>
  </si>
  <si>
    <t xml:space="preserve">Dashboard pulls Total Labor $ (col H) — G&amp;A is applied once, at Dashboard's Subtotal level, not twice.</t>
  </si>
  <si>
    <t xml:space="preserve">ODCs</t>
  </si>
  <si>
    <t xml:space="preserve">Itemized Log</t>
  </si>
  <si>
    <t xml:space="preserve">Category</t>
  </si>
  <si>
    <t xml:space="preserve">Amount $</t>
  </si>
  <si>
    <t xml:space="preserve">Materials</t>
  </si>
  <si>
    <t xml:space="preserve">Replacement network switches (5)</t>
  </si>
  <si>
    <t xml:space="preserve">Equipment</t>
  </si>
  <si>
    <t xml:space="preserve">Test bench calibration</t>
  </si>
  <si>
    <t xml:space="preserve">Spare parts kit</t>
  </si>
  <si>
    <t xml:space="preserve">LOG TOTAL</t>
  </si>
  <si>
    <t xml:space="preserve">Monthly Rollup (auto)</t>
  </si>
  <si>
    <t xml:space="preserve">Total ODCs $</t>
  </si>
  <si>
    <t xml:space="preserve">Airfare</t>
  </si>
  <si>
    <t xml:space="preserve">PM — kickoff meeting, NAS Norfolk</t>
  </si>
  <si>
    <t xml:space="preserve">Lodging</t>
  </si>
  <si>
    <t xml:space="preserve">PM — kickoff meeting, 3 nights</t>
  </si>
  <si>
    <t xml:space="preserve">Airfare + Per Diem</t>
  </si>
  <si>
    <t xml:space="preserve">Lead Engineer — site visit</t>
  </si>
  <si>
    <t xml:space="preserve">Total Travel $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</si>
</sst>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mm/dd/yyyy"/>
    <numFmt numFmtId="167" formatCode="\$#,##0"/>
    <numFmt numFmtId="168" formatCode="mmm\-yy"/>
    <numFmt numFmtId="169" formatCode="\$#,##0;&quot;($&quot;#,##0\);\-"/>
    <numFmt numFmtId="170" formatCode="\$#,##0.00"/>
    <numFmt numFmtId="171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1696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5"/>
      <color rgb="FF0F172A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8504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085041"/>
      <name val="Arial"/>
      <family val="0"/>
      <charset val="1"/>
    </font>
    <font>
      <b val="true"/>
      <sz val="16"/>
      <color rgb="FF08504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380520</xdr:colOff>
      <xdr:row>1</xdr:row>
      <xdr:rowOff>104400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8052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A1:B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21.75" hidden="false" customHeight="true" outlineLevel="0" collapsed="false">
      <c r="B1" s="1" t="s">
        <v>0</v>
      </c>
    </row>
    <row r="2" customFormat="false" ht="15.75" hidden="false" customHeight="true" outlineLevel="0" collapsed="false">
      <c r="B2" s="2" t="s">
        <v>1</v>
      </c>
    </row>
    <row r="4" customFormat="false" ht="18.5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/>
    </row>
    <row r="6" customFormat="false" ht="15" hidden="false" customHeight="false" outlineLevel="0" collapsed="false">
      <c r="A6" s="5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8</v>
      </c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4" t="s">
        <v>17</v>
      </c>
    </row>
    <row r="22" customFormat="false" ht="15" hidden="false" customHeight="false" outlineLevel="0" collapsed="false">
      <c r="A22" s="4" t="s">
        <v>18</v>
      </c>
    </row>
    <row r="23" customFormat="false" ht="15" hidden="false" customHeight="false" outlineLevel="0" collapsed="false">
      <c r="A23" s="4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4"/>
    </row>
    <row r="26" customFormat="false" ht="15" hidden="false" customHeight="false" outlineLevel="0" collapsed="false">
      <c r="A26" s="5" t="s">
        <v>21</v>
      </c>
    </row>
    <row r="27" customFormat="false" ht="15" hidden="false" customHeight="false" outlineLevel="0" collapsed="false">
      <c r="A27" s="4" t="s">
        <v>22</v>
      </c>
    </row>
    <row r="28" customFormat="false" ht="15" hidden="false" customHeight="false" outlineLevel="0" collapsed="false">
      <c r="A28" s="4" t="s">
        <v>23</v>
      </c>
    </row>
    <row r="29" customFormat="false" ht="15" hidden="false" customHeight="false" outlineLevel="0" collapsed="false">
      <c r="A29" s="4" t="s">
        <v>24</v>
      </c>
    </row>
    <row r="30" customFormat="false" ht="15" hidden="false" customHeight="false" outlineLevel="0" collapsed="false">
      <c r="A30" s="4" t="s">
        <v>25</v>
      </c>
    </row>
    <row r="31" customFormat="false" ht="15" hidden="false" customHeight="false" outlineLevel="0" collapsed="false">
      <c r="A31" s="4" t="s">
        <v>26</v>
      </c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4" t="s">
        <v>29</v>
      </c>
    </row>
    <row r="35" customFormat="false" ht="15" hidden="false" customHeight="false" outlineLevel="0" collapsed="false">
      <c r="A35" s="4" t="s">
        <v>30</v>
      </c>
    </row>
    <row r="36" customFormat="false" ht="15" hidden="false" customHeight="false" outlineLevel="0" collapsed="false">
      <c r="A36" s="4" t="s">
        <v>31</v>
      </c>
    </row>
    <row r="37" customFormat="false" ht="15" hidden="false" customHeight="false" outlineLevel="0" collapsed="false">
      <c r="A37" s="4" t="s">
        <v>32</v>
      </c>
    </row>
    <row r="38" customFormat="false" ht="15" hidden="false" customHeight="false" outlineLevel="0" collapsed="false">
      <c r="A38" s="4" t="s">
        <v>33</v>
      </c>
    </row>
    <row r="39" customFormat="false" ht="15" hidden="false" customHeight="false" outlineLevel="0" collapsed="false">
      <c r="A39" s="4"/>
    </row>
    <row r="40" customFormat="false" ht="15" hidden="false" customHeight="false" outlineLevel="0" collapsed="false">
      <c r="A40" s="5" t="s">
        <v>34</v>
      </c>
    </row>
    <row r="41" customFormat="false" ht="15" hidden="false" customHeight="false" outlineLevel="0" collapsed="false">
      <c r="A41" s="4" t="s">
        <v>35</v>
      </c>
    </row>
    <row r="42" customFormat="false" ht="15" hidden="false" customHeight="false" outlineLevel="0" collapsed="false">
      <c r="A42" s="4" t="s">
        <v>36</v>
      </c>
    </row>
    <row r="43" customFormat="false" ht="15" hidden="false" customHeight="false" outlineLevel="0" collapsed="false">
      <c r="A43" s="4" t="s">
        <v>37</v>
      </c>
    </row>
    <row r="44" customFormat="false" ht="15" hidden="false" customHeight="false" outlineLevel="0" collapsed="false">
      <c r="A44" s="4"/>
    </row>
    <row r="45" customFormat="false" ht="15" hidden="false" customHeight="false" outlineLevel="0" collapsed="false">
      <c r="A45" s="5" t="s">
        <v>38</v>
      </c>
    </row>
    <row r="46" customFormat="false" ht="15" hidden="false" customHeight="false" outlineLevel="0" collapsed="false">
      <c r="A46" s="4" t="s">
        <v>39</v>
      </c>
    </row>
    <row r="47" customFormat="false" ht="15" hidden="false" customHeight="false" outlineLevel="0" collapsed="false">
      <c r="A47" s="4" t="s">
        <v>40</v>
      </c>
    </row>
    <row r="48" customFormat="false" ht="15" hidden="false" customHeight="false" outlineLevel="0" collapsed="false">
      <c r="A48" s="4" t="s">
        <v>41</v>
      </c>
    </row>
    <row r="49" customFormat="false" ht="15" hidden="false" customHeight="false" outlineLevel="0" collapsed="false">
      <c r="A49" s="4" t="s">
        <v>42</v>
      </c>
    </row>
    <row r="50" customFormat="false" ht="15" hidden="false" customHeight="false" outlineLevel="0" collapsed="false">
      <c r="A50" s="4" t="s">
        <v>43</v>
      </c>
    </row>
    <row r="51" customFormat="false" ht="15" hidden="false" customHeight="false" outlineLevel="0" collapsed="false">
      <c r="A51" s="4"/>
    </row>
    <row r="52" customFormat="false" ht="15" hidden="false" customHeight="false" outlineLevel="0" collapsed="false">
      <c r="A52" s="5" t="s">
        <v>44</v>
      </c>
    </row>
    <row r="53" customFormat="false" ht="15" hidden="false" customHeight="false" outlineLevel="0" collapsed="false">
      <c r="A53" s="4" t="s">
        <v>45</v>
      </c>
    </row>
    <row r="54" customFormat="false" ht="15" hidden="false" customHeight="false" outlineLevel="0" collapsed="false">
      <c r="A54" s="4" t="s">
        <v>46</v>
      </c>
    </row>
    <row r="55" customFormat="false" ht="15" hidden="false" customHeight="false" outlineLevel="0" collapsed="false">
      <c r="A55" s="4" t="s">
        <v>47</v>
      </c>
    </row>
    <row r="56" customFormat="false" ht="15" hidden="false" customHeight="false" outlineLevel="0" collapsed="false">
      <c r="A56" s="4" t="s">
        <v>48</v>
      </c>
    </row>
    <row r="57" customFormat="false" ht="15" hidden="false" customHeight="false" outlineLevel="0" collapsed="false">
      <c r="A57" s="4"/>
    </row>
    <row r="58" customFormat="false" ht="15" hidden="false" customHeight="false" outlineLevel="0" collapsed="false">
      <c r="A58" s="5" t="s">
        <v>49</v>
      </c>
    </row>
    <row r="59" customFormat="false" ht="15" hidden="false" customHeight="false" outlineLevel="0" collapsed="false">
      <c r="A59" s="4" t="s">
        <v>50</v>
      </c>
    </row>
    <row r="60" customFormat="false" ht="15" hidden="false" customHeight="false" outlineLevel="0" collapsed="false">
      <c r="A60" s="4" t="s">
        <v>51</v>
      </c>
    </row>
    <row r="61" customFormat="false" ht="15" hidden="false" customHeight="false" outlineLevel="0" collapsed="false">
      <c r="A61" s="4" t="s">
        <v>52</v>
      </c>
    </row>
    <row r="62" customFormat="false" ht="15" hidden="false" customHeight="false" outlineLevel="0" collapsed="false">
      <c r="A62" s="4" t="s">
        <v>53</v>
      </c>
    </row>
    <row r="63" customFormat="false" ht="15" hidden="false" customHeight="false" outlineLevel="0" collapsed="false">
      <c r="A63" s="4" t="s">
        <v>54</v>
      </c>
    </row>
    <row r="64" customFormat="false" ht="15" hidden="false" customHeight="false" outlineLevel="0" collapsed="false">
      <c r="A64" s="4" t="s">
        <v>55</v>
      </c>
    </row>
    <row r="65" customFormat="false" ht="15" hidden="false" customHeight="false" outlineLevel="0" collapsed="false">
      <c r="A65" s="4"/>
    </row>
    <row r="66" customFormat="false" ht="15" hidden="false" customHeight="false" outlineLevel="0" collapsed="false">
      <c r="A66" s="5" t="s">
        <v>56</v>
      </c>
    </row>
    <row r="67" customFormat="false" ht="15" hidden="false" customHeight="false" outlineLevel="0" collapsed="false">
      <c r="A67" s="4" t="s">
        <v>57</v>
      </c>
    </row>
    <row r="68" customFormat="false" ht="15" hidden="false" customHeight="false" outlineLevel="0" collapsed="false">
      <c r="A68" s="4" t="s">
        <v>58</v>
      </c>
    </row>
    <row r="69" customFormat="false" ht="15" hidden="false" customHeight="false" outlineLevel="0" collapsed="false">
      <c r="A69" s="4" t="s">
        <v>59</v>
      </c>
    </row>
    <row r="70" customFormat="false" ht="15" hidden="false" customHeight="false" outlineLevel="0" collapsed="false">
      <c r="A70" s="4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3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21.75" hidden="false" customHeight="true" outlineLevel="0" collapsed="false">
      <c r="B1" s="3" t="s">
        <v>61</v>
      </c>
      <c r="F1" s="6" t="s">
        <v>62</v>
      </c>
    </row>
    <row r="3" customFormat="false" ht="15" hidden="false" customHeight="false" outlineLevel="0" collapsed="false">
      <c r="A3" s="7" t="s">
        <v>63</v>
      </c>
      <c r="B3" s="7"/>
      <c r="C3" s="7"/>
      <c r="D3" s="7"/>
      <c r="E3" s="7"/>
      <c r="F3" s="7"/>
    </row>
    <row r="4" customFormat="false" ht="15" hidden="false" customHeight="false" outlineLevel="0" collapsed="false">
      <c r="A4" s="8" t="s">
        <v>64</v>
      </c>
      <c r="B4" s="8"/>
      <c r="C4" s="8"/>
      <c r="D4" s="8"/>
      <c r="E4" s="8"/>
      <c r="F4" s="8"/>
    </row>
    <row r="6" customFormat="false" ht="33.75" hidden="false" customHeight="true" outlineLevel="0" collapsed="false">
      <c r="A6" s="9" t="s">
        <v>65</v>
      </c>
      <c r="B6" s="10" t="n">
        <v>0.35</v>
      </c>
      <c r="C6" s="11" t="s">
        <v>66</v>
      </c>
      <c r="D6" s="11"/>
      <c r="E6" s="11"/>
      <c r="F6" s="11"/>
    </row>
    <row r="7" customFormat="false" ht="33.75" hidden="false" customHeight="true" outlineLevel="0" collapsed="false">
      <c r="A7" s="9" t="s">
        <v>67</v>
      </c>
      <c r="B7" s="10" t="n">
        <v>0.55</v>
      </c>
      <c r="C7" s="11" t="s">
        <v>68</v>
      </c>
      <c r="D7" s="11"/>
      <c r="E7" s="11"/>
      <c r="F7" s="11"/>
    </row>
    <row r="8" customFormat="false" ht="33.75" hidden="false" customHeight="true" outlineLevel="0" collapsed="false">
      <c r="A8" s="9" t="s">
        <v>69</v>
      </c>
      <c r="B8" s="10" t="n">
        <v>0.12</v>
      </c>
      <c r="C8" s="11" t="s">
        <v>70</v>
      </c>
      <c r="D8" s="11"/>
      <c r="E8" s="11"/>
      <c r="F8" s="11"/>
    </row>
    <row r="10" customFormat="false" ht="15" hidden="false" customHeight="false" outlineLevel="0" collapsed="false">
      <c r="A10" s="7" t="s">
        <v>71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8" t="s">
        <v>72</v>
      </c>
      <c r="B11" s="8"/>
      <c r="C11" s="8"/>
      <c r="D11" s="8"/>
      <c r="E11" s="8"/>
      <c r="F11" s="8"/>
    </row>
    <row r="13" customFormat="false" ht="33.75" hidden="false" customHeight="true" outlineLevel="0" collapsed="false">
      <c r="A13" s="9" t="s">
        <v>73</v>
      </c>
      <c r="B13" s="12" t="s">
        <v>74</v>
      </c>
      <c r="C13" s="11" t="s">
        <v>75</v>
      </c>
      <c r="D13" s="11"/>
      <c r="E13" s="11"/>
      <c r="F13" s="11"/>
    </row>
    <row r="14" customFormat="false" ht="33.75" hidden="false" customHeight="true" outlineLevel="0" collapsed="false">
      <c r="A14" s="9" t="s">
        <v>76</v>
      </c>
      <c r="B14" s="10" t="n">
        <v>0.07</v>
      </c>
      <c r="C14" s="11" t="s">
        <v>77</v>
      </c>
      <c r="D14" s="11"/>
      <c r="E14" s="11"/>
      <c r="F14" s="11"/>
    </row>
    <row r="15" customFormat="false" ht="33.75" hidden="false" customHeight="true" outlineLevel="0" collapsed="false">
      <c r="A15" s="9" t="s">
        <v>78</v>
      </c>
      <c r="B15" s="10" t="n">
        <v>0.1</v>
      </c>
      <c r="C15" s="11" t="s">
        <v>79</v>
      </c>
      <c r="D15" s="11"/>
      <c r="E15" s="11"/>
      <c r="F15" s="11"/>
    </row>
    <row r="17" customFormat="false" ht="31.5" hidden="false" customHeight="true" outlineLevel="0" collapsed="false">
      <c r="A17" s="13" t="s">
        <v>80</v>
      </c>
      <c r="B17" s="13"/>
      <c r="C17" s="14" t="n">
        <f aca="false">IF(B13="Fixed",B14,IF(B13="Award",B15,NA()))</f>
        <v>0.07</v>
      </c>
      <c r="D17" s="14"/>
      <c r="E17" s="15" t="s">
        <v>81</v>
      </c>
      <c r="F17" s="15"/>
    </row>
    <row r="19" customFormat="false" ht="39.75" hidden="false" customHeight="true" outlineLevel="0" collapsed="false">
      <c r="A19" s="16" t="s">
        <v>82</v>
      </c>
      <c r="B19" s="16"/>
      <c r="C19" s="16"/>
      <c r="D19" s="16"/>
      <c r="E19" s="16"/>
      <c r="F19" s="16"/>
    </row>
  </sheetData>
  <mergeCells count="14">
    <mergeCell ref="A3:F3"/>
    <mergeCell ref="A4:F4"/>
    <mergeCell ref="C6:F6"/>
    <mergeCell ref="C7:F7"/>
    <mergeCell ref="C8:F8"/>
    <mergeCell ref="A10:F10"/>
    <mergeCell ref="A11:F11"/>
    <mergeCell ref="C13:F13"/>
    <mergeCell ref="C14:F14"/>
    <mergeCell ref="C15:F15"/>
    <mergeCell ref="A17:B17"/>
    <mergeCell ref="C17:D17"/>
    <mergeCell ref="E17:F17"/>
    <mergeCell ref="A19:F19"/>
  </mergeCells>
  <dataValidations count="1">
    <dataValidation allowBlank="false" errorStyle="stop" operator="between" showDropDown="false" showErrorMessage="false" showInputMessage="false" sqref="B13" type="list">
      <formula1>"Fixed,Award"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4"/>
    <col collapsed="false" customWidth="true" hidden="false" outlineLevel="0" max="8" min="5" style="0" width="13"/>
    <col collapsed="false" customWidth="true" hidden="false" outlineLevel="0" max="12" min="9" style="0" width="14"/>
  </cols>
  <sheetData>
    <row r="1" customFormat="false" ht="21.75" hidden="false" customHeight="true" outlineLevel="0" collapsed="false">
      <c r="B1" s="3" t="s">
        <v>83</v>
      </c>
      <c r="L1" s="6" t="s">
        <v>62</v>
      </c>
    </row>
    <row r="3" customFormat="false" ht="27.75" hidden="false" customHeight="true" outlineLevel="0" collapsed="false">
      <c r="A3" s="16" t="s">
        <v>84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customFormat="false" ht="33.75" hidden="false" customHeight="true" outlineLevel="0" collapsed="false">
      <c r="A4" s="17" t="s">
        <v>85</v>
      </c>
      <c r="B4" s="17" t="s">
        <v>86</v>
      </c>
      <c r="C4" s="17" t="s">
        <v>87</v>
      </c>
      <c r="D4" s="18" t="s">
        <v>88</v>
      </c>
      <c r="E4" s="17" t="s">
        <v>89</v>
      </c>
      <c r="F4" s="17" t="s">
        <v>90</v>
      </c>
      <c r="G4" s="17" t="s">
        <v>91</v>
      </c>
      <c r="H4" s="18" t="s">
        <v>92</v>
      </c>
      <c r="I4" s="19" t="s">
        <v>93</v>
      </c>
      <c r="J4" s="19" t="s">
        <v>94</v>
      </c>
      <c r="K4" s="19" t="s">
        <v>95</v>
      </c>
      <c r="L4" s="19" t="s">
        <v>96</v>
      </c>
    </row>
    <row r="5" customFormat="false" ht="15" hidden="false" customHeight="false" outlineLevel="0" collapsed="false">
      <c r="A5" s="20" t="s">
        <v>97</v>
      </c>
      <c r="B5" s="21" t="n">
        <v>46023</v>
      </c>
      <c r="C5" s="20" t="s">
        <v>98</v>
      </c>
      <c r="D5" s="22"/>
      <c r="E5" s="23" t="n">
        <v>1400000</v>
      </c>
      <c r="F5" s="23" t="n">
        <v>300000</v>
      </c>
      <c r="G5" s="23" t="n">
        <v>300000</v>
      </c>
      <c r="H5" s="24" t="n">
        <f aca="false">IF(A5="","",SUM(E5:G5))</f>
        <v>2000000</v>
      </c>
      <c r="I5" s="25" t="n">
        <f aca="false">IF(A5="","",SUM($E$5:E5))</f>
        <v>1400000</v>
      </c>
      <c r="J5" s="25" t="n">
        <f aca="false">IF(A5="","",SUM($F$5:F5))</f>
        <v>300000</v>
      </c>
      <c r="K5" s="25" t="n">
        <f aca="false">IF(A5="","",SUM($G$5:G5))</f>
        <v>300000</v>
      </c>
      <c r="L5" s="26" t="n">
        <f aca="false">IF(A5="","",I5+J5+K5)</f>
        <v>2000000</v>
      </c>
    </row>
    <row r="6" customFormat="false" ht="15" hidden="false" customHeight="false" outlineLevel="0" collapsed="false">
      <c r="A6" s="27" t="s">
        <v>99</v>
      </c>
      <c r="B6" s="28" t="n">
        <v>46143</v>
      </c>
      <c r="C6" s="27" t="s">
        <v>100</v>
      </c>
      <c r="D6" s="29"/>
      <c r="E6" s="30" t="n">
        <v>300000</v>
      </c>
      <c r="F6" s="30" t="n">
        <v>50000</v>
      </c>
      <c r="G6" s="30" t="n">
        <v>50000</v>
      </c>
      <c r="H6" s="31" t="n">
        <f aca="false">IF(A6="","",SUM(E6:G6))</f>
        <v>400000</v>
      </c>
      <c r="I6" s="32" t="n">
        <f aca="false">IF(A6="","",SUM($E$5:E6))</f>
        <v>1700000</v>
      </c>
      <c r="J6" s="32" t="n">
        <f aca="false">IF(A6="","",SUM($F$5:F6))</f>
        <v>350000</v>
      </c>
      <c r="K6" s="32" t="n">
        <f aca="false">IF(A6="","",SUM($G$5:G6))</f>
        <v>350000</v>
      </c>
      <c r="L6" s="33" t="n">
        <f aca="false">IF(A6="","",I6+J6+K6)</f>
        <v>2400000</v>
      </c>
    </row>
    <row r="7" customFormat="false" ht="15" hidden="false" customHeight="false" outlineLevel="0" collapsed="false">
      <c r="A7" s="20"/>
      <c r="B7" s="21"/>
      <c r="C7" s="20"/>
      <c r="D7" s="22"/>
      <c r="E7" s="23"/>
      <c r="F7" s="23"/>
      <c r="G7" s="23"/>
      <c r="H7" s="24" t="str">
        <f aca="false">IF(A7="","",SUM(E7:G7))</f>
        <v/>
      </c>
      <c r="I7" s="25" t="str">
        <f aca="false">IF(A7="","",SUM($E$5:E7))</f>
        <v/>
      </c>
      <c r="J7" s="25" t="str">
        <f aca="false">IF(A7="","",SUM($F$5:F7))</f>
        <v/>
      </c>
      <c r="K7" s="25" t="str">
        <f aca="false">IF(A7="","",SUM($G$5:G7))</f>
        <v/>
      </c>
      <c r="L7" s="26" t="str">
        <f aca="false">IF(A7="","",I7+J7+K7)</f>
        <v/>
      </c>
    </row>
    <row r="8" customFormat="false" ht="15" hidden="false" customHeight="false" outlineLevel="0" collapsed="false">
      <c r="A8" s="27"/>
      <c r="B8" s="28"/>
      <c r="C8" s="27"/>
      <c r="D8" s="29"/>
      <c r="E8" s="30"/>
      <c r="F8" s="30"/>
      <c r="G8" s="30"/>
      <c r="H8" s="31" t="str">
        <f aca="false">IF(A8="","",SUM(E8:G8))</f>
        <v/>
      </c>
      <c r="I8" s="32" t="str">
        <f aca="false">IF(A8="","",SUM($E$5:E8))</f>
        <v/>
      </c>
      <c r="J8" s="32" t="str">
        <f aca="false">IF(A8="","",SUM($F$5:F8))</f>
        <v/>
      </c>
      <c r="K8" s="32" t="str">
        <f aca="false">IF(A8="","",SUM($G$5:G8))</f>
        <v/>
      </c>
      <c r="L8" s="33" t="str">
        <f aca="false">IF(A8="","",I8+J8+K8)</f>
        <v/>
      </c>
    </row>
    <row r="9" customFormat="false" ht="15" hidden="false" customHeight="false" outlineLevel="0" collapsed="false">
      <c r="A9" s="20"/>
      <c r="B9" s="21"/>
      <c r="C9" s="20"/>
      <c r="D9" s="22"/>
      <c r="E9" s="23"/>
      <c r="F9" s="23"/>
      <c r="G9" s="23"/>
      <c r="H9" s="24" t="str">
        <f aca="false">IF(A9="","",SUM(E9:G9))</f>
        <v/>
      </c>
      <c r="I9" s="25" t="str">
        <f aca="false">IF(A9="","",SUM($E$5:E9))</f>
        <v/>
      </c>
      <c r="J9" s="25" t="str">
        <f aca="false">IF(A9="","",SUM($F$5:F9))</f>
        <v/>
      </c>
      <c r="K9" s="25" t="str">
        <f aca="false">IF(A9="","",SUM($G$5:G9))</f>
        <v/>
      </c>
      <c r="L9" s="26" t="str">
        <f aca="false">IF(A9="","",I9+J9+K9)</f>
        <v/>
      </c>
    </row>
    <row r="10" customFormat="false" ht="15" hidden="false" customHeight="false" outlineLevel="0" collapsed="false">
      <c r="A10" s="27"/>
      <c r="B10" s="28"/>
      <c r="C10" s="27"/>
      <c r="D10" s="29"/>
      <c r="E10" s="30"/>
      <c r="F10" s="30"/>
      <c r="G10" s="30"/>
      <c r="H10" s="31" t="str">
        <f aca="false">IF(A10="","",SUM(E10:G10))</f>
        <v/>
      </c>
      <c r="I10" s="32" t="str">
        <f aca="false">IF(A10="","",SUM($E$5:E10))</f>
        <v/>
      </c>
      <c r="J10" s="32" t="str">
        <f aca="false">IF(A10="","",SUM($F$5:F10))</f>
        <v/>
      </c>
      <c r="K10" s="32" t="str">
        <f aca="false">IF(A10="","",SUM($G$5:G10))</f>
        <v/>
      </c>
      <c r="L10" s="33" t="str">
        <f aca="false">IF(A10="","",I10+J10+K10)</f>
        <v/>
      </c>
    </row>
    <row r="11" customFormat="false" ht="15" hidden="false" customHeight="false" outlineLevel="0" collapsed="false">
      <c r="A11" s="20"/>
      <c r="B11" s="21"/>
      <c r="C11" s="20"/>
      <c r="D11" s="22"/>
      <c r="E11" s="23"/>
      <c r="F11" s="23"/>
      <c r="G11" s="23"/>
      <c r="H11" s="24" t="str">
        <f aca="false">IF(A11="","",SUM(E11:G11))</f>
        <v/>
      </c>
      <c r="I11" s="25" t="str">
        <f aca="false">IF(A11="","",SUM($E$5:E11))</f>
        <v/>
      </c>
      <c r="J11" s="25" t="str">
        <f aca="false">IF(A11="","",SUM($F$5:F11))</f>
        <v/>
      </c>
      <c r="K11" s="25" t="str">
        <f aca="false">IF(A11="","",SUM($G$5:G11))</f>
        <v/>
      </c>
      <c r="L11" s="26" t="str">
        <f aca="false">IF(A11="","",I11+J11+K11)</f>
        <v/>
      </c>
    </row>
    <row r="12" customFormat="false" ht="15" hidden="false" customHeight="false" outlineLevel="0" collapsed="false">
      <c r="A12" s="27"/>
      <c r="B12" s="28"/>
      <c r="C12" s="27"/>
      <c r="D12" s="29"/>
      <c r="E12" s="30"/>
      <c r="F12" s="30"/>
      <c r="G12" s="30"/>
      <c r="H12" s="31" t="str">
        <f aca="false">IF(A12="","",SUM(E12:G12))</f>
        <v/>
      </c>
      <c r="I12" s="32" t="str">
        <f aca="false">IF(A12="","",SUM($E$5:E12))</f>
        <v/>
      </c>
      <c r="J12" s="32" t="str">
        <f aca="false">IF(A12="","",SUM($F$5:F12))</f>
        <v/>
      </c>
      <c r="K12" s="32" t="str">
        <f aca="false">IF(A12="","",SUM($G$5:G12))</f>
        <v/>
      </c>
      <c r="L12" s="33" t="str">
        <f aca="false">IF(A12="","",I12+J12+K12)</f>
        <v/>
      </c>
    </row>
    <row r="13" customFormat="false" ht="15" hidden="false" customHeight="false" outlineLevel="0" collapsed="false">
      <c r="A13" s="20"/>
      <c r="B13" s="21"/>
      <c r="C13" s="20"/>
      <c r="D13" s="22"/>
      <c r="E13" s="23"/>
      <c r="F13" s="23"/>
      <c r="G13" s="23"/>
      <c r="H13" s="24" t="str">
        <f aca="false">IF(A13="","",SUM(E13:G13))</f>
        <v/>
      </c>
      <c r="I13" s="25" t="str">
        <f aca="false">IF(A13="","",SUM($E$5:E13))</f>
        <v/>
      </c>
      <c r="J13" s="25" t="str">
        <f aca="false">IF(A13="","",SUM($F$5:F13))</f>
        <v/>
      </c>
      <c r="K13" s="25" t="str">
        <f aca="false">IF(A13="","",SUM($G$5:G13))</f>
        <v/>
      </c>
      <c r="L13" s="26" t="str">
        <f aca="false">IF(A13="","",I13+J13+K13)</f>
        <v/>
      </c>
    </row>
    <row r="14" customFormat="false" ht="15" hidden="false" customHeight="false" outlineLevel="0" collapsed="false">
      <c r="A14" s="27"/>
      <c r="B14" s="28"/>
      <c r="C14" s="27"/>
      <c r="D14" s="29"/>
      <c r="E14" s="30"/>
      <c r="F14" s="30"/>
      <c r="G14" s="30"/>
      <c r="H14" s="31" t="str">
        <f aca="false">IF(A14="","",SUM(E14:G14))</f>
        <v/>
      </c>
      <c r="I14" s="32" t="str">
        <f aca="false">IF(A14="","",SUM($E$5:E14))</f>
        <v/>
      </c>
      <c r="J14" s="32" t="str">
        <f aca="false">IF(A14="","",SUM($F$5:F14))</f>
        <v/>
      </c>
      <c r="K14" s="32" t="str">
        <f aca="false">IF(A14="","",SUM($G$5:G14))</f>
        <v/>
      </c>
      <c r="L14" s="33" t="str">
        <f aca="false">IF(A14="","",I14+J14+K14)</f>
        <v/>
      </c>
    </row>
    <row r="17" customFormat="false" ht="15" hidden="false" customHeight="false" outlineLevel="0" collapsed="false">
      <c r="A17" s="34" t="s">
        <v>101</v>
      </c>
    </row>
    <row r="18" customFormat="false" ht="27.75" hidden="false" customHeight="true" outlineLevel="0" collapsed="false">
      <c r="A18" s="17" t="s">
        <v>102</v>
      </c>
      <c r="B18" s="17" t="s">
        <v>103</v>
      </c>
      <c r="C18" s="17" t="s">
        <v>104</v>
      </c>
      <c r="D18" s="17" t="s">
        <v>105</v>
      </c>
      <c r="E18" s="17" t="s">
        <v>106</v>
      </c>
    </row>
    <row r="19" customFormat="false" ht="15" hidden="false" customHeight="false" outlineLevel="0" collapsed="false">
      <c r="A19" s="9" t="s">
        <v>107</v>
      </c>
      <c r="B19" s="25" t="n">
        <f aca="false">IFERROR(INDEX($I$5:$I$14,COUNTA($A$5:$A$14)),0)</f>
        <v>1700000</v>
      </c>
      <c r="C19" s="35" t="n">
        <f aca="false">SUM(Dashboard!$D$21:$D$32)</f>
        <v>97027.4769230769</v>
      </c>
      <c r="D19" s="25" t="n">
        <f aca="false">B19-C19</f>
        <v>1602972.52307692</v>
      </c>
      <c r="E19" s="36" t="n">
        <f aca="false">IFERROR(C19/B19,0)</f>
        <v>0.0570749864253394</v>
      </c>
    </row>
    <row r="20" customFormat="false" ht="15" hidden="false" customHeight="false" outlineLevel="0" collapsed="false">
      <c r="A20" s="37" t="s">
        <v>108</v>
      </c>
      <c r="B20" s="32" t="n">
        <f aca="false">IFERROR(INDEX($J$5:$J$14,COUNTA($A$5:$A$14)),0)</f>
        <v>350000</v>
      </c>
      <c r="C20" s="38" t="n">
        <f aca="false">SUM(Dashboard!$F$21:$F$32)</f>
        <v>2240</v>
      </c>
      <c r="D20" s="32" t="n">
        <f aca="false">B20-C20</f>
        <v>347760</v>
      </c>
      <c r="E20" s="39" t="n">
        <f aca="false">IFERROR(C20/B20,0)</f>
        <v>0.0064</v>
      </c>
    </row>
    <row r="21" customFormat="false" ht="15" hidden="false" customHeight="false" outlineLevel="0" collapsed="false">
      <c r="A21" s="9" t="s">
        <v>109</v>
      </c>
      <c r="B21" s="25" t="n">
        <f aca="false">IFERROR(INDEX($K$5:$K$14,COUNTA($A$5:$A$14)),0)</f>
        <v>350000</v>
      </c>
      <c r="C21" s="35" t="n">
        <f aca="false">SUM(Dashboard!$E$21:$E$32)</f>
        <v>25900</v>
      </c>
      <c r="D21" s="25" t="n">
        <f aca="false">B21-C21</f>
        <v>324100</v>
      </c>
      <c r="E21" s="36" t="n">
        <f aca="false">IFERROR(C21/B21,0)</f>
        <v>0.074</v>
      </c>
    </row>
    <row r="22" customFormat="false" ht="15" hidden="false" customHeight="false" outlineLevel="0" collapsed="false">
      <c r="A22" s="40" t="s">
        <v>110</v>
      </c>
      <c r="B22" s="41" t="n">
        <f aca="false">SUM(B19:B21)</f>
        <v>2400000</v>
      </c>
      <c r="C22" s="41" t="n">
        <f aca="false">SUM(C19:C21)</f>
        <v>125167.476923077</v>
      </c>
      <c r="D22" s="41" t="n">
        <f aca="false">SUM(D19:D21)</f>
        <v>2274832.52307692</v>
      </c>
      <c r="E22" s="42" t="n">
        <f aca="false">IFERROR(C22/B22,0)</f>
        <v>0.0521531153846154</v>
      </c>
    </row>
    <row r="25" customFormat="false" ht="15" hidden="false" customHeight="false" outlineLevel="0" collapsed="false">
      <c r="A25" s="2" t="s">
        <v>111</v>
      </c>
    </row>
  </sheetData>
  <mergeCells count="1">
    <mergeCell ref="A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7"/>
    <col collapsed="false" customWidth="true" hidden="false" outlineLevel="0" max="12" min="12" style="0" width="16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5" min="15" style="0" width="15"/>
  </cols>
  <sheetData>
    <row r="1" customFormat="false" ht="21.75" hidden="false" customHeight="true" outlineLevel="0" collapsed="false">
      <c r="B1" s="3" t="s">
        <v>112</v>
      </c>
      <c r="O1" s="6" t="s">
        <v>62</v>
      </c>
    </row>
    <row r="3" customFormat="false" ht="15" hidden="false" customHeight="false" outlineLevel="0" collapsed="false">
      <c r="A3" s="43" t="s">
        <v>113</v>
      </c>
      <c r="B3" s="43"/>
      <c r="C3" s="44" t="s">
        <v>114</v>
      </c>
    </row>
    <row r="4" customFormat="false" ht="15" hidden="false" customHeight="false" outlineLevel="0" collapsed="false">
      <c r="A4" s="43" t="s">
        <v>115</v>
      </c>
      <c r="B4" s="43"/>
      <c r="C4" s="44" t="s">
        <v>116</v>
      </c>
    </row>
    <row r="5" customFormat="false" ht="15" hidden="false" customHeight="false" outlineLevel="0" collapsed="false">
      <c r="A5" s="43" t="s">
        <v>117</v>
      </c>
      <c r="B5" s="43"/>
      <c r="C5" s="45" t="n">
        <v>46023</v>
      </c>
    </row>
    <row r="6" customFormat="false" ht="15" hidden="false" customHeight="false" outlineLevel="0" collapsed="false">
      <c r="A6" s="43" t="s">
        <v>118</v>
      </c>
      <c r="B6" s="43"/>
      <c r="C6" s="45" t="n">
        <v>46387</v>
      </c>
    </row>
    <row r="7" customFormat="false" ht="15" hidden="false" customHeight="false" outlineLevel="0" collapsed="false">
      <c r="A7" s="43" t="s">
        <v>119</v>
      </c>
      <c r="B7" s="43"/>
      <c r="C7" s="46" t="n">
        <f aca="false">DATEDIF(C5,C6,"m")+1</f>
        <v>12</v>
      </c>
    </row>
    <row r="8" customFormat="false" ht="15" hidden="false" customHeight="false" outlineLevel="0" collapsed="false">
      <c r="A8" s="43" t="s">
        <v>120</v>
      </c>
      <c r="B8" s="43"/>
      <c r="C8" s="47" t="n">
        <f aca="false">FundingMods!$B$22</f>
        <v>2400000</v>
      </c>
    </row>
    <row r="9" customFormat="false" ht="15" hidden="false" customHeight="false" outlineLevel="0" collapsed="false">
      <c r="A9" s="43" t="s">
        <v>121</v>
      </c>
      <c r="B9" s="43"/>
      <c r="C9" s="48" t="n">
        <f aca="false">C8/C7</f>
        <v>200000</v>
      </c>
    </row>
    <row r="11" customFormat="false" ht="15" hidden="false" customHeight="false" outlineLevel="0" collapsed="false">
      <c r="A11" s="34" t="s">
        <v>122</v>
      </c>
    </row>
    <row r="12" customFormat="false" ht="15" hidden="false" customHeight="false" outlineLevel="0" collapsed="false">
      <c r="A12" s="43" t="s">
        <v>123</v>
      </c>
      <c r="B12" s="43"/>
      <c r="C12" s="46" t="n">
        <f aca="false">COUNT(D21:D32)</f>
        <v>12</v>
      </c>
    </row>
    <row r="13" customFormat="false" ht="15" hidden="false" customHeight="false" outlineLevel="0" collapsed="false">
      <c r="A13" s="43" t="s">
        <v>124</v>
      </c>
      <c r="B13" s="43"/>
      <c r="C13" s="48" t="n">
        <f aca="false">IF(C12=0,0,INDEX(L21:L32,C12))</f>
        <v>150000.704344615</v>
      </c>
    </row>
    <row r="14" customFormat="false" ht="15" hidden="false" customHeight="false" outlineLevel="0" collapsed="false">
      <c r="A14" s="43" t="s">
        <v>125</v>
      </c>
      <c r="B14" s="43"/>
      <c r="C14" s="48" t="n">
        <f aca="false">C8-C13</f>
        <v>2249999.29565538</v>
      </c>
    </row>
    <row r="15" customFormat="false" ht="15" hidden="false" customHeight="false" outlineLevel="0" collapsed="false">
      <c r="A15" s="43" t="s">
        <v>126</v>
      </c>
      <c r="B15" s="43"/>
      <c r="C15" s="49" t="n">
        <f aca="false">IFERROR(C13/C8,0)</f>
        <v>0.0625002934769231</v>
      </c>
    </row>
    <row r="16" customFormat="false" ht="15" hidden="false" customHeight="false" outlineLevel="0" collapsed="false">
      <c r="A16" s="43" t="s">
        <v>127</v>
      </c>
      <c r="B16" s="43"/>
      <c r="C16" s="48" t="n">
        <f aca="true">IFERROR(AVERAGE(OFFSET(K21,MAX(C12-3,0),0,MIN(C12,3),1)),0)</f>
        <v>0</v>
      </c>
    </row>
    <row r="17" customFormat="false" ht="15" hidden="false" customHeight="false" outlineLevel="0" collapsed="false">
      <c r="A17" s="43" t="s">
        <v>128</v>
      </c>
      <c r="B17" s="43"/>
      <c r="C17" s="46" t="str">
        <f aca="false">IFERROR(C14/C16,"—")</f>
        <v>—</v>
      </c>
    </row>
    <row r="18" customFormat="false" ht="15" hidden="false" customHeight="false" outlineLevel="0" collapsed="false">
      <c r="A18" s="43" t="s">
        <v>129</v>
      </c>
      <c r="B18" s="43"/>
      <c r="C18" s="50" t="str">
        <f aca="false">IF(C12=0,"NO DATA YET",IF(C15&gt;(C12/C7)*1.1,"AT RISK — OVERRUNNING",IF(C15&lt;(C12/C7)*0.7,"AT RISK — UNDERRUNNING","ON TRACK")))</f>
        <v>AT RISK — UNDERRUNNING</v>
      </c>
      <c r="D18" s="50"/>
      <c r="E18" s="50"/>
      <c r="F18" s="50"/>
      <c r="G18" s="50"/>
    </row>
    <row r="20" customFormat="false" ht="33.75" hidden="false" customHeight="true" outlineLevel="0" collapsed="false">
      <c r="A20" s="17" t="s">
        <v>130</v>
      </c>
      <c r="B20" s="17" t="s">
        <v>131</v>
      </c>
      <c r="C20" s="17" t="s">
        <v>132</v>
      </c>
      <c r="D20" s="17" t="s">
        <v>133</v>
      </c>
      <c r="E20" s="17" t="s">
        <v>134</v>
      </c>
      <c r="F20" s="17" t="s">
        <v>135</v>
      </c>
      <c r="G20" s="17" t="s">
        <v>136</v>
      </c>
      <c r="H20" s="17" t="s">
        <v>137</v>
      </c>
      <c r="I20" s="17" t="s">
        <v>138</v>
      </c>
      <c r="J20" s="17" t="s">
        <v>139</v>
      </c>
      <c r="K20" s="17" t="s">
        <v>140</v>
      </c>
      <c r="L20" s="17" t="s">
        <v>141</v>
      </c>
      <c r="M20" s="17" t="s">
        <v>142</v>
      </c>
      <c r="N20" s="17" t="s">
        <v>143</v>
      </c>
      <c r="O20" s="17" t="s">
        <v>144</v>
      </c>
    </row>
    <row r="21" customFormat="false" ht="15" hidden="false" customHeight="false" outlineLevel="0" collapsed="false">
      <c r="A21" s="51" t="n">
        <v>1</v>
      </c>
      <c r="B21" s="52" t="n">
        <f aca="false">EDATE($C$5,A21-1)</f>
        <v>46023</v>
      </c>
      <c r="C21" s="25" t="n">
        <f aca="false">$C$9*A21</f>
        <v>200000</v>
      </c>
      <c r="D21" s="35" t="n">
        <f aca="false">Labor!H25</f>
        <v>33046.3216947115</v>
      </c>
      <c r="E21" s="35" t="n">
        <f aca="false">IF(D21="","",ODCs!C27)</f>
        <v>14200</v>
      </c>
      <c r="F21" s="35" t="n">
        <f aca="false">IF(D21="","",Travel!C27)</f>
        <v>1090</v>
      </c>
      <c r="G21" s="25" t="n">
        <f aca="false">IF(D21="","",D21+E21+F21)</f>
        <v>48336.3216947115</v>
      </c>
      <c r="H21" s="35" t="n">
        <f aca="false">IF(G21="","",G21*Rates!$B$8)</f>
        <v>5800.35860336539</v>
      </c>
      <c r="I21" s="25" t="n">
        <f aca="false">IF(G21="","",G21+H21)</f>
        <v>54136.6802980769</v>
      </c>
      <c r="J21" s="35" t="n">
        <f aca="false">IF(I21="","",I21*Rates!$C$17)</f>
        <v>3789.56762086539</v>
      </c>
      <c r="K21" s="25" t="n">
        <f aca="false">IF(I21="","",I21+J21)</f>
        <v>57926.2479189423</v>
      </c>
      <c r="L21" s="25" t="n">
        <f aca="false">IF(SUM($K$21:K21)=0,"",SUM($K$21:K21))</f>
        <v>57926.2479189423</v>
      </c>
      <c r="M21" s="53" t="n">
        <f aca="false">IF(OR(L21="",C21=""),"",L21-C21)</f>
        <v>-142073.752081058</v>
      </c>
      <c r="N21" s="36" t="n">
        <f aca="false">IF(OR(L21="",C21="",C21=0),"",M21/C21)</f>
        <v>-0.710368760405289</v>
      </c>
      <c r="O21" s="25" t="n">
        <f aca="false">IF(L21="","",$C$8-L21)</f>
        <v>2342073.75208106</v>
      </c>
    </row>
    <row r="22" customFormat="false" ht="15" hidden="false" customHeight="false" outlineLevel="0" collapsed="false">
      <c r="A22" s="54" t="n">
        <v>2</v>
      </c>
      <c r="B22" s="55" t="n">
        <f aca="false">EDATE($C$5,A22-1)</f>
        <v>46054</v>
      </c>
      <c r="C22" s="32" t="n">
        <f aca="false">$C$9*A22</f>
        <v>400000</v>
      </c>
      <c r="D22" s="38" t="n">
        <f aca="false">Labor!H26</f>
        <v>28771.3216947115</v>
      </c>
      <c r="E22" s="38" t="n">
        <f aca="false">IF(D22="","",ODCs!C28)</f>
        <v>3100</v>
      </c>
      <c r="F22" s="38" t="n">
        <f aca="false">IF(D22="","",Travel!C28)</f>
        <v>0</v>
      </c>
      <c r="G22" s="32" t="n">
        <f aca="false">IF(D22="","",D22+E22+F22)</f>
        <v>31871.3216947115</v>
      </c>
      <c r="H22" s="38" t="n">
        <f aca="false">IF(G22="","",G22*Rates!$B$8)</f>
        <v>3824.55860336539</v>
      </c>
      <c r="I22" s="32" t="n">
        <f aca="false">IF(G22="","",G22+H22)</f>
        <v>35695.8802980769</v>
      </c>
      <c r="J22" s="38" t="n">
        <f aca="false">IF(I22="","",I22*Rates!$C$17)</f>
        <v>2498.71162086539</v>
      </c>
      <c r="K22" s="32" t="n">
        <f aca="false">IF(I22="","",I22+J22)</f>
        <v>38194.5919189423</v>
      </c>
      <c r="L22" s="32" t="n">
        <f aca="false">IF(SUM($K$21:K22)=0,"",SUM($K$21:K22))</f>
        <v>96120.8398378846</v>
      </c>
      <c r="M22" s="56" t="n">
        <f aca="false">IF(OR(L22="",C22=""),"",L22-C22)</f>
        <v>-303879.160162115</v>
      </c>
      <c r="N22" s="39" t="n">
        <f aca="false">IF(OR(L22="",C22="",C22=0),"",M22/C22)</f>
        <v>-0.759697900405288</v>
      </c>
      <c r="O22" s="32" t="n">
        <f aca="false">IF(L22="","",$C$8-L22)</f>
        <v>2303879.16016212</v>
      </c>
    </row>
    <row r="23" customFormat="false" ht="15" hidden="false" customHeight="false" outlineLevel="0" collapsed="false">
      <c r="A23" s="51" t="n">
        <v>3</v>
      </c>
      <c r="B23" s="52" t="n">
        <f aca="false">EDATE($C$5,A23-1)</f>
        <v>46082</v>
      </c>
      <c r="C23" s="25" t="n">
        <f aca="false">$C$9*A23</f>
        <v>600000</v>
      </c>
      <c r="D23" s="35" t="n">
        <f aca="false">Labor!H27</f>
        <v>0</v>
      </c>
      <c r="E23" s="35" t="n">
        <f aca="false">IF(D23="","",ODCs!C29)</f>
        <v>0</v>
      </c>
      <c r="F23" s="35" t="n">
        <f aca="false">IF(D23="","",Travel!C29)</f>
        <v>1150</v>
      </c>
      <c r="G23" s="25" t="n">
        <f aca="false">IF(D23="","",D23+E23+F23)</f>
        <v>1150</v>
      </c>
      <c r="H23" s="35" t="n">
        <f aca="false">IF(G23="","",G23*Rates!$B$8)</f>
        <v>138</v>
      </c>
      <c r="I23" s="25" t="n">
        <f aca="false">IF(G23="","",G23+H23)</f>
        <v>1288</v>
      </c>
      <c r="J23" s="35" t="n">
        <f aca="false">IF(I23="","",I23*Rates!$C$17)</f>
        <v>90.16</v>
      </c>
      <c r="K23" s="25" t="n">
        <f aca="false">IF(I23="","",I23+J23)</f>
        <v>1378.16</v>
      </c>
      <c r="L23" s="25" t="n">
        <f aca="false">IF(SUM($K$21:K23)=0,"",SUM($K$21:K23))</f>
        <v>97498.9998378846</v>
      </c>
      <c r="M23" s="53" t="n">
        <f aca="false">IF(OR(L23="",C23=""),"",L23-C23)</f>
        <v>-502501.000162115</v>
      </c>
      <c r="N23" s="36" t="n">
        <f aca="false">IF(OR(L23="",C23="",C23=0),"",M23/C23)</f>
        <v>-0.837501666936859</v>
      </c>
      <c r="O23" s="25" t="n">
        <f aca="false">IF(L23="","",$C$8-L23)</f>
        <v>2302501.00016212</v>
      </c>
    </row>
    <row r="24" customFormat="false" ht="15" hidden="false" customHeight="false" outlineLevel="0" collapsed="false">
      <c r="A24" s="54" t="n">
        <v>4</v>
      </c>
      <c r="B24" s="55" t="n">
        <f aca="false">EDATE($C$5,A24-1)</f>
        <v>46113</v>
      </c>
      <c r="C24" s="32" t="n">
        <f aca="false">$C$9*A24</f>
        <v>800000</v>
      </c>
      <c r="D24" s="38" t="n">
        <f aca="false">Labor!H28</f>
        <v>0</v>
      </c>
      <c r="E24" s="38" t="n">
        <f aca="false">IF(D24="","",ODCs!C30)</f>
        <v>8600</v>
      </c>
      <c r="F24" s="38" t="n">
        <f aca="false">IF(D24="","",Travel!C30)</f>
        <v>0</v>
      </c>
      <c r="G24" s="32" t="n">
        <f aca="false">IF(D24="","",D24+E24+F24)</f>
        <v>8600</v>
      </c>
      <c r="H24" s="38" t="n">
        <f aca="false">IF(G24="","",G24*Rates!$B$8)</f>
        <v>1032</v>
      </c>
      <c r="I24" s="32" t="n">
        <f aca="false">IF(G24="","",G24+H24)</f>
        <v>9632</v>
      </c>
      <c r="J24" s="38" t="n">
        <f aca="false">IF(I24="","",I24*Rates!$C$17)</f>
        <v>674.24</v>
      </c>
      <c r="K24" s="32" t="n">
        <f aca="false">IF(I24="","",I24+J24)</f>
        <v>10306.24</v>
      </c>
      <c r="L24" s="32" t="n">
        <f aca="false">IF(SUM($K$21:K24)=0,"",SUM($K$21:K24))</f>
        <v>107805.239837885</v>
      </c>
      <c r="M24" s="56" t="n">
        <f aca="false">IF(OR(L24="",C24=""),"",L24-C24)</f>
        <v>-692194.760162115</v>
      </c>
      <c r="N24" s="39" t="n">
        <f aca="false">IF(OR(L24="",C24="",C24=0),"",M24/C24)</f>
        <v>-0.865243450202644</v>
      </c>
      <c r="O24" s="32" t="n">
        <f aca="false">IF(L24="","",$C$8-L24)</f>
        <v>2292194.76016212</v>
      </c>
    </row>
    <row r="25" customFormat="false" ht="15" hidden="false" customHeight="false" outlineLevel="0" collapsed="false">
      <c r="A25" s="51" t="n">
        <v>5</v>
      </c>
      <c r="B25" s="52" t="n">
        <f aca="false">EDATE($C$5,A25-1)</f>
        <v>46143</v>
      </c>
      <c r="C25" s="25" t="n">
        <f aca="false">$C$9*A25</f>
        <v>1000000</v>
      </c>
      <c r="D25" s="35" t="n">
        <f aca="false">Labor!H29</f>
        <v>0</v>
      </c>
      <c r="E25" s="35" t="n">
        <f aca="false">IF(D25="","",ODCs!C31)</f>
        <v>0</v>
      </c>
      <c r="F25" s="35" t="n">
        <f aca="false">IF(D25="","",Travel!C31)</f>
        <v>0</v>
      </c>
      <c r="G25" s="25" t="n">
        <f aca="false">IF(D25="","",D25+E25+F25)</f>
        <v>0</v>
      </c>
      <c r="H25" s="35" t="n">
        <f aca="false">IF(G25="","",G25*Rates!$B$8)</f>
        <v>0</v>
      </c>
      <c r="I25" s="25" t="n">
        <f aca="false">IF(G25="","",G25+H25)</f>
        <v>0</v>
      </c>
      <c r="J25" s="35" t="n">
        <f aca="false">IF(I25="","",I25*Rates!$C$17)</f>
        <v>0</v>
      </c>
      <c r="K25" s="25" t="n">
        <f aca="false">IF(I25="","",I25+J25)</f>
        <v>0</v>
      </c>
      <c r="L25" s="25" t="n">
        <f aca="false">IF(SUM($K$21:K25)=0,"",SUM($K$21:K25))</f>
        <v>107805.239837885</v>
      </c>
      <c r="M25" s="53" t="n">
        <f aca="false">IF(OR(L25="",C25=""),"",L25-C25)</f>
        <v>-892194.760162115</v>
      </c>
      <c r="N25" s="36" t="n">
        <f aca="false">IF(OR(L25="",C25="",C25=0),"",M25/C25)</f>
        <v>-0.892194760162115</v>
      </c>
      <c r="O25" s="25" t="n">
        <f aca="false">IF(L25="","",$C$8-L25)</f>
        <v>2292194.76016212</v>
      </c>
    </row>
    <row r="26" customFormat="false" ht="15" hidden="false" customHeight="false" outlineLevel="0" collapsed="false">
      <c r="A26" s="54" t="n">
        <v>6</v>
      </c>
      <c r="B26" s="55" t="n">
        <f aca="false">EDATE($C$5,A26-1)</f>
        <v>46174</v>
      </c>
      <c r="C26" s="32" t="n">
        <f aca="false">$C$9*A26</f>
        <v>1200000</v>
      </c>
      <c r="D26" s="38" t="n">
        <f aca="false">Labor!H30</f>
        <v>0</v>
      </c>
      <c r="E26" s="38" t="n">
        <f aca="false">IF(D26="","",ODCs!C32)</f>
        <v>0</v>
      </c>
      <c r="F26" s="38" t="n">
        <f aca="false">IF(D26="","",Travel!C32)</f>
        <v>0</v>
      </c>
      <c r="G26" s="32" t="n">
        <f aca="false">IF(D26="","",D26+E26+F26)</f>
        <v>0</v>
      </c>
      <c r="H26" s="38" t="n">
        <f aca="false">IF(G26="","",G26*Rates!$B$8)</f>
        <v>0</v>
      </c>
      <c r="I26" s="32" t="n">
        <f aca="false">IF(G26="","",G26+H26)</f>
        <v>0</v>
      </c>
      <c r="J26" s="38" t="n">
        <f aca="false">IF(I26="","",I26*Rates!$C$17)</f>
        <v>0</v>
      </c>
      <c r="K26" s="32" t="n">
        <f aca="false">IF(I26="","",I26+J26)</f>
        <v>0</v>
      </c>
      <c r="L26" s="32" t="n">
        <f aca="false">IF(SUM($K$21:K26)=0,"",SUM($K$21:K26))</f>
        <v>107805.239837885</v>
      </c>
      <c r="M26" s="56" t="n">
        <f aca="false">IF(OR(L26="",C26=""),"",L26-C26)</f>
        <v>-1092194.76016212</v>
      </c>
      <c r="N26" s="39" t="n">
        <f aca="false">IF(OR(L26="",C26="",C26=0),"",M26/C26)</f>
        <v>-0.910162300135096</v>
      </c>
      <c r="O26" s="32" t="n">
        <f aca="false">IF(L26="","",$C$8-L26)</f>
        <v>2292194.76016212</v>
      </c>
    </row>
    <row r="27" customFormat="false" ht="15" hidden="false" customHeight="false" outlineLevel="0" collapsed="false">
      <c r="A27" s="51" t="n">
        <v>7</v>
      </c>
      <c r="B27" s="52" t="n">
        <f aca="false">EDATE($C$5,A27-1)</f>
        <v>46204</v>
      </c>
      <c r="C27" s="25" t="n">
        <f aca="false">$C$9*A27</f>
        <v>1400000</v>
      </c>
      <c r="D27" s="35" t="n">
        <f aca="false">Labor!H31</f>
        <v>9054.08653846154</v>
      </c>
      <c r="E27" s="35" t="n">
        <f aca="false">IF(D27="","",ODCs!C33)</f>
        <v>0</v>
      </c>
      <c r="F27" s="35" t="n">
        <f aca="false">IF(D27="","",Travel!C33)</f>
        <v>0</v>
      </c>
      <c r="G27" s="25" t="n">
        <f aca="false">IF(D27="","",D27+E27+F27)</f>
        <v>9054.08653846154</v>
      </c>
      <c r="H27" s="35" t="n">
        <f aca="false">IF(G27="","",G27*Rates!$B$8)</f>
        <v>1086.49038461538</v>
      </c>
      <c r="I27" s="25" t="n">
        <f aca="false">IF(G27="","",G27+H27)</f>
        <v>10140.5769230769</v>
      </c>
      <c r="J27" s="35" t="n">
        <f aca="false">IF(I27="","",I27*Rates!$C$17)</f>
        <v>709.840384615385</v>
      </c>
      <c r="K27" s="25" t="n">
        <f aca="false">IF(I27="","",I27+J27)</f>
        <v>10850.4173076923</v>
      </c>
      <c r="L27" s="25" t="n">
        <f aca="false">IF(SUM($K$21:K27)=0,"",SUM($K$21:K27))</f>
        <v>118655.657145577</v>
      </c>
      <c r="M27" s="53" t="n">
        <f aca="false">IF(OR(L27="",C27=""),"",L27-C27)</f>
        <v>-1281344.34285442</v>
      </c>
      <c r="N27" s="36" t="n">
        <f aca="false">IF(OR(L27="",C27="",C27=0),"",M27/C27)</f>
        <v>-0.915245959181731</v>
      </c>
      <c r="O27" s="25" t="n">
        <f aca="false">IF(L27="","",$C$8-L27)</f>
        <v>2281344.34285442</v>
      </c>
    </row>
    <row r="28" customFormat="false" ht="15" hidden="false" customHeight="false" outlineLevel="0" collapsed="false">
      <c r="A28" s="54" t="n">
        <v>8</v>
      </c>
      <c r="B28" s="55" t="n">
        <f aca="false">EDATE($C$5,A28-1)</f>
        <v>46235</v>
      </c>
      <c r="C28" s="32" t="n">
        <f aca="false">$C$9*A28</f>
        <v>1600000</v>
      </c>
      <c r="D28" s="38" t="n">
        <f aca="false">Labor!H32</f>
        <v>26155.7469951923</v>
      </c>
      <c r="E28" s="38" t="n">
        <f aca="false">IF(D28="","",ODCs!C34)</f>
        <v>0</v>
      </c>
      <c r="F28" s="38" t="n">
        <f aca="false">IF(D28="","",Travel!C34)</f>
        <v>0</v>
      </c>
      <c r="G28" s="32" t="n">
        <f aca="false">IF(D28="","",D28+E28+F28)</f>
        <v>26155.7469951923</v>
      </c>
      <c r="H28" s="38" t="n">
        <f aca="false">IF(G28="","",G28*Rates!$B$8)</f>
        <v>3138.68963942308</v>
      </c>
      <c r="I28" s="32" t="n">
        <f aca="false">IF(G28="","",G28+H28)</f>
        <v>29294.4366346154</v>
      </c>
      <c r="J28" s="38" t="n">
        <f aca="false">IF(I28="","",I28*Rates!$C$17)</f>
        <v>2050.61056442308</v>
      </c>
      <c r="K28" s="32" t="n">
        <f aca="false">IF(I28="","",I28+J28)</f>
        <v>31345.0471990385</v>
      </c>
      <c r="L28" s="32" t="n">
        <f aca="false">IF(SUM($K$21:K28)=0,"",SUM($K$21:K28))</f>
        <v>150000.704344615</v>
      </c>
      <c r="M28" s="56" t="n">
        <f aca="false">IF(OR(L28="",C28=""),"",L28-C28)</f>
        <v>-1449999.29565538</v>
      </c>
      <c r="N28" s="39" t="n">
        <f aca="false">IF(OR(L28="",C28="",C28=0),"",M28/C28)</f>
        <v>-0.906249559784615</v>
      </c>
      <c r="O28" s="32" t="n">
        <f aca="false">IF(L28="","",$C$8-L28)</f>
        <v>2249999.29565538</v>
      </c>
    </row>
    <row r="29" customFormat="false" ht="15" hidden="false" customHeight="false" outlineLevel="0" collapsed="false">
      <c r="A29" s="51" t="n">
        <v>9</v>
      </c>
      <c r="B29" s="52" t="n">
        <f aca="false">EDATE($C$5,A29-1)</f>
        <v>46266</v>
      </c>
      <c r="C29" s="25" t="n">
        <f aca="false">$C$9*A29</f>
        <v>1800000</v>
      </c>
      <c r="D29" s="35" t="n">
        <f aca="false">Labor!H33</f>
        <v>0</v>
      </c>
      <c r="E29" s="35" t="n">
        <f aca="false">IF(D29="","",ODCs!C35)</f>
        <v>0</v>
      </c>
      <c r="F29" s="35" t="n">
        <f aca="false">IF(D29="","",Travel!C35)</f>
        <v>0</v>
      </c>
      <c r="G29" s="25" t="n">
        <f aca="false">IF(D29="","",D29+E29+F29)</f>
        <v>0</v>
      </c>
      <c r="H29" s="35" t="n">
        <f aca="false">IF(G29="","",G29*Rates!$B$8)</f>
        <v>0</v>
      </c>
      <c r="I29" s="25" t="n">
        <f aca="false">IF(G29="","",G29+H29)</f>
        <v>0</v>
      </c>
      <c r="J29" s="35" t="n">
        <f aca="false">IF(I29="","",I29*Rates!$C$17)</f>
        <v>0</v>
      </c>
      <c r="K29" s="25" t="n">
        <f aca="false">IF(I29="","",I29+J29)</f>
        <v>0</v>
      </c>
      <c r="L29" s="25" t="n">
        <f aca="false">IF(SUM($K$21:K29)=0,"",SUM($K$21:K29))</f>
        <v>150000.704344615</v>
      </c>
      <c r="M29" s="53" t="n">
        <f aca="false">IF(OR(L29="",C29=""),"",L29-C29)</f>
        <v>-1649999.29565538</v>
      </c>
      <c r="N29" s="36" t="n">
        <f aca="false">IF(OR(L29="",C29="",C29=0),"",M29/C29)</f>
        <v>-0.916666275364103</v>
      </c>
      <c r="O29" s="25" t="n">
        <f aca="false">IF(L29="","",$C$8-L29)</f>
        <v>2249999.29565538</v>
      </c>
    </row>
    <row r="30" customFormat="false" ht="15" hidden="false" customHeight="false" outlineLevel="0" collapsed="false">
      <c r="A30" s="54" t="n">
        <v>10</v>
      </c>
      <c r="B30" s="55" t="n">
        <f aca="false">EDATE($C$5,A30-1)</f>
        <v>46296</v>
      </c>
      <c r="C30" s="32" t="n">
        <f aca="false">$C$9*A30</f>
        <v>2000000</v>
      </c>
      <c r="D30" s="38" t="n">
        <f aca="false">Labor!H34</f>
        <v>0</v>
      </c>
      <c r="E30" s="38" t="n">
        <f aca="false">IF(D30="","",ODCs!C36)</f>
        <v>0</v>
      </c>
      <c r="F30" s="38" t="n">
        <f aca="false">IF(D30="","",Travel!C36)</f>
        <v>0</v>
      </c>
      <c r="G30" s="32" t="n">
        <f aca="false">IF(D30="","",D30+E30+F30)</f>
        <v>0</v>
      </c>
      <c r="H30" s="38" t="n">
        <f aca="false">IF(G30="","",G30*Rates!$B$8)</f>
        <v>0</v>
      </c>
      <c r="I30" s="32" t="n">
        <f aca="false">IF(G30="","",G30+H30)</f>
        <v>0</v>
      </c>
      <c r="J30" s="38" t="n">
        <f aca="false">IF(I30="","",I30*Rates!$C$17)</f>
        <v>0</v>
      </c>
      <c r="K30" s="32" t="n">
        <f aca="false">IF(I30="","",I30+J30)</f>
        <v>0</v>
      </c>
      <c r="L30" s="32" t="n">
        <f aca="false">IF(SUM($K$21:K30)=0,"",SUM($K$21:K30))</f>
        <v>150000.704344615</v>
      </c>
      <c r="M30" s="56" t="n">
        <f aca="false">IF(OR(L30="",C30=""),"",L30-C30)</f>
        <v>-1849999.29565538</v>
      </c>
      <c r="N30" s="39" t="n">
        <f aca="false">IF(OR(L30="",C30="",C30=0),"",M30/C30)</f>
        <v>-0.924999647827692</v>
      </c>
      <c r="O30" s="32" t="n">
        <f aca="false">IF(L30="","",$C$8-L30)</f>
        <v>2249999.29565538</v>
      </c>
    </row>
    <row r="31" customFormat="false" ht="15" hidden="false" customHeight="false" outlineLevel="0" collapsed="false">
      <c r="A31" s="51" t="n">
        <v>11</v>
      </c>
      <c r="B31" s="52" t="n">
        <f aca="false">EDATE($C$5,A31-1)</f>
        <v>46327</v>
      </c>
      <c r="C31" s="25" t="n">
        <f aca="false">$C$9*A31</f>
        <v>2200000</v>
      </c>
      <c r="D31" s="35" t="n">
        <f aca="false">Labor!H35</f>
        <v>0</v>
      </c>
      <c r="E31" s="35" t="n">
        <f aca="false">IF(D31="","",ODCs!C37)</f>
        <v>0</v>
      </c>
      <c r="F31" s="35" t="n">
        <f aca="false">IF(D31="","",Travel!C37)</f>
        <v>0</v>
      </c>
      <c r="G31" s="25" t="n">
        <f aca="false">IF(D31="","",D31+E31+F31)</f>
        <v>0</v>
      </c>
      <c r="H31" s="35" t="n">
        <f aca="false">IF(G31="","",G31*Rates!$B$8)</f>
        <v>0</v>
      </c>
      <c r="I31" s="25" t="n">
        <f aca="false">IF(G31="","",G31+H31)</f>
        <v>0</v>
      </c>
      <c r="J31" s="35" t="n">
        <f aca="false">IF(I31="","",I31*Rates!$C$17)</f>
        <v>0</v>
      </c>
      <c r="K31" s="25" t="n">
        <f aca="false">IF(I31="","",I31+J31)</f>
        <v>0</v>
      </c>
      <c r="L31" s="25" t="n">
        <f aca="false">IF(SUM($K$21:K31)=0,"",SUM($K$21:K31))</f>
        <v>150000.704344615</v>
      </c>
      <c r="M31" s="53" t="n">
        <f aca="false">IF(OR(L31="",C31=""),"",L31-C31)</f>
        <v>-2049999.29565538</v>
      </c>
      <c r="N31" s="36" t="n">
        <f aca="false">IF(OR(L31="",C31="",C31=0),"",M31/C31)</f>
        <v>-0.931817861661539</v>
      </c>
      <c r="O31" s="25" t="n">
        <f aca="false">IF(L31="","",$C$8-L31)</f>
        <v>2249999.29565538</v>
      </c>
    </row>
    <row r="32" customFormat="false" ht="15" hidden="false" customHeight="false" outlineLevel="0" collapsed="false">
      <c r="A32" s="54" t="n">
        <v>12</v>
      </c>
      <c r="B32" s="55" t="n">
        <f aca="false">EDATE($C$5,A32-1)</f>
        <v>46357</v>
      </c>
      <c r="C32" s="32" t="n">
        <f aca="false">$C$9*A32</f>
        <v>2400000</v>
      </c>
      <c r="D32" s="38" t="n">
        <f aca="false">Labor!H36</f>
        <v>0</v>
      </c>
      <c r="E32" s="38" t="n">
        <f aca="false">IF(D32="","",ODCs!C38)</f>
        <v>0</v>
      </c>
      <c r="F32" s="38" t="n">
        <f aca="false">IF(D32="","",Travel!C38)</f>
        <v>0</v>
      </c>
      <c r="G32" s="32" t="n">
        <f aca="false">IF(D32="","",D32+E32+F32)</f>
        <v>0</v>
      </c>
      <c r="H32" s="38" t="n">
        <f aca="false">IF(G32="","",G32*Rates!$B$8)</f>
        <v>0</v>
      </c>
      <c r="I32" s="32" t="n">
        <f aca="false">IF(G32="","",G32+H32)</f>
        <v>0</v>
      </c>
      <c r="J32" s="38" t="n">
        <f aca="false">IF(I32="","",I32*Rates!$C$17)</f>
        <v>0</v>
      </c>
      <c r="K32" s="32" t="n">
        <f aca="false">IF(I32="","",I32+J32)</f>
        <v>0</v>
      </c>
      <c r="L32" s="32" t="n">
        <f aca="false">IF(SUM($K$21:K32)=0,"",SUM($K$21:K32))</f>
        <v>150000.704344615</v>
      </c>
      <c r="M32" s="56" t="n">
        <f aca="false">IF(OR(L32="",C32=""),"",L32-C32)</f>
        <v>-2249999.29565538</v>
      </c>
      <c r="N32" s="39" t="n">
        <f aca="false">IF(OR(L32="",C32="",C32=0),"",M32/C32)</f>
        <v>-0.937499706523077</v>
      </c>
      <c r="O32" s="32" t="n">
        <f aca="false">IF(L32="","",$C$8-L32)</f>
        <v>2249999.29565538</v>
      </c>
    </row>
    <row r="34" customFormat="false" ht="15" hidden="false" customHeight="false" outlineLevel="0" collapsed="false">
      <c r="A34" s="2" t="s">
        <v>111</v>
      </c>
    </row>
  </sheetData>
  <mergeCells count="15">
    <mergeCell ref="A3:B3"/>
    <mergeCell ref="A4:B4"/>
    <mergeCell ref="A5:B5"/>
    <mergeCell ref="A6:B6"/>
    <mergeCell ref="A7:B7"/>
    <mergeCell ref="A8:B8"/>
    <mergeCell ref="A9:B9"/>
    <mergeCell ref="A12:B12"/>
    <mergeCell ref="A13:B13"/>
    <mergeCell ref="A14:B14"/>
    <mergeCell ref="A15:B15"/>
    <mergeCell ref="A16:B16"/>
    <mergeCell ref="A17:B17"/>
    <mergeCell ref="A18:B18"/>
    <mergeCell ref="C18:G18"/>
  </mergeCells>
  <conditionalFormatting sqref="C18:G18">
    <cfRule type="expression" priority="2" aboveAverage="0" equalAverage="0" bottom="0" percent="0" rank="0" text="" dxfId="0">
      <formula>ISNUMBER(SEARCH("AT RISK",$C18))</formula>
    </cfRule>
    <cfRule type="expression" priority="3" aboveAverage="0" equalAverage="0" bottom="0" percent="0" rank="0" text="" dxfId="1">
      <formula>$C18="ON TRACK"</formula>
    </cfRule>
    <cfRule type="expression" priority="4" aboveAverage="0" equalAverage="0" bottom="0" percent="0" rank="0" text="" dxfId="2">
      <formula>$C18="NO DATA YET"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6" min="4" style="0" width="1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5" min="12" style="0" width="10"/>
    <col collapsed="false" customWidth="true" hidden="false" outlineLevel="0" max="16" min="16" style="0" width="9"/>
  </cols>
  <sheetData>
    <row r="1" customFormat="false" ht="21.75" hidden="false" customHeight="true" outlineLevel="0" collapsed="false">
      <c r="B1" s="3" t="s">
        <v>145</v>
      </c>
      <c r="P1" s="6" t="s">
        <v>62</v>
      </c>
    </row>
    <row r="3" customFormat="false" ht="15" hidden="false" customHeight="false" outlineLevel="0" collapsed="false">
      <c r="A3" s="2" t="s">
        <v>146</v>
      </c>
    </row>
    <row r="4" customFormat="false" ht="42" hidden="false" customHeight="true" outlineLevel="0" collapsed="false">
      <c r="A4" s="17" t="s">
        <v>147</v>
      </c>
      <c r="B4" s="17" t="s">
        <v>148</v>
      </c>
      <c r="C4" s="17" t="s">
        <v>149</v>
      </c>
      <c r="D4" s="17" t="s">
        <v>150</v>
      </c>
      <c r="E4" s="17" t="s">
        <v>151</v>
      </c>
      <c r="F4" s="17" t="s">
        <v>152</v>
      </c>
      <c r="G4" s="17" t="s">
        <v>153</v>
      </c>
      <c r="H4" s="17" t="s">
        <v>154</v>
      </c>
      <c r="I4" s="17" t="s">
        <v>155</v>
      </c>
      <c r="J4" s="17" t="s">
        <v>156</v>
      </c>
      <c r="K4" s="17" t="s">
        <v>157</v>
      </c>
      <c r="L4" s="17" t="s">
        <v>158</v>
      </c>
      <c r="M4" s="17" t="s">
        <v>159</v>
      </c>
      <c r="N4" s="17" t="s">
        <v>160</v>
      </c>
      <c r="O4" s="17" t="s">
        <v>161</v>
      </c>
      <c r="P4" s="17" t="s">
        <v>162</v>
      </c>
    </row>
    <row r="5" customFormat="false" ht="15" hidden="false" customHeight="false" outlineLevel="0" collapsed="false">
      <c r="A5" s="20" t="n">
        <v>123456</v>
      </c>
      <c r="B5" s="20" t="s">
        <v>163</v>
      </c>
      <c r="C5" s="20" t="s">
        <v>164</v>
      </c>
      <c r="D5" s="20" t="s">
        <v>165</v>
      </c>
      <c r="E5" s="23" t="n">
        <v>150000</v>
      </c>
      <c r="F5" s="57"/>
      <c r="G5" s="20" t="n">
        <v>2080</v>
      </c>
      <c r="H5" s="58" t="n">
        <f aca="false">IF(A5="","",IF(D5="Exempt",IF(G5=0,"",E5/G5),F5))</f>
        <v>72.1153846153846</v>
      </c>
      <c r="I5" s="51" t="str">
        <f aca="false">IF(A5="","",IF(D5="Non-Exempt",H5*1.5,"N/A"))</f>
        <v>N/A</v>
      </c>
      <c r="J5" s="21" t="n">
        <v>46213</v>
      </c>
      <c r="K5" s="21"/>
      <c r="L5" s="20" t="n">
        <v>8</v>
      </c>
      <c r="M5" s="20" t="n">
        <v>0</v>
      </c>
      <c r="N5" s="59" t="n">
        <f aca="true">IF(A5="","",IFERROR(L5*MAX(0,DATEDIF(J5,IF(K5="",TODAY(),MIN(K5,TODAY())),"m")),0))</f>
        <v>8</v>
      </c>
      <c r="O5" s="60"/>
      <c r="P5" s="59" t="n">
        <f aca="false">IF(A5="","",M5+N5-O5)</f>
        <v>8</v>
      </c>
    </row>
    <row r="6" customFormat="false" ht="15" hidden="false" customHeight="false" outlineLevel="0" collapsed="false">
      <c r="A6" s="27" t="n">
        <v>123457</v>
      </c>
      <c r="B6" s="27" t="s">
        <v>166</v>
      </c>
      <c r="C6" s="27" t="s">
        <v>167</v>
      </c>
      <c r="D6" s="27" t="s">
        <v>165</v>
      </c>
      <c r="E6" s="30" t="n">
        <v>165000</v>
      </c>
      <c r="F6" s="61"/>
      <c r="G6" s="27" t="n">
        <v>2080</v>
      </c>
      <c r="H6" s="62" t="n">
        <f aca="false">IF(A6="","",IF(D6="Exempt",IF(G6=0,"",E6/G6),F6))</f>
        <v>79.3269230769231</v>
      </c>
      <c r="I6" s="54" t="str">
        <f aca="false">IF(A6="","",IF(D6="Non-Exempt",H6*1.5,"N/A"))</f>
        <v>N/A</v>
      </c>
      <c r="J6" s="28" t="n">
        <v>46023</v>
      </c>
      <c r="K6" s="28"/>
      <c r="L6" s="27" t="n">
        <v>8</v>
      </c>
      <c r="M6" s="27" t="n">
        <v>12</v>
      </c>
      <c r="N6" s="63" t="n">
        <f aca="true">IF(A6="","",IFERROR(L6*MAX(0,DATEDIF(J6,IF(K6="",TODAY(),MIN(K6,TODAY())),"m")),0))</f>
        <v>56</v>
      </c>
      <c r="O6" s="64"/>
      <c r="P6" s="63" t="n">
        <f aca="false">IF(A6="","",M6+N6-O6)</f>
        <v>68</v>
      </c>
    </row>
    <row r="7" customFormat="false" ht="15" hidden="false" customHeight="false" outlineLevel="0" collapsed="false">
      <c r="A7" s="20" t="n">
        <v>123458</v>
      </c>
      <c r="B7" s="20" t="s">
        <v>168</v>
      </c>
      <c r="C7" s="20" t="s">
        <v>169</v>
      </c>
      <c r="D7" s="20" t="s">
        <v>170</v>
      </c>
      <c r="E7" s="23"/>
      <c r="F7" s="57" t="n">
        <v>28.5</v>
      </c>
      <c r="G7" s="20" t="n">
        <v>2080</v>
      </c>
      <c r="H7" s="58" t="n">
        <f aca="false">IF(A7="","",IF(D7="Exempt",IF(G7=0,"",E7/G7),F7))</f>
        <v>28.5</v>
      </c>
      <c r="I7" s="58" t="n">
        <f aca="false">IF(A7="","",IF(D7="Non-Exempt",H7*1.5,"N/A"))</f>
        <v>42.75</v>
      </c>
      <c r="J7" s="21" t="n">
        <v>46023</v>
      </c>
      <c r="K7" s="21"/>
      <c r="L7" s="20" t="n">
        <v>6.67</v>
      </c>
      <c r="M7" s="20" t="n">
        <v>5</v>
      </c>
      <c r="N7" s="59" t="n">
        <f aca="true">IF(A7="","",IFERROR(L7*MAX(0,DATEDIF(J7,IF(K7="",TODAY(),MIN(K7,TODAY())),"m")),0))</f>
        <v>46.69</v>
      </c>
      <c r="O7" s="60"/>
      <c r="P7" s="59" t="n">
        <f aca="false">IF(A7="","",M7+N7-O7)</f>
        <v>51.69</v>
      </c>
    </row>
    <row r="8" customFormat="false" ht="15" hidden="false" customHeight="false" outlineLevel="0" collapsed="false">
      <c r="A8" s="27"/>
      <c r="B8" s="27"/>
      <c r="C8" s="27"/>
      <c r="D8" s="27"/>
      <c r="E8" s="30"/>
      <c r="F8" s="61"/>
      <c r="G8" s="27" t="n">
        <v>2080</v>
      </c>
      <c r="H8" s="62" t="str">
        <f aca="false">IF(A8="","",IF(D8="Exempt",IF(G8=0,"",E8/G8),F8))</f>
        <v/>
      </c>
      <c r="I8" s="54" t="str">
        <f aca="false">IF(A8="","",IF(D8="Non-Exempt",H8*1.5,"N/A"))</f>
        <v/>
      </c>
      <c r="J8" s="28"/>
      <c r="K8" s="28"/>
      <c r="L8" s="27"/>
      <c r="M8" s="27"/>
      <c r="N8" s="63" t="str">
        <f aca="true">IF(A8="","",IFERROR(L8*MAX(0,DATEDIF(J8,IF(K8="",TODAY(),MIN(K8,TODAY())),"m")),0))</f>
        <v/>
      </c>
      <c r="O8" s="64"/>
      <c r="P8" s="63" t="str">
        <f aca="false">IF(A8="","",M8+N8-O8)</f>
        <v/>
      </c>
    </row>
    <row r="9" customFormat="false" ht="15" hidden="false" customHeight="false" outlineLevel="0" collapsed="false">
      <c r="A9" s="20"/>
      <c r="B9" s="20"/>
      <c r="C9" s="20"/>
      <c r="D9" s="20"/>
      <c r="E9" s="23"/>
      <c r="F9" s="57"/>
      <c r="G9" s="20" t="n">
        <v>2080</v>
      </c>
      <c r="H9" s="58" t="str">
        <f aca="false">IF(A9="","",IF(D9="Exempt",IF(G9=0,"",E9/G9),F9))</f>
        <v/>
      </c>
      <c r="I9" s="51" t="str">
        <f aca="false">IF(A9="","",IF(D9="Non-Exempt",H9*1.5,"N/A"))</f>
        <v/>
      </c>
      <c r="J9" s="21"/>
      <c r="K9" s="21"/>
      <c r="L9" s="20"/>
      <c r="M9" s="20"/>
      <c r="N9" s="59" t="str">
        <f aca="true">IF(A9="","",IFERROR(L9*MAX(0,DATEDIF(J9,IF(K9="",TODAY(),MIN(K9,TODAY())),"m")),0))</f>
        <v/>
      </c>
      <c r="O9" s="60"/>
      <c r="P9" s="59" t="str">
        <f aca="false">IF(A9="","",M9+N9-O9)</f>
        <v/>
      </c>
    </row>
    <row r="10" customFormat="false" ht="15" hidden="false" customHeight="false" outlineLevel="0" collapsed="false">
      <c r="A10" s="27"/>
      <c r="B10" s="27"/>
      <c r="C10" s="27"/>
      <c r="D10" s="27"/>
      <c r="E10" s="30"/>
      <c r="F10" s="61"/>
      <c r="G10" s="27" t="n">
        <v>2080</v>
      </c>
      <c r="H10" s="62" t="str">
        <f aca="false">IF(A10="","",IF(D10="Exempt",IF(G10=0,"",E10/G10),F10))</f>
        <v/>
      </c>
      <c r="I10" s="54" t="str">
        <f aca="false">IF(A10="","",IF(D10="Non-Exempt",H10*1.5,"N/A"))</f>
        <v/>
      </c>
      <c r="J10" s="28"/>
      <c r="K10" s="28"/>
      <c r="L10" s="27"/>
      <c r="M10" s="27"/>
      <c r="N10" s="63" t="str">
        <f aca="true">IF(A10="","",IFERROR(L10*MAX(0,DATEDIF(J10,IF(K10="",TODAY(),MIN(K10,TODAY())),"m")),0))</f>
        <v/>
      </c>
      <c r="O10" s="64"/>
      <c r="P10" s="63" t="str">
        <f aca="false">IF(A10="","",M10+N10-O10)</f>
        <v/>
      </c>
    </row>
    <row r="11" customFormat="false" ht="15" hidden="false" customHeight="false" outlineLevel="0" collapsed="false">
      <c r="A11" s="20"/>
      <c r="B11" s="20"/>
      <c r="C11" s="20"/>
      <c r="D11" s="20"/>
      <c r="E11" s="23"/>
      <c r="F11" s="57"/>
      <c r="G11" s="20" t="n">
        <v>2080</v>
      </c>
      <c r="H11" s="58" t="str">
        <f aca="false">IF(A11="","",IF(D11="Exempt",IF(G11=0,"",E11/G11),F11))</f>
        <v/>
      </c>
      <c r="I11" s="51" t="str">
        <f aca="false">IF(A11="","",IF(D11="Non-Exempt",H11*1.5,"N/A"))</f>
        <v/>
      </c>
      <c r="J11" s="21"/>
      <c r="K11" s="21"/>
      <c r="L11" s="20"/>
      <c r="M11" s="20"/>
      <c r="N11" s="59" t="str">
        <f aca="true">IF(A11="","",IFERROR(L11*MAX(0,DATEDIF(J11,IF(K11="",TODAY(),MIN(K11,TODAY())),"m")),0))</f>
        <v/>
      </c>
      <c r="O11" s="60"/>
      <c r="P11" s="59" t="str">
        <f aca="false">IF(A11="","",M11+N11-O11)</f>
        <v/>
      </c>
    </row>
    <row r="12" customFormat="false" ht="15" hidden="false" customHeight="false" outlineLevel="0" collapsed="false">
      <c r="A12" s="27"/>
      <c r="B12" s="27"/>
      <c r="C12" s="27"/>
      <c r="D12" s="27"/>
      <c r="E12" s="30"/>
      <c r="F12" s="61"/>
      <c r="G12" s="27" t="n">
        <v>2080</v>
      </c>
      <c r="H12" s="62" t="str">
        <f aca="false">IF(A12="","",IF(D12="Exempt",IF(G12=0,"",E12/G12),F12))</f>
        <v/>
      </c>
      <c r="I12" s="54" t="str">
        <f aca="false">IF(A12="","",IF(D12="Non-Exempt",H12*1.5,"N/A"))</f>
        <v/>
      </c>
      <c r="J12" s="28"/>
      <c r="K12" s="28"/>
      <c r="L12" s="27"/>
      <c r="M12" s="27"/>
      <c r="N12" s="63" t="str">
        <f aca="true">IF(A12="","",IFERROR(L12*MAX(0,DATEDIF(J12,IF(K12="",TODAY(),MIN(K12,TODAY())),"m")),0))</f>
        <v/>
      </c>
      <c r="O12" s="64"/>
      <c r="P12" s="63" t="str">
        <f aca="false">IF(A12="","",M12+N12-O12)</f>
        <v/>
      </c>
    </row>
    <row r="13" customFormat="false" ht="15" hidden="false" customHeight="false" outlineLevel="0" collapsed="false">
      <c r="A13" s="20"/>
      <c r="B13" s="20"/>
      <c r="C13" s="20"/>
      <c r="D13" s="20"/>
      <c r="E13" s="23"/>
      <c r="F13" s="57"/>
      <c r="G13" s="20" t="n">
        <v>2080</v>
      </c>
      <c r="H13" s="58" t="str">
        <f aca="false">IF(A13="","",IF(D13="Exempt",IF(G13=0,"",E13/G13),F13))</f>
        <v/>
      </c>
      <c r="I13" s="51" t="str">
        <f aca="false">IF(A13="","",IF(D13="Non-Exempt",H13*1.5,"N/A"))</f>
        <v/>
      </c>
      <c r="J13" s="21"/>
      <c r="K13" s="21"/>
      <c r="L13" s="20"/>
      <c r="M13" s="20"/>
      <c r="N13" s="59" t="str">
        <f aca="true">IF(A13="","",IFERROR(L13*MAX(0,DATEDIF(J13,IF(K13="",TODAY(),MIN(K13,TODAY())),"m")),0))</f>
        <v/>
      </c>
      <c r="O13" s="60"/>
      <c r="P13" s="59" t="str">
        <f aca="false">IF(A13="","",M13+N13-O13)</f>
        <v/>
      </c>
    </row>
    <row r="14" customFormat="false" ht="15" hidden="false" customHeight="false" outlineLevel="0" collapsed="false">
      <c r="A14" s="27"/>
      <c r="B14" s="27"/>
      <c r="C14" s="27"/>
      <c r="D14" s="27"/>
      <c r="E14" s="30"/>
      <c r="F14" s="61"/>
      <c r="G14" s="27" t="n">
        <v>2080</v>
      </c>
      <c r="H14" s="62" t="str">
        <f aca="false">IF(A14="","",IF(D14="Exempt",IF(G14=0,"",E14/G14),F14))</f>
        <v/>
      </c>
      <c r="I14" s="54" t="str">
        <f aca="false">IF(A14="","",IF(D14="Non-Exempt",H14*1.5,"N/A"))</f>
        <v/>
      </c>
      <c r="J14" s="28"/>
      <c r="K14" s="28"/>
      <c r="L14" s="27"/>
      <c r="M14" s="27"/>
      <c r="N14" s="63" t="str">
        <f aca="true">IF(A14="","",IFERROR(L14*MAX(0,DATEDIF(J14,IF(K14="",TODAY(),MIN(K14,TODAY())),"m")),0))</f>
        <v/>
      </c>
      <c r="O14" s="64"/>
      <c r="P14" s="63" t="str">
        <f aca="false">IF(A14="","",M14+N14-O14)</f>
        <v/>
      </c>
    </row>
    <row r="15" customFormat="false" ht="15" hidden="false" customHeight="false" outlineLevel="0" collapsed="false">
      <c r="A15" s="20"/>
      <c r="B15" s="20"/>
      <c r="C15" s="20"/>
      <c r="D15" s="20"/>
      <c r="E15" s="23"/>
      <c r="F15" s="57"/>
      <c r="G15" s="20" t="n">
        <v>2080</v>
      </c>
      <c r="H15" s="58" t="str">
        <f aca="false">IF(A15="","",IF(D15="Exempt",IF(G15=0,"",E15/G15),F15))</f>
        <v/>
      </c>
      <c r="I15" s="51" t="str">
        <f aca="false">IF(A15="","",IF(D15="Non-Exempt",H15*1.5,"N/A"))</f>
        <v/>
      </c>
      <c r="J15" s="21"/>
      <c r="K15" s="21"/>
      <c r="L15" s="20"/>
      <c r="M15" s="20"/>
      <c r="N15" s="59" t="str">
        <f aca="true">IF(A15="","",IFERROR(L15*MAX(0,DATEDIF(J15,IF(K15="",TODAY(),MIN(K15,TODAY())),"m")),0))</f>
        <v/>
      </c>
      <c r="O15" s="60"/>
      <c r="P15" s="59" t="str">
        <f aca="false">IF(A15="","",M15+N15-O15)</f>
        <v/>
      </c>
    </row>
    <row r="16" customFormat="false" ht="15" hidden="false" customHeight="false" outlineLevel="0" collapsed="false">
      <c r="A16" s="27"/>
      <c r="B16" s="27"/>
      <c r="C16" s="27"/>
      <c r="D16" s="27"/>
      <c r="E16" s="30"/>
      <c r="F16" s="61"/>
      <c r="G16" s="27" t="n">
        <v>2080</v>
      </c>
      <c r="H16" s="62" t="str">
        <f aca="false">IF(A16="","",IF(D16="Exempt",IF(G16=0,"",E16/G16),F16))</f>
        <v/>
      </c>
      <c r="I16" s="54" t="str">
        <f aca="false">IF(A16="","",IF(D16="Non-Exempt",H16*1.5,"N/A"))</f>
        <v/>
      </c>
      <c r="J16" s="28"/>
      <c r="K16" s="28"/>
      <c r="L16" s="27"/>
      <c r="M16" s="27"/>
      <c r="N16" s="63" t="str">
        <f aca="true">IF(A16="","",IFERROR(L16*MAX(0,DATEDIF(J16,IF(K16="",TODAY(),MIN(K16,TODAY())),"m")),0))</f>
        <v/>
      </c>
      <c r="O16" s="64"/>
      <c r="P16" s="63" t="str">
        <f aca="false">IF(A16="","",M16+N16-O16)</f>
        <v/>
      </c>
    </row>
    <row r="17" customFormat="false" ht="15" hidden="false" customHeight="false" outlineLevel="0" collapsed="false">
      <c r="A17" s="20"/>
      <c r="B17" s="20"/>
      <c r="C17" s="20"/>
      <c r="D17" s="20"/>
      <c r="E17" s="23"/>
      <c r="F17" s="57"/>
      <c r="G17" s="20" t="n">
        <v>2080</v>
      </c>
      <c r="H17" s="58" t="str">
        <f aca="false">IF(A17="","",IF(D17="Exempt",IF(G17=0,"",E17/G17),F17))</f>
        <v/>
      </c>
      <c r="I17" s="51" t="str">
        <f aca="false">IF(A17="","",IF(D17="Non-Exempt",H17*1.5,"N/A"))</f>
        <v/>
      </c>
      <c r="J17" s="21"/>
      <c r="K17" s="21"/>
      <c r="L17" s="20"/>
      <c r="M17" s="20"/>
      <c r="N17" s="59" t="str">
        <f aca="true">IF(A17="","",IFERROR(L17*MAX(0,DATEDIF(J17,IF(K17="",TODAY(),MIN(K17,TODAY())),"m")),0))</f>
        <v/>
      </c>
      <c r="O17" s="60"/>
      <c r="P17" s="59" t="str">
        <f aca="false">IF(A17="","",M17+N17-O17)</f>
        <v/>
      </c>
    </row>
    <row r="18" customFormat="false" ht="15" hidden="false" customHeight="false" outlineLevel="0" collapsed="false">
      <c r="A18" s="27"/>
      <c r="B18" s="27"/>
      <c r="C18" s="27"/>
      <c r="D18" s="27"/>
      <c r="E18" s="30"/>
      <c r="F18" s="61"/>
      <c r="G18" s="27" t="n">
        <v>2080</v>
      </c>
      <c r="H18" s="62" t="str">
        <f aca="false">IF(A18="","",IF(D18="Exempt",IF(G18=0,"",E18/G18),F18))</f>
        <v/>
      </c>
      <c r="I18" s="54" t="str">
        <f aca="false">IF(A18="","",IF(D18="Non-Exempt",H18*1.5,"N/A"))</f>
        <v/>
      </c>
      <c r="J18" s="28"/>
      <c r="K18" s="28"/>
      <c r="L18" s="27"/>
      <c r="M18" s="27"/>
      <c r="N18" s="63" t="str">
        <f aca="true">IF(A18="","",IFERROR(L18*MAX(0,DATEDIF(J18,IF(K18="",TODAY(),MIN(K18,TODAY())),"m")),0))</f>
        <v/>
      </c>
      <c r="O18" s="64"/>
      <c r="P18" s="63" t="str">
        <f aca="false">IF(A18="","",M18+N18-O18)</f>
        <v/>
      </c>
    </row>
    <row r="19" customFormat="false" ht="15" hidden="false" customHeight="false" outlineLevel="0" collapsed="false">
      <c r="A19" s="20"/>
      <c r="B19" s="20"/>
      <c r="C19" s="20"/>
      <c r="D19" s="20"/>
      <c r="E19" s="23"/>
      <c r="F19" s="57"/>
      <c r="G19" s="20" t="n">
        <v>2080</v>
      </c>
      <c r="H19" s="58" t="str">
        <f aca="false">IF(A19="","",IF(D19="Exempt",IF(G19=0,"",E19/G19),F19))</f>
        <v/>
      </c>
      <c r="I19" s="51" t="str">
        <f aca="false">IF(A19="","",IF(D19="Non-Exempt",H19*1.5,"N/A"))</f>
        <v/>
      </c>
      <c r="J19" s="21"/>
      <c r="K19" s="21"/>
      <c r="L19" s="20"/>
      <c r="M19" s="20"/>
      <c r="N19" s="59" t="str">
        <f aca="true">IF(A19="","",IFERROR(L19*MAX(0,DATEDIF(J19,IF(K19="",TODAY(),MIN(K19,TODAY())),"m")),0))</f>
        <v/>
      </c>
      <c r="O19" s="60"/>
      <c r="P19" s="59" t="str">
        <f aca="false">IF(A19="","",M19+N19-O19)</f>
        <v/>
      </c>
    </row>
    <row r="21" customFormat="false" ht="15" hidden="false" customHeight="false" outlineLevel="0" collapsed="false">
      <c r="A21" s="2" t="s">
        <v>111</v>
      </c>
    </row>
  </sheetData>
  <dataValidations count="1">
    <dataValidation allowBlank="true" errorStyle="stop" operator="between" showDropDown="false" showErrorMessage="false" showInputMessage="false" sqref="D5:D19" type="list">
      <formula1>"Exempt,Non-Exempt"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B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8" min="7" style="0" width="8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2" min="11" style="0" width="8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6" min="15" style="0" width="8"/>
    <col collapsed="false" customWidth="true" hidden="false" outlineLevel="0" max="17" min="17" style="0" width="7"/>
    <col collapsed="false" customWidth="true" hidden="false" outlineLevel="0" max="18" min="18" style="0" width="10"/>
    <col collapsed="false" customWidth="true" hidden="false" outlineLevel="0" max="20" min="19" style="0" width="8"/>
    <col collapsed="false" customWidth="true" hidden="false" outlineLevel="0" max="21" min="21" style="0" width="7"/>
    <col collapsed="false" customWidth="true" hidden="false" outlineLevel="0" max="22" min="22" style="0" width="10"/>
    <col collapsed="false" customWidth="true" hidden="false" outlineLevel="0" max="24" min="23" style="0" width="8"/>
    <col collapsed="false" customWidth="true" hidden="false" outlineLevel="0" max="25" min="25" style="0" width="7"/>
    <col collapsed="false" customWidth="true" hidden="false" outlineLevel="0" max="26" min="26" style="0" width="10"/>
    <col collapsed="false" customWidth="true" hidden="false" outlineLevel="0" max="28" min="27" style="0" width="8"/>
    <col collapsed="false" customWidth="true" hidden="false" outlineLevel="0" max="29" min="29" style="0" width="7"/>
    <col collapsed="false" customWidth="true" hidden="false" outlineLevel="0" max="30" min="30" style="0" width="10"/>
    <col collapsed="false" customWidth="true" hidden="false" outlineLevel="0" max="32" min="31" style="0" width="8"/>
    <col collapsed="false" customWidth="true" hidden="false" outlineLevel="0" max="33" min="33" style="0" width="7"/>
    <col collapsed="false" customWidth="true" hidden="false" outlineLevel="0" max="34" min="34" style="0" width="10"/>
    <col collapsed="false" customWidth="true" hidden="false" outlineLevel="0" max="36" min="35" style="0" width="8"/>
    <col collapsed="false" customWidth="true" hidden="false" outlineLevel="0" max="37" min="37" style="0" width="7"/>
    <col collapsed="false" customWidth="true" hidden="false" outlineLevel="0" max="38" min="38" style="0" width="10"/>
    <col collapsed="false" customWidth="true" hidden="false" outlineLevel="0" max="40" min="39" style="0" width="8"/>
    <col collapsed="false" customWidth="true" hidden="false" outlineLevel="0" max="41" min="41" style="0" width="7"/>
    <col collapsed="false" customWidth="true" hidden="false" outlineLevel="0" max="42" min="42" style="0" width="10"/>
    <col collapsed="false" customWidth="true" hidden="false" outlineLevel="0" max="44" min="43" style="0" width="8"/>
    <col collapsed="false" customWidth="true" hidden="false" outlineLevel="0" max="45" min="45" style="0" width="7"/>
    <col collapsed="false" customWidth="true" hidden="false" outlineLevel="0" max="46" min="46" style="0" width="10"/>
    <col collapsed="false" customWidth="true" hidden="false" outlineLevel="0" max="48" min="47" style="0" width="8"/>
    <col collapsed="false" customWidth="true" hidden="false" outlineLevel="0" max="49" min="49" style="0" width="7"/>
    <col collapsed="false" customWidth="true" hidden="false" outlineLevel="0" max="50" min="50" style="0" width="10"/>
    <col collapsed="false" customWidth="true" hidden="false" outlineLevel="0" max="52" min="51" style="0" width="8"/>
    <col collapsed="false" customWidth="true" hidden="false" outlineLevel="0" max="53" min="53" style="0" width="7"/>
    <col collapsed="false" customWidth="true" hidden="false" outlineLevel="0" max="56" min="54" style="0" width="10"/>
    <col collapsed="false" customWidth="true" hidden="false" outlineLevel="0" max="58" min="57" style="0" width="14"/>
  </cols>
  <sheetData>
    <row r="1" customFormat="false" ht="21.75" hidden="false" customHeight="true" outlineLevel="0" collapsed="false">
      <c r="B1" s="3" t="s">
        <v>107</v>
      </c>
      <c r="BF1" s="6" t="s">
        <v>62</v>
      </c>
    </row>
    <row r="3" customFormat="false" ht="15" hidden="false" customHeight="false" outlineLevel="0" collapsed="false">
      <c r="A3" s="2" t="s">
        <v>171</v>
      </c>
    </row>
    <row r="4" customFormat="false" ht="25.5" hidden="false" customHeight="true" outlineLevel="0" collapsed="false">
      <c r="A4" s="19" t="s">
        <v>147</v>
      </c>
      <c r="B4" s="19" t="s">
        <v>172</v>
      </c>
      <c r="C4" s="19" t="s">
        <v>149</v>
      </c>
      <c r="D4" s="19" t="s">
        <v>173</v>
      </c>
      <c r="E4" s="19" t="s">
        <v>174</v>
      </c>
      <c r="F4" s="65" t="s">
        <v>175</v>
      </c>
      <c r="G4" s="66" t="s">
        <v>176</v>
      </c>
      <c r="H4" s="66"/>
      <c r="I4" s="66"/>
      <c r="J4" s="66"/>
      <c r="K4" s="66" t="s">
        <v>177</v>
      </c>
      <c r="L4" s="66"/>
      <c r="M4" s="66"/>
      <c r="N4" s="66"/>
      <c r="O4" s="66" t="s">
        <v>178</v>
      </c>
      <c r="P4" s="66"/>
      <c r="Q4" s="66"/>
      <c r="R4" s="66"/>
      <c r="S4" s="66" t="s">
        <v>179</v>
      </c>
      <c r="T4" s="66"/>
      <c r="U4" s="66"/>
      <c r="V4" s="66"/>
      <c r="W4" s="66" t="s">
        <v>180</v>
      </c>
      <c r="X4" s="66"/>
      <c r="Y4" s="66"/>
      <c r="Z4" s="66"/>
      <c r="AA4" s="66" t="s">
        <v>181</v>
      </c>
      <c r="AB4" s="66"/>
      <c r="AC4" s="66"/>
      <c r="AD4" s="66"/>
      <c r="AE4" s="66" t="s">
        <v>182</v>
      </c>
      <c r="AF4" s="66"/>
      <c r="AG4" s="66"/>
      <c r="AH4" s="66"/>
      <c r="AI4" s="66" t="s">
        <v>183</v>
      </c>
      <c r="AJ4" s="66"/>
      <c r="AK4" s="66"/>
      <c r="AL4" s="66"/>
      <c r="AM4" s="66" t="s">
        <v>184</v>
      </c>
      <c r="AN4" s="66"/>
      <c r="AO4" s="66"/>
      <c r="AP4" s="66"/>
      <c r="AQ4" s="66" t="s">
        <v>185</v>
      </c>
      <c r="AR4" s="66"/>
      <c r="AS4" s="66"/>
      <c r="AT4" s="66"/>
      <c r="AU4" s="66" t="s">
        <v>186</v>
      </c>
      <c r="AV4" s="66"/>
      <c r="AW4" s="66"/>
      <c r="AX4" s="66"/>
      <c r="AY4" s="66" t="s">
        <v>187</v>
      </c>
      <c r="AZ4" s="66"/>
      <c r="BA4" s="66"/>
      <c r="BB4" s="66"/>
      <c r="BC4" s="19" t="s">
        <v>188</v>
      </c>
      <c r="BD4" s="19" t="s">
        <v>189</v>
      </c>
      <c r="BE4" s="19" t="s">
        <v>190</v>
      </c>
      <c r="BF4" s="19" t="s">
        <v>191</v>
      </c>
    </row>
    <row r="5" customFormat="false" ht="30" hidden="false" customHeight="true" outlineLevel="0" collapsed="false">
      <c r="A5" s="19"/>
      <c r="B5" s="19"/>
      <c r="C5" s="19"/>
      <c r="D5" s="19"/>
      <c r="E5" s="19"/>
      <c r="F5" s="65"/>
      <c r="G5" s="17" t="s">
        <v>192</v>
      </c>
      <c r="H5" s="17" t="s">
        <v>193</v>
      </c>
      <c r="I5" s="17" t="s">
        <v>194</v>
      </c>
      <c r="J5" s="18" t="s">
        <v>195</v>
      </c>
      <c r="K5" s="17" t="s">
        <v>192</v>
      </c>
      <c r="L5" s="17" t="s">
        <v>193</v>
      </c>
      <c r="M5" s="17" t="s">
        <v>194</v>
      </c>
      <c r="N5" s="18" t="s">
        <v>195</v>
      </c>
      <c r="O5" s="17" t="s">
        <v>192</v>
      </c>
      <c r="P5" s="17" t="s">
        <v>193</v>
      </c>
      <c r="Q5" s="17" t="s">
        <v>194</v>
      </c>
      <c r="R5" s="18" t="s">
        <v>195</v>
      </c>
      <c r="S5" s="17" t="s">
        <v>192</v>
      </c>
      <c r="T5" s="17" t="s">
        <v>193</v>
      </c>
      <c r="U5" s="17" t="s">
        <v>194</v>
      </c>
      <c r="V5" s="18" t="s">
        <v>195</v>
      </c>
      <c r="W5" s="17" t="s">
        <v>192</v>
      </c>
      <c r="X5" s="17" t="s">
        <v>193</v>
      </c>
      <c r="Y5" s="17" t="s">
        <v>194</v>
      </c>
      <c r="Z5" s="18" t="s">
        <v>195</v>
      </c>
      <c r="AA5" s="17" t="s">
        <v>192</v>
      </c>
      <c r="AB5" s="17" t="s">
        <v>193</v>
      </c>
      <c r="AC5" s="17" t="s">
        <v>194</v>
      </c>
      <c r="AD5" s="18" t="s">
        <v>195</v>
      </c>
      <c r="AE5" s="17" t="s">
        <v>192</v>
      </c>
      <c r="AF5" s="17" t="s">
        <v>193</v>
      </c>
      <c r="AG5" s="17" t="s">
        <v>194</v>
      </c>
      <c r="AH5" s="18" t="s">
        <v>195</v>
      </c>
      <c r="AI5" s="17" t="s">
        <v>192</v>
      </c>
      <c r="AJ5" s="17" t="s">
        <v>193</v>
      </c>
      <c r="AK5" s="17" t="s">
        <v>194</v>
      </c>
      <c r="AL5" s="18" t="s">
        <v>195</v>
      </c>
      <c r="AM5" s="17" t="s">
        <v>192</v>
      </c>
      <c r="AN5" s="17" t="s">
        <v>193</v>
      </c>
      <c r="AO5" s="17" t="s">
        <v>194</v>
      </c>
      <c r="AP5" s="18" t="s">
        <v>195</v>
      </c>
      <c r="AQ5" s="17" t="s">
        <v>192</v>
      </c>
      <c r="AR5" s="17" t="s">
        <v>193</v>
      </c>
      <c r="AS5" s="17" t="s">
        <v>194</v>
      </c>
      <c r="AT5" s="18" t="s">
        <v>195</v>
      </c>
      <c r="AU5" s="17" t="s">
        <v>192</v>
      </c>
      <c r="AV5" s="17" t="s">
        <v>193</v>
      </c>
      <c r="AW5" s="17" t="s">
        <v>194</v>
      </c>
      <c r="AX5" s="18" t="s">
        <v>195</v>
      </c>
      <c r="AY5" s="17" t="s">
        <v>192</v>
      </c>
      <c r="AZ5" s="17" t="s">
        <v>193</v>
      </c>
      <c r="BA5" s="17" t="s">
        <v>194</v>
      </c>
      <c r="BB5" s="18" t="s">
        <v>195</v>
      </c>
      <c r="BC5" s="19"/>
      <c r="BD5" s="19"/>
      <c r="BE5" s="19"/>
      <c r="BF5" s="19"/>
    </row>
    <row r="6" customFormat="false" ht="15" hidden="false" customHeight="false" outlineLevel="0" collapsed="false">
      <c r="A6" s="20" t="n">
        <v>123456</v>
      </c>
      <c r="B6" s="67" t="str">
        <f aca="false">IF(A6="","",IFERROR(INDEX(Personnel!$B$5:$B$19,MATCH($A6,Personnel!$A$5:$A$19,0)),"-- not found --"))</f>
        <v>John Smith</v>
      </c>
      <c r="C6" s="67" t="str">
        <f aca="false">IF(A6="","",IFERROR(INDEX(Personnel!$C$5:$C$19,MATCH($A6,Personnel!$A$5:$A$19,0)),""))</f>
        <v>Engineer 4</v>
      </c>
      <c r="D6" s="68" t="n">
        <f aca="false">IF(A6="","",IFERROR(INDEX(Personnel!$H$5:$H$19,MATCH($A6,Personnel!$A$5:$A$19,0)),""))</f>
        <v>72.1153846153846</v>
      </c>
      <c r="E6" s="20" t="s">
        <v>196</v>
      </c>
      <c r="F6" s="69" t="str">
        <f aca="false">IF(A6="","",IFERROR(INDEX(Personnel!$D$5:$D$19,MATCH($A6,Personnel!$A$5:$A$19,0)),""))</f>
        <v>Exempt</v>
      </c>
      <c r="G6" s="70" t="n">
        <f aca="false"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>0</v>
      </c>
      <c r="H6" s="71"/>
      <c r="I6" s="71"/>
      <c r="J6" s="72" t="n">
        <f aca="false">IF(A6="","",H6*$D6+IF(OR($F6="Exempt",$E6="Sub"),0,I6*$D6*1.5))</f>
        <v>0</v>
      </c>
      <c r="K6" s="70" t="n">
        <f aca="false"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>0</v>
      </c>
      <c r="L6" s="71"/>
      <c r="M6" s="71"/>
      <c r="N6" s="72" t="n">
        <f aca="false">IF(A6="","",L6*$D6+IF(OR($F6="Exempt",$E6="Sub"),0,M6*$D6*1.5))</f>
        <v>0</v>
      </c>
      <c r="O6" s="70" t="n">
        <f aca="false"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>0</v>
      </c>
      <c r="P6" s="71"/>
      <c r="Q6" s="71"/>
      <c r="R6" s="72" t="n">
        <f aca="false">IF(A6="","",P6*$D6+IF(OR($F6="Exempt",$E6="Sub"),0,Q6*$D6*1.5))</f>
        <v>0</v>
      </c>
      <c r="S6" s="73" t="n">
        <f aca="false"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>0</v>
      </c>
      <c r="T6" s="74"/>
      <c r="U6" s="74"/>
      <c r="V6" s="75" t="n">
        <f aca="false">IF(A6="","",T6*$D6+IF(OR($F6="Exempt",$E6="Sub"),0,U6*$D6*1.5))</f>
        <v>0</v>
      </c>
      <c r="W6" s="73" t="n">
        <f aca="false"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>0</v>
      </c>
      <c r="X6" s="74"/>
      <c r="Y6" s="74"/>
      <c r="Z6" s="75" t="n">
        <f aca="false">IF(A6="","",X6*$D6+IF(OR($F6="Exempt",$E6="Sub"),0,Y6*$D6*1.5))</f>
        <v>0</v>
      </c>
      <c r="AA6" s="73" t="n">
        <f aca="false"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>0</v>
      </c>
      <c r="AB6" s="74"/>
      <c r="AC6" s="74"/>
      <c r="AD6" s="75" t="n">
        <f aca="false">IF(A6="","",AB6*$D6+IF(OR($F6="Exempt",$E6="Sub"),0,AC6*$D6*1.5))</f>
        <v>0</v>
      </c>
      <c r="AE6" s="76" t="n">
        <f aca="false"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>123.010752688172</v>
      </c>
      <c r="AF6" s="77" t="n">
        <v>60</v>
      </c>
      <c r="AG6" s="77"/>
      <c r="AH6" s="78" t="n">
        <f aca="false">IF(A6="","",AF6*$D6+IF(OR($F6="Exempt",$E6="Sub"),0,AG6*$D6*1.5))</f>
        <v>4326.92307692308</v>
      </c>
      <c r="AI6" s="76" t="n">
        <f aca="false"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>173.333333333333</v>
      </c>
      <c r="AJ6" s="77" t="n">
        <v>173.33</v>
      </c>
      <c r="AK6" s="77"/>
      <c r="AL6" s="78" t="n">
        <f aca="false">IF(A6="","",AJ6*$D6+IF(OR($F6="Exempt",$E6="Sub"),0,AK6*$D6*1.5))</f>
        <v>12499.7596153846</v>
      </c>
      <c r="AM6" s="76" t="n">
        <f aca="false"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>173.333333333333</v>
      </c>
      <c r="AN6" s="77"/>
      <c r="AO6" s="77"/>
      <c r="AP6" s="78" t="n">
        <f aca="false">IF(A6="","",AN6*$D6+IF(OR($F6="Exempt",$E6="Sub"),0,AO6*$D6*1.5))</f>
        <v>0</v>
      </c>
      <c r="AQ6" s="79" t="n">
        <f aca="false"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>173.333333333333</v>
      </c>
      <c r="AR6" s="80"/>
      <c r="AS6" s="80"/>
      <c r="AT6" s="81" t="n">
        <f aca="false">IF(A6="","",AR6*$D6+IF(OR($F6="Exempt",$E6="Sub"),0,AS6*$D6*1.5))</f>
        <v>0</v>
      </c>
      <c r="AU6" s="79" t="n">
        <f aca="false"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>173.333333333333</v>
      </c>
      <c r="AV6" s="80"/>
      <c r="AW6" s="80"/>
      <c r="AX6" s="81" t="n">
        <f aca="false">IF(A6="","",AV6*$D6+IF(OR($F6="Exempt",$E6="Sub"),0,AW6*$D6*1.5))</f>
        <v>0</v>
      </c>
      <c r="AY6" s="79" t="n">
        <f aca="false"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>173.333333333333</v>
      </c>
      <c r="AZ6" s="80"/>
      <c r="BA6" s="80"/>
      <c r="BB6" s="81" t="n">
        <f aca="false">IF(A6="","",AZ6*$D6+IF(OR($F6="Exempt",$E6="Sub"),0,BA6*$D6*1.5))</f>
        <v>0</v>
      </c>
      <c r="BC6" s="82" t="n">
        <f aca="false">IF(A6="","",SUM(G6,K6,O6,S6,W6,AA6,AE6,AI6,AM6,AQ6,AU6,AY6))</f>
        <v>989.677419354839</v>
      </c>
      <c r="BD6" s="82" t="n">
        <f aca="false">IF(A6="","",SUM(H6,I6,L6,M6,P6,Q6,T6,U6,X6,Y6,AB6,AC6,AF6,AG6,AJ6,AK6,AN6,AO6,AR6,AS6,AV6,AW6,AZ6,BA6))</f>
        <v>233.33</v>
      </c>
      <c r="BE6" s="83" t="n">
        <f aca="false">IF(A6="","",BC6*$D6)</f>
        <v>71370.9677419355</v>
      </c>
      <c r="BF6" s="83" t="n">
        <f aca="false">IF(A6="","",SUM(J6,N6,R6,V6,Z6,AD6,AH6,AL6,AP6,AT6,AX6,BB6))</f>
        <v>16826.6826923077</v>
      </c>
    </row>
    <row r="7" customFormat="false" ht="15" hidden="false" customHeight="false" outlineLevel="0" collapsed="false">
      <c r="A7" s="27" t="n">
        <v>123457</v>
      </c>
      <c r="B7" s="84" t="str">
        <f aca="false">IF(A7="","",IFERROR(INDEX(Personnel!$B$5:$B$19,MATCH($A7,Personnel!$A$5:$A$19,0)),"-- not found --"))</f>
        <v>Maria Alvarez</v>
      </c>
      <c r="C7" s="84" t="str">
        <f aca="false">IF(A7="","",IFERROR(INDEX(Personnel!$C$5:$C$19,MATCH($A7,Personnel!$A$5:$A$19,0)),""))</f>
        <v>Program Manager</v>
      </c>
      <c r="D7" s="85" t="n">
        <f aca="false">IF(A7="","",IFERROR(INDEX(Personnel!$H$5:$H$19,MATCH($A7,Personnel!$A$5:$A$19,0)),""))</f>
        <v>79.3269230769231</v>
      </c>
      <c r="E7" s="27" t="s">
        <v>196</v>
      </c>
      <c r="F7" s="86" t="str">
        <f aca="false">IF(A7="","",IFERROR(INDEX(Personnel!$D$5:$D$19,MATCH($A7,Personnel!$A$5:$A$19,0)),""))</f>
        <v>Exempt</v>
      </c>
      <c r="G7" s="70" t="n">
        <f aca="false"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>173.333333333333</v>
      </c>
      <c r="H7" s="71" t="n">
        <v>173.33</v>
      </c>
      <c r="I7" s="71"/>
      <c r="J7" s="72" t="n">
        <f aca="false">IF(A7="","",H7*$D7+IF(OR($F7="Exempt",$E7="Sub"),0,I7*$D7*1.5))</f>
        <v>13749.7355769231</v>
      </c>
      <c r="K7" s="70" t="n">
        <f aca="false"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>173.333333333333</v>
      </c>
      <c r="L7" s="71" t="n">
        <v>173.33</v>
      </c>
      <c r="M7" s="71"/>
      <c r="N7" s="72" t="n">
        <f aca="false">IF(A7="","",L7*$D7+IF(OR($F7="Exempt",$E7="Sub"),0,M7*$D7*1.5))</f>
        <v>13749.7355769231</v>
      </c>
      <c r="O7" s="70" t="n">
        <f aca="false"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>173.333333333333</v>
      </c>
      <c r="P7" s="71"/>
      <c r="Q7" s="71"/>
      <c r="R7" s="72" t="n">
        <f aca="false">IF(A7="","",P7*$D7+IF(OR($F7="Exempt",$E7="Sub"),0,Q7*$D7*1.5))</f>
        <v>0</v>
      </c>
      <c r="S7" s="73" t="n">
        <f aca="false"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>173.333333333333</v>
      </c>
      <c r="T7" s="74"/>
      <c r="U7" s="74"/>
      <c r="V7" s="75" t="n">
        <f aca="false">IF(A7="","",T7*$D7+IF(OR($F7="Exempt",$E7="Sub"),0,U7*$D7*1.5))</f>
        <v>0</v>
      </c>
      <c r="W7" s="73" t="n">
        <f aca="false"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>173.333333333333</v>
      </c>
      <c r="X7" s="74"/>
      <c r="Y7" s="74"/>
      <c r="Z7" s="75" t="n">
        <f aca="false">IF(A7="","",X7*$D7+IF(OR($F7="Exempt",$E7="Sub"),0,Y7*$D7*1.5))</f>
        <v>0</v>
      </c>
      <c r="AA7" s="73" t="n">
        <f aca="false"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>173.333333333333</v>
      </c>
      <c r="AB7" s="74"/>
      <c r="AC7" s="74"/>
      <c r="AD7" s="75" t="n">
        <f aca="false">IF(A7="","",AB7*$D7+IF(OR($F7="Exempt",$E7="Sub"),0,AC7*$D7*1.5))</f>
        <v>0</v>
      </c>
      <c r="AE7" s="76" t="n">
        <f aca="false"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>173.333333333333</v>
      </c>
      <c r="AF7" s="77"/>
      <c r="AG7" s="77"/>
      <c r="AH7" s="78" t="n">
        <f aca="false">IF(A7="","",AF7*$D7+IF(OR($F7="Exempt",$E7="Sub"),0,AG7*$D7*1.5))</f>
        <v>0</v>
      </c>
      <c r="AI7" s="76" t="n">
        <f aca="false"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>173.333333333333</v>
      </c>
      <c r="AJ7" s="77"/>
      <c r="AK7" s="77"/>
      <c r="AL7" s="78" t="n">
        <f aca="false">IF(A7="","",AJ7*$D7+IF(OR($F7="Exempt",$E7="Sub"),0,AK7*$D7*1.5))</f>
        <v>0</v>
      </c>
      <c r="AM7" s="76" t="n">
        <f aca="false"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>173.333333333333</v>
      </c>
      <c r="AN7" s="77"/>
      <c r="AO7" s="77"/>
      <c r="AP7" s="78" t="n">
        <f aca="false">IF(A7="","",AN7*$D7+IF(OR($F7="Exempt",$E7="Sub"),0,AO7*$D7*1.5))</f>
        <v>0</v>
      </c>
      <c r="AQ7" s="79" t="n">
        <f aca="false"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>173.333333333333</v>
      </c>
      <c r="AR7" s="80"/>
      <c r="AS7" s="80"/>
      <c r="AT7" s="81" t="n">
        <f aca="false">IF(A7="","",AR7*$D7+IF(OR($F7="Exempt",$E7="Sub"),0,AS7*$D7*1.5))</f>
        <v>0</v>
      </c>
      <c r="AU7" s="79" t="n">
        <f aca="false"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>173.333333333333</v>
      </c>
      <c r="AV7" s="80"/>
      <c r="AW7" s="80"/>
      <c r="AX7" s="81" t="n">
        <f aca="false">IF(A7="","",AV7*$D7+IF(OR($F7="Exempt",$E7="Sub"),0,AW7*$D7*1.5))</f>
        <v>0</v>
      </c>
      <c r="AY7" s="79" t="n">
        <f aca="false"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>173.333333333333</v>
      </c>
      <c r="AZ7" s="80"/>
      <c r="BA7" s="80"/>
      <c r="BB7" s="81" t="n">
        <f aca="false">IF(A7="","",AZ7*$D7+IF(OR($F7="Exempt",$E7="Sub"),0,BA7*$D7*1.5))</f>
        <v>0</v>
      </c>
      <c r="BC7" s="82" t="n">
        <f aca="false">IF(A7="","",SUM(G7,K7,O7,S7,W7,AA7,AE7,AI7,AM7,AQ7,AU7,AY7))</f>
        <v>2080</v>
      </c>
      <c r="BD7" s="82" t="n">
        <f aca="false">IF(A7="","",SUM(H7,I7,L7,M7,P7,Q7,T7,U7,X7,Y7,AB7,AC7,AF7,AG7,AJ7,AK7,AN7,AO7,AR7,AS7,AV7,AW7,AZ7,BA7))</f>
        <v>346.66</v>
      </c>
      <c r="BE7" s="83" t="n">
        <f aca="false">IF(A7="","",BC7*$D7)</f>
        <v>165000</v>
      </c>
      <c r="BF7" s="83" t="n">
        <f aca="false">IF(A7="","",SUM(J7,N7,R7,V7,Z7,AD7,AH7,AL7,AP7,AT7,AX7,BB7))</f>
        <v>27499.4711538462</v>
      </c>
    </row>
    <row r="8" customFormat="false" ht="15" hidden="false" customHeight="false" outlineLevel="0" collapsed="false">
      <c r="A8" s="20" t="n">
        <v>123458</v>
      </c>
      <c r="B8" s="67" t="str">
        <f aca="false">IF(A8="","",IFERROR(INDEX(Personnel!$B$5:$B$19,MATCH($A8,Personnel!$A$5:$A$19,0)),"-- not found --"))</f>
        <v>Dave Chen</v>
      </c>
      <c r="C8" s="67" t="str">
        <f aca="false">IF(A8="","",IFERROR(INDEX(Personnel!$C$5:$C$19,MATCH($A8,Personnel!$A$5:$A$19,0)),""))</f>
        <v>Admin Support</v>
      </c>
      <c r="D8" s="68" t="n">
        <f aca="false">IF(A8="","",IFERROR(INDEX(Personnel!$H$5:$H$19,MATCH($A8,Personnel!$A$5:$A$19,0)),""))</f>
        <v>28.5</v>
      </c>
      <c r="E8" s="20" t="s">
        <v>197</v>
      </c>
      <c r="F8" s="69" t="str">
        <f aca="false">IF(A8="","",IFERROR(INDEX(Personnel!$D$5:$D$19,MATCH($A8,Personnel!$A$5:$A$19,0)),""))</f>
        <v>Non-Exempt</v>
      </c>
      <c r="G8" s="70" t="n">
        <f aca="false"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>173.333333333333</v>
      </c>
      <c r="H8" s="71" t="n">
        <v>150</v>
      </c>
      <c r="I8" s="71" t="n">
        <v>12</v>
      </c>
      <c r="J8" s="72" t="n">
        <f aca="false">IF(A8="","",H8*$D8+IF(OR($F8="Exempt",$E8="Sub"),0,I8*$D8*1.5))</f>
        <v>4275</v>
      </c>
      <c r="K8" s="70" t="n">
        <f aca="false"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>173.333333333333</v>
      </c>
      <c r="L8" s="71"/>
      <c r="M8" s="71"/>
      <c r="N8" s="72" t="n">
        <f aca="false">IF(A8="","",L8*$D8+IF(OR($F8="Exempt",$E8="Sub"),0,M8*$D8*1.5))</f>
        <v>0</v>
      </c>
      <c r="O8" s="70" t="n">
        <f aca="false"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>173.333333333333</v>
      </c>
      <c r="P8" s="71"/>
      <c r="Q8" s="71"/>
      <c r="R8" s="72" t="n">
        <f aca="false">IF(A8="","",P8*$D8+IF(OR($F8="Exempt",$E8="Sub"),0,Q8*$D8*1.5))</f>
        <v>0</v>
      </c>
      <c r="S8" s="73" t="n">
        <f aca="false"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>173.333333333333</v>
      </c>
      <c r="T8" s="74"/>
      <c r="U8" s="74"/>
      <c r="V8" s="75" t="n">
        <f aca="false">IF(A8="","",T8*$D8+IF(OR($F8="Exempt",$E8="Sub"),0,U8*$D8*1.5))</f>
        <v>0</v>
      </c>
      <c r="W8" s="73" t="n">
        <f aca="false"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>173.333333333333</v>
      </c>
      <c r="X8" s="74"/>
      <c r="Y8" s="74"/>
      <c r="Z8" s="75" t="n">
        <f aca="false">IF(A8="","",X8*$D8+IF(OR($F8="Exempt",$E8="Sub"),0,Y8*$D8*1.5))</f>
        <v>0</v>
      </c>
      <c r="AA8" s="73" t="n">
        <f aca="false"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>173.333333333333</v>
      </c>
      <c r="AB8" s="74"/>
      <c r="AC8" s="74"/>
      <c r="AD8" s="75" t="n">
        <f aca="false">IF(A8="","",AB8*$D8+IF(OR($F8="Exempt",$E8="Sub"),0,AC8*$D8*1.5))</f>
        <v>0</v>
      </c>
      <c r="AE8" s="76" t="n">
        <f aca="false"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>173.333333333333</v>
      </c>
      <c r="AF8" s="77"/>
      <c r="AG8" s="77"/>
      <c r="AH8" s="78" t="n">
        <f aca="false">IF(A8="","",AF8*$D8+IF(OR($F8="Exempt",$E8="Sub"),0,AG8*$D8*1.5))</f>
        <v>0</v>
      </c>
      <c r="AI8" s="76" t="n">
        <f aca="false"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>173.333333333333</v>
      </c>
      <c r="AJ8" s="77"/>
      <c r="AK8" s="77"/>
      <c r="AL8" s="78" t="n">
        <f aca="false">IF(A8="","",AJ8*$D8+IF(OR($F8="Exempt",$E8="Sub"),0,AK8*$D8*1.5))</f>
        <v>0</v>
      </c>
      <c r="AM8" s="76" t="n">
        <f aca="false"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>173.333333333333</v>
      </c>
      <c r="AN8" s="77"/>
      <c r="AO8" s="77"/>
      <c r="AP8" s="78" t="n">
        <f aca="false">IF(A8="","",AN8*$D8+IF(OR($F8="Exempt",$E8="Sub"),0,AO8*$D8*1.5))</f>
        <v>0</v>
      </c>
      <c r="AQ8" s="79" t="n">
        <f aca="false"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>173.333333333333</v>
      </c>
      <c r="AR8" s="80"/>
      <c r="AS8" s="80"/>
      <c r="AT8" s="81" t="n">
        <f aca="false">IF(A8="","",AR8*$D8+IF(OR($F8="Exempt",$E8="Sub"),0,AS8*$D8*1.5))</f>
        <v>0</v>
      </c>
      <c r="AU8" s="79" t="n">
        <f aca="false"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>173.333333333333</v>
      </c>
      <c r="AV8" s="80"/>
      <c r="AW8" s="80"/>
      <c r="AX8" s="81" t="n">
        <f aca="false">IF(A8="","",AV8*$D8+IF(OR($F8="Exempt",$E8="Sub"),0,AW8*$D8*1.5))</f>
        <v>0</v>
      </c>
      <c r="AY8" s="79" t="n">
        <f aca="false"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>173.333333333333</v>
      </c>
      <c r="AZ8" s="80"/>
      <c r="BA8" s="80"/>
      <c r="BB8" s="81" t="n">
        <f aca="false">IF(A8="","",AZ8*$D8+IF(OR($F8="Exempt",$E8="Sub"),0,BA8*$D8*1.5))</f>
        <v>0</v>
      </c>
      <c r="BC8" s="82" t="n">
        <f aca="false">IF(A8="","",SUM(G8,K8,O8,S8,W8,AA8,AE8,AI8,AM8,AQ8,AU8,AY8))</f>
        <v>2080</v>
      </c>
      <c r="BD8" s="82" t="n">
        <f aca="false">IF(A8="","",SUM(H8,I8,L8,M8,P8,Q8,T8,U8,X8,Y8,AB8,AC8,AF8,AG8,AJ8,AK8,AN8,AO8,AR8,AS8,AV8,AW8,AZ8,BA8))</f>
        <v>162</v>
      </c>
      <c r="BE8" s="83" t="n">
        <f aca="false">IF(A8="","",BC8*$D8)</f>
        <v>59280</v>
      </c>
      <c r="BF8" s="83" t="n">
        <f aca="false">IF(A8="","",SUM(J8,N8,R8,V8,Z8,AD8,AH8,AL8,AP8,AT8,AX8,BB8))</f>
        <v>4275</v>
      </c>
    </row>
    <row r="9" customFormat="false" ht="15" hidden="false" customHeight="false" outlineLevel="0" collapsed="false">
      <c r="A9" s="27"/>
      <c r="B9" s="84" t="str">
        <f aca="false">IF(A9="","",IFERROR(INDEX(Personnel!$B$5:$B$19,MATCH($A9,Personnel!$A$5:$A$19,0)),"-- not found --"))</f>
        <v/>
      </c>
      <c r="C9" s="84" t="str">
        <f aca="false">IF(A9="","",IFERROR(INDEX(Personnel!$C$5:$C$19,MATCH($A9,Personnel!$A$5:$A$19,0)),""))</f>
        <v/>
      </c>
      <c r="D9" s="85" t="str">
        <f aca="false">IF(A9="","",IFERROR(INDEX(Personnel!$H$5:$H$19,MATCH($A9,Personnel!$A$5:$A$19,0)),""))</f>
        <v/>
      </c>
      <c r="E9" s="27"/>
      <c r="F9" s="86" t="str">
        <f aca="false">IF(A9="","",IFERROR(INDEX(Personnel!$D$5:$D$19,MATCH($A9,Personnel!$A$5:$A$19,0)),""))</f>
        <v/>
      </c>
      <c r="G9" s="70" t="str">
        <f aca="false"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H9" s="71"/>
      <c r="I9" s="71"/>
      <c r="J9" s="72" t="str">
        <f aca="false">IF(A9="","",H9*$D9+IF(OR($F9="Exempt",$E9="Sub"),0,I9*$D9*1.5))</f>
        <v/>
      </c>
      <c r="K9" s="70" t="str">
        <f aca="false"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L9" s="71"/>
      <c r="M9" s="71"/>
      <c r="N9" s="72" t="str">
        <f aca="false">IF(A9="","",L9*$D9+IF(OR($F9="Exempt",$E9="Sub"),0,M9*$D9*1.5))</f>
        <v/>
      </c>
      <c r="O9" s="70" t="str">
        <f aca="false"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P9" s="71"/>
      <c r="Q9" s="71"/>
      <c r="R9" s="72" t="str">
        <f aca="false">IF(A9="","",P9*$D9+IF(OR($F9="Exempt",$E9="Sub"),0,Q9*$D9*1.5))</f>
        <v/>
      </c>
      <c r="S9" s="73" t="str">
        <f aca="false"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T9" s="74"/>
      <c r="U9" s="74"/>
      <c r="V9" s="75" t="str">
        <f aca="false">IF(A9="","",T9*$D9+IF(OR($F9="Exempt",$E9="Sub"),0,U9*$D9*1.5))</f>
        <v/>
      </c>
      <c r="W9" s="73" t="str">
        <f aca="false"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X9" s="74"/>
      <c r="Y9" s="74"/>
      <c r="Z9" s="75" t="str">
        <f aca="false">IF(A9="","",X9*$D9+IF(OR($F9="Exempt",$E9="Sub"),0,Y9*$D9*1.5))</f>
        <v/>
      </c>
      <c r="AA9" s="73" t="str">
        <f aca="false"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B9" s="74"/>
      <c r="AC9" s="74"/>
      <c r="AD9" s="75" t="str">
        <f aca="false">IF(A9="","",AB9*$D9+IF(OR($F9="Exempt",$E9="Sub"),0,AC9*$D9*1.5))</f>
        <v/>
      </c>
      <c r="AE9" s="76" t="str">
        <f aca="false"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F9" s="77"/>
      <c r="AG9" s="77"/>
      <c r="AH9" s="78" t="str">
        <f aca="false">IF(A9="","",AF9*$D9+IF(OR($F9="Exempt",$E9="Sub"),0,AG9*$D9*1.5))</f>
        <v/>
      </c>
      <c r="AI9" s="76" t="str">
        <f aca="false"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J9" s="77"/>
      <c r="AK9" s="77"/>
      <c r="AL9" s="78" t="str">
        <f aca="false">IF(A9="","",AJ9*$D9+IF(OR($F9="Exempt",$E9="Sub"),0,AK9*$D9*1.5))</f>
        <v/>
      </c>
      <c r="AM9" s="76" t="str">
        <f aca="false"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N9" s="77"/>
      <c r="AO9" s="77"/>
      <c r="AP9" s="78" t="str">
        <f aca="false">IF(A9="","",AN9*$D9+IF(OR($F9="Exempt",$E9="Sub"),0,AO9*$D9*1.5))</f>
        <v/>
      </c>
      <c r="AQ9" s="79" t="str">
        <f aca="false"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R9" s="80"/>
      <c r="AS9" s="80"/>
      <c r="AT9" s="81" t="str">
        <f aca="false">IF(A9="","",AR9*$D9+IF(OR($F9="Exempt",$E9="Sub"),0,AS9*$D9*1.5))</f>
        <v/>
      </c>
      <c r="AU9" s="79" t="str">
        <f aca="false"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V9" s="80"/>
      <c r="AW9" s="80"/>
      <c r="AX9" s="81" t="str">
        <f aca="false">IF(A9="","",AV9*$D9+IF(OR($F9="Exempt",$E9="Sub"),0,AW9*$D9*1.5))</f>
        <v/>
      </c>
      <c r="AY9" s="79" t="str">
        <f aca="false"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AZ9" s="80"/>
      <c r="BA9" s="80"/>
      <c r="BB9" s="81" t="str">
        <f aca="false">IF(A9="","",AZ9*$D9+IF(OR($F9="Exempt",$E9="Sub"),0,BA9*$D9*1.5))</f>
        <v/>
      </c>
      <c r="BC9" s="82" t="str">
        <f aca="false">IF(A9="","",SUM(G9,K9,O9,S9,W9,AA9,AE9,AI9,AM9,AQ9,AU9,AY9))</f>
        <v/>
      </c>
      <c r="BD9" s="82" t="str">
        <f aca="false">IF(A9="","",SUM(H9,I9,L9,M9,P9,Q9,T9,U9,X9,Y9,AB9,AC9,AF9,AG9,AJ9,AK9,AN9,AO9,AR9,AS9,AV9,AW9,AZ9,BA9))</f>
        <v/>
      </c>
      <c r="BE9" s="83" t="str">
        <f aca="false">IF(A9="","",BC9*$D9)</f>
        <v/>
      </c>
      <c r="BF9" s="83" t="str">
        <f aca="false">IF(A9="","",SUM(J9,N9,R9,V9,Z9,AD9,AH9,AL9,AP9,AT9,AX9,BB9))</f>
        <v/>
      </c>
    </row>
    <row r="10" customFormat="false" ht="15" hidden="false" customHeight="false" outlineLevel="0" collapsed="false">
      <c r="A10" s="20"/>
      <c r="B10" s="67" t="str">
        <f aca="false">IF(A10="","",IFERROR(INDEX(Personnel!$B$5:$B$19,MATCH($A10,Personnel!$A$5:$A$19,0)),"-- not found --"))</f>
        <v/>
      </c>
      <c r="C10" s="67" t="str">
        <f aca="false">IF(A10="","",IFERROR(INDEX(Personnel!$C$5:$C$19,MATCH($A10,Personnel!$A$5:$A$19,0)),""))</f>
        <v/>
      </c>
      <c r="D10" s="68" t="str">
        <f aca="false">IF(A10="","",IFERROR(INDEX(Personnel!$H$5:$H$19,MATCH($A10,Personnel!$A$5:$A$19,0)),""))</f>
        <v/>
      </c>
      <c r="E10" s="20"/>
      <c r="F10" s="69" t="str">
        <f aca="false">IF(A10="","",IFERROR(INDEX(Personnel!$D$5:$D$19,MATCH($A10,Personnel!$A$5:$A$19,0)),""))</f>
        <v/>
      </c>
      <c r="G10" s="70" t="str">
        <f aca="false"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H10" s="71"/>
      <c r="I10" s="71"/>
      <c r="J10" s="72" t="str">
        <f aca="false">IF(A10="","",H10*$D10+IF(OR($F10="Exempt",$E10="Sub"),0,I10*$D10*1.5))</f>
        <v/>
      </c>
      <c r="K10" s="70" t="str">
        <f aca="false"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L10" s="71"/>
      <c r="M10" s="71"/>
      <c r="N10" s="72" t="str">
        <f aca="false">IF(A10="","",L10*$D10+IF(OR($F10="Exempt",$E10="Sub"),0,M10*$D10*1.5))</f>
        <v/>
      </c>
      <c r="O10" s="70" t="str">
        <f aca="false"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P10" s="71"/>
      <c r="Q10" s="71"/>
      <c r="R10" s="72" t="str">
        <f aca="false">IF(A10="","",P10*$D10+IF(OR($F10="Exempt",$E10="Sub"),0,Q10*$D10*1.5))</f>
        <v/>
      </c>
      <c r="S10" s="73" t="str">
        <f aca="false"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T10" s="74"/>
      <c r="U10" s="74"/>
      <c r="V10" s="75" t="str">
        <f aca="false">IF(A10="","",T10*$D10+IF(OR($F10="Exempt",$E10="Sub"),0,U10*$D10*1.5))</f>
        <v/>
      </c>
      <c r="W10" s="73" t="str">
        <f aca="false"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X10" s="74"/>
      <c r="Y10" s="74"/>
      <c r="Z10" s="75" t="str">
        <f aca="false">IF(A10="","",X10*$D10+IF(OR($F10="Exempt",$E10="Sub"),0,Y10*$D10*1.5))</f>
        <v/>
      </c>
      <c r="AA10" s="73" t="str">
        <f aca="false"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B10" s="74"/>
      <c r="AC10" s="74"/>
      <c r="AD10" s="75" t="str">
        <f aca="false">IF(A10="","",AB10*$D10+IF(OR($F10="Exempt",$E10="Sub"),0,AC10*$D10*1.5))</f>
        <v/>
      </c>
      <c r="AE10" s="76" t="str">
        <f aca="false"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F10" s="77"/>
      <c r="AG10" s="77"/>
      <c r="AH10" s="78" t="str">
        <f aca="false">IF(A10="","",AF10*$D10+IF(OR($F10="Exempt",$E10="Sub"),0,AG10*$D10*1.5))</f>
        <v/>
      </c>
      <c r="AI10" s="76" t="str">
        <f aca="false"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J10" s="77"/>
      <c r="AK10" s="77"/>
      <c r="AL10" s="78" t="str">
        <f aca="false">IF(A10="","",AJ10*$D10+IF(OR($F10="Exempt",$E10="Sub"),0,AK10*$D10*1.5))</f>
        <v/>
      </c>
      <c r="AM10" s="76" t="str">
        <f aca="false"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N10" s="77"/>
      <c r="AO10" s="77"/>
      <c r="AP10" s="78" t="str">
        <f aca="false">IF(A10="","",AN10*$D10+IF(OR($F10="Exempt",$E10="Sub"),0,AO10*$D10*1.5))</f>
        <v/>
      </c>
      <c r="AQ10" s="79" t="str">
        <f aca="false"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R10" s="80"/>
      <c r="AS10" s="80"/>
      <c r="AT10" s="81" t="str">
        <f aca="false">IF(A10="","",AR10*$D10+IF(OR($F10="Exempt",$E10="Sub"),0,AS10*$D10*1.5))</f>
        <v/>
      </c>
      <c r="AU10" s="79" t="str">
        <f aca="false"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V10" s="80"/>
      <c r="AW10" s="80"/>
      <c r="AX10" s="81" t="str">
        <f aca="false">IF(A10="","",AV10*$D10+IF(OR($F10="Exempt",$E10="Sub"),0,AW10*$D10*1.5))</f>
        <v/>
      </c>
      <c r="AY10" s="79" t="str">
        <f aca="false"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AZ10" s="80"/>
      <c r="BA10" s="80"/>
      <c r="BB10" s="81" t="str">
        <f aca="false">IF(A10="","",AZ10*$D10+IF(OR($F10="Exempt",$E10="Sub"),0,BA10*$D10*1.5))</f>
        <v/>
      </c>
      <c r="BC10" s="82" t="str">
        <f aca="false">IF(A10="","",SUM(G10,K10,O10,S10,W10,AA10,AE10,AI10,AM10,AQ10,AU10,AY10))</f>
        <v/>
      </c>
      <c r="BD10" s="82" t="str">
        <f aca="false">IF(A10="","",SUM(H10,I10,L10,M10,P10,Q10,T10,U10,X10,Y10,AB10,AC10,AF10,AG10,AJ10,AK10,AN10,AO10,AR10,AS10,AV10,AW10,AZ10,BA10))</f>
        <v/>
      </c>
      <c r="BE10" s="83" t="str">
        <f aca="false">IF(A10="","",BC10*$D10)</f>
        <v/>
      </c>
      <c r="BF10" s="83" t="str">
        <f aca="false">IF(A10="","",SUM(J10,N10,R10,V10,Z10,AD10,AH10,AL10,AP10,AT10,AX10,BB10))</f>
        <v/>
      </c>
    </row>
    <row r="11" customFormat="false" ht="15" hidden="false" customHeight="false" outlineLevel="0" collapsed="false">
      <c r="A11" s="27"/>
      <c r="B11" s="84" t="str">
        <f aca="false">IF(A11="","",IFERROR(INDEX(Personnel!$B$5:$B$19,MATCH($A11,Personnel!$A$5:$A$19,0)),"-- not found --"))</f>
        <v/>
      </c>
      <c r="C11" s="84" t="str">
        <f aca="false">IF(A11="","",IFERROR(INDEX(Personnel!$C$5:$C$19,MATCH($A11,Personnel!$A$5:$A$19,0)),""))</f>
        <v/>
      </c>
      <c r="D11" s="85" t="str">
        <f aca="false">IF(A11="","",IFERROR(INDEX(Personnel!$H$5:$H$19,MATCH($A11,Personnel!$A$5:$A$19,0)),""))</f>
        <v/>
      </c>
      <c r="E11" s="27"/>
      <c r="F11" s="86" t="str">
        <f aca="false">IF(A11="","",IFERROR(INDEX(Personnel!$D$5:$D$19,MATCH($A11,Personnel!$A$5:$A$19,0)),""))</f>
        <v/>
      </c>
      <c r="G11" s="70" t="str">
        <f aca="false"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H11" s="71"/>
      <c r="I11" s="71"/>
      <c r="J11" s="72" t="str">
        <f aca="false">IF(A11="","",H11*$D11+IF(OR($F11="Exempt",$E11="Sub"),0,I11*$D11*1.5))</f>
        <v/>
      </c>
      <c r="K11" s="70" t="str">
        <f aca="false"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L11" s="71"/>
      <c r="M11" s="71"/>
      <c r="N11" s="72" t="str">
        <f aca="false">IF(A11="","",L11*$D11+IF(OR($F11="Exempt",$E11="Sub"),0,M11*$D11*1.5))</f>
        <v/>
      </c>
      <c r="O11" s="70" t="str">
        <f aca="false"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P11" s="71"/>
      <c r="Q11" s="71"/>
      <c r="R11" s="72" t="str">
        <f aca="false">IF(A11="","",P11*$D11+IF(OR($F11="Exempt",$E11="Sub"),0,Q11*$D11*1.5))</f>
        <v/>
      </c>
      <c r="S11" s="73" t="str">
        <f aca="false"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T11" s="74"/>
      <c r="U11" s="74"/>
      <c r="V11" s="75" t="str">
        <f aca="false">IF(A11="","",T11*$D11+IF(OR($F11="Exempt",$E11="Sub"),0,U11*$D11*1.5))</f>
        <v/>
      </c>
      <c r="W11" s="73" t="str">
        <f aca="false"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X11" s="74"/>
      <c r="Y11" s="74"/>
      <c r="Z11" s="75" t="str">
        <f aca="false">IF(A11="","",X11*$D11+IF(OR($F11="Exempt",$E11="Sub"),0,Y11*$D11*1.5))</f>
        <v/>
      </c>
      <c r="AA11" s="73" t="str">
        <f aca="false"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B11" s="74"/>
      <c r="AC11" s="74"/>
      <c r="AD11" s="75" t="str">
        <f aca="false">IF(A11="","",AB11*$D11+IF(OR($F11="Exempt",$E11="Sub"),0,AC11*$D11*1.5))</f>
        <v/>
      </c>
      <c r="AE11" s="76" t="str">
        <f aca="false"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F11" s="77"/>
      <c r="AG11" s="77"/>
      <c r="AH11" s="78" t="str">
        <f aca="false">IF(A11="","",AF11*$D11+IF(OR($F11="Exempt",$E11="Sub"),0,AG11*$D11*1.5))</f>
        <v/>
      </c>
      <c r="AI11" s="76" t="str">
        <f aca="false"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J11" s="77"/>
      <c r="AK11" s="77"/>
      <c r="AL11" s="78" t="str">
        <f aca="false">IF(A11="","",AJ11*$D11+IF(OR($F11="Exempt",$E11="Sub"),0,AK11*$D11*1.5))</f>
        <v/>
      </c>
      <c r="AM11" s="76" t="str">
        <f aca="false"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N11" s="77"/>
      <c r="AO11" s="77"/>
      <c r="AP11" s="78" t="str">
        <f aca="false">IF(A11="","",AN11*$D11+IF(OR($F11="Exempt",$E11="Sub"),0,AO11*$D11*1.5))</f>
        <v/>
      </c>
      <c r="AQ11" s="79" t="str">
        <f aca="false"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R11" s="80"/>
      <c r="AS11" s="80"/>
      <c r="AT11" s="81" t="str">
        <f aca="false">IF(A11="","",AR11*$D11+IF(OR($F11="Exempt",$E11="Sub"),0,AS11*$D11*1.5))</f>
        <v/>
      </c>
      <c r="AU11" s="79" t="str">
        <f aca="false"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V11" s="80"/>
      <c r="AW11" s="80"/>
      <c r="AX11" s="81" t="str">
        <f aca="false">IF(A11="","",AV11*$D11+IF(OR($F11="Exempt",$E11="Sub"),0,AW11*$D11*1.5))</f>
        <v/>
      </c>
      <c r="AY11" s="79" t="str">
        <f aca="false"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AZ11" s="80"/>
      <c r="BA11" s="80"/>
      <c r="BB11" s="81" t="str">
        <f aca="false">IF(A11="","",AZ11*$D11+IF(OR($F11="Exempt",$E11="Sub"),0,BA11*$D11*1.5))</f>
        <v/>
      </c>
      <c r="BC11" s="82" t="str">
        <f aca="false">IF(A11="","",SUM(G11,K11,O11,S11,W11,AA11,AE11,AI11,AM11,AQ11,AU11,AY11))</f>
        <v/>
      </c>
      <c r="BD11" s="82" t="str">
        <f aca="false">IF(A11="","",SUM(H11,I11,L11,M11,P11,Q11,T11,U11,X11,Y11,AB11,AC11,AF11,AG11,AJ11,AK11,AN11,AO11,AR11,AS11,AV11,AW11,AZ11,BA11))</f>
        <v/>
      </c>
      <c r="BE11" s="83" t="str">
        <f aca="false">IF(A11="","",BC11*$D11)</f>
        <v/>
      </c>
      <c r="BF11" s="83" t="str">
        <f aca="false">IF(A11="","",SUM(J11,N11,R11,V11,Z11,AD11,AH11,AL11,AP11,AT11,AX11,BB11))</f>
        <v/>
      </c>
    </row>
    <row r="12" customFormat="false" ht="15" hidden="false" customHeight="false" outlineLevel="0" collapsed="false">
      <c r="A12" s="20"/>
      <c r="B12" s="67" t="str">
        <f aca="false">IF(A12="","",IFERROR(INDEX(Personnel!$B$5:$B$19,MATCH($A12,Personnel!$A$5:$A$19,0)),"-- not found --"))</f>
        <v/>
      </c>
      <c r="C12" s="67" t="str">
        <f aca="false">IF(A12="","",IFERROR(INDEX(Personnel!$C$5:$C$19,MATCH($A12,Personnel!$A$5:$A$19,0)),""))</f>
        <v/>
      </c>
      <c r="D12" s="68" t="str">
        <f aca="false">IF(A12="","",IFERROR(INDEX(Personnel!$H$5:$H$19,MATCH($A12,Personnel!$A$5:$A$19,0)),""))</f>
        <v/>
      </c>
      <c r="E12" s="20"/>
      <c r="F12" s="69" t="str">
        <f aca="false">IF(A12="","",IFERROR(INDEX(Personnel!$D$5:$D$19,MATCH($A12,Personnel!$A$5:$A$19,0)),""))</f>
        <v/>
      </c>
      <c r="G12" s="70" t="str">
        <f aca="false"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H12" s="71"/>
      <c r="I12" s="71"/>
      <c r="J12" s="72" t="str">
        <f aca="false">IF(A12="","",H12*$D12+IF(OR($F12="Exempt",$E12="Sub"),0,I12*$D12*1.5))</f>
        <v/>
      </c>
      <c r="K12" s="70" t="str">
        <f aca="false"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L12" s="71"/>
      <c r="M12" s="71"/>
      <c r="N12" s="72" t="str">
        <f aca="false">IF(A12="","",L12*$D12+IF(OR($F12="Exempt",$E12="Sub"),0,M12*$D12*1.5))</f>
        <v/>
      </c>
      <c r="O12" s="70" t="str">
        <f aca="false"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P12" s="71"/>
      <c r="Q12" s="71"/>
      <c r="R12" s="72" t="str">
        <f aca="false">IF(A12="","",P12*$D12+IF(OR($F12="Exempt",$E12="Sub"),0,Q12*$D12*1.5))</f>
        <v/>
      </c>
      <c r="S12" s="73" t="str">
        <f aca="false"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T12" s="74"/>
      <c r="U12" s="74"/>
      <c r="V12" s="75" t="str">
        <f aca="false">IF(A12="","",T12*$D12+IF(OR($F12="Exempt",$E12="Sub"),0,U12*$D12*1.5))</f>
        <v/>
      </c>
      <c r="W12" s="73" t="str">
        <f aca="false"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X12" s="74"/>
      <c r="Y12" s="74"/>
      <c r="Z12" s="75" t="str">
        <f aca="false">IF(A12="","",X12*$D12+IF(OR($F12="Exempt",$E12="Sub"),0,Y12*$D12*1.5))</f>
        <v/>
      </c>
      <c r="AA12" s="73" t="str">
        <f aca="false"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B12" s="74"/>
      <c r="AC12" s="74"/>
      <c r="AD12" s="75" t="str">
        <f aca="false">IF(A12="","",AB12*$D12+IF(OR($F12="Exempt",$E12="Sub"),0,AC12*$D12*1.5))</f>
        <v/>
      </c>
      <c r="AE12" s="76" t="str">
        <f aca="false"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F12" s="77"/>
      <c r="AG12" s="77"/>
      <c r="AH12" s="78" t="str">
        <f aca="false">IF(A12="","",AF12*$D12+IF(OR($F12="Exempt",$E12="Sub"),0,AG12*$D12*1.5))</f>
        <v/>
      </c>
      <c r="AI12" s="76" t="str">
        <f aca="false"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J12" s="77"/>
      <c r="AK12" s="77"/>
      <c r="AL12" s="78" t="str">
        <f aca="false">IF(A12="","",AJ12*$D12+IF(OR($F12="Exempt",$E12="Sub"),0,AK12*$D12*1.5))</f>
        <v/>
      </c>
      <c r="AM12" s="76" t="str">
        <f aca="false"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N12" s="77"/>
      <c r="AO12" s="77"/>
      <c r="AP12" s="78" t="str">
        <f aca="false">IF(A12="","",AN12*$D12+IF(OR($F12="Exempt",$E12="Sub"),0,AO12*$D12*1.5))</f>
        <v/>
      </c>
      <c r="AQ12" s="79" t="str">
        <f aca="false"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R12" s="80"/>
      <c r="AS12" s="80"/>
      <c r="AT12" s="81" t="str">
        <f aca="false">IF(A12="","",AR12*$D12+IF(OR($F12="Exempt",$E12="Sub"),0,AS12*$D12*1.5))</f>
        <v/>
      </c>
      <c r="AU12" s="79" t="str">
        <f aca="false"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V12" s="80"/>
      <c r="AW12" s="80"/>
      <c r="AX12" s="81" t="str">
        <f aca="false">IF(A12="","",AV12*$D12+IF(OR($F12="Exempt",$E12="Sub"),0,AW12*$D12*1.5))</f>
        <v/>
      </c>
      <c r="AY12" s="79" t="str">
        <f aca="false"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AZ12" s="80"/>
      <c r="BA12" s="80"/>
      <c r="BB12" s="81" t="str">
        <f aca="false">IF(A12="","",AZ12*$D12+IF(OR($F12="Exempt",$E12="Sub"),0,BA12*$D12*1.5))</f>
        <v/>
      </c>
      <c r="BC12" s="82" t="str">
        <f aca="false">IF(A12="","",SUM(G12,K12,O12,S12,W12,AA12,AE12,AI12,AM12,AQ12,AU12,AY12))</f>
        <v/>
      </c>
      <c r="BD12" s="82" t="str">
        <f aca="false">IF(A12="","",SUM(H12,I12,L12,M12,P12,Q12,T12,U12,X12,Y12,AB12,AC12,AF12,AG12,AJ12,AK12,AN12,AO12,AR12,AS12,AV12,AW12,AZ12,BA12))</f>
        <v/>
      </c>
      <c r="BE12" s="83" t="str">
        <f aca="false">IF(A12="","",BC12*$D12)</f>
        <v/>
      </c>
      <c r="BF12" s="83" t="str">
        <f aca="false">IF(A12="","",SUM(J12,N12,R12,V12,Z12,AD12,AH12,AL12,AP12,AT12,AX12,BB12))</f>
        <v/>
      </c>
    </row>
    <row r="13" customFormat="false" ht="15" hidden="false" customHeight="false" outlineLevel="0" collapsed="false">
      <c r="A13" s="27"/>
      <c r="B13" s="84" t="str">
        <f aca="false">IF(A13="","",IFERROR(INDEX(Personnel!$B$5:$B$19,MATCH($A13,Personnel!$A$5:$A$19,0)),"-- not found --"))</f>
        <v/>
      </c>
      <c r="C13" s="84" t="str">
        <f aca="false">IF(A13="","",IFERROR(INDEX(Personnel!$C$5:$C$19,MATCH($A13,Personnel!$A$5:$A$19,0)),""))</f>
        <v/>
      </c>
      <c r="D13" s="85" t="str">
        <f aca="false">IF(A13="","",IFERROR(INDEX(Personnel!$H$5:$H$19,MATCH($A13,Personnel!$A$5:$A$19,0)),""))</f>
        <v/>
      </c>
      <c r="E13" s="27"/>
      <c r="F13" s="86" t="str">
        <f aca="false">IF(A13="","",IFERROR(INDEX(Personnel!$D$5:$D$19,MATCH($A13,Personnel!$A$5:$A$19,0)),""))</f>
        <v/>
      </c>
      <c r="G13" s="70" t="str">
        <f aca="false"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H13" s="71"/>
      <c r="I13" s="71"/>
      <c r="J13" s="72" t="str">
        <f aca="false">IF(A13="","",H13*$D13+IF(OR($F13="Exempt",$E13="Sub"),0,I13*$D13*1.5))</f>
        <v/>
      </c>
      <c r="K13" s="70" t="str">
        <f aca="false"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L13" s="71"/>
      <c r="M13" s="71"/>
      <c r="N13" s="72" t="str">
        <f aca="false">IF(A13="","",L13*$D13+IF(OR($F13="Exempt",$E13="Sub"),0,M13*$D13*1.5))</f>
        <v/>
      </c>
      <c r="O13" s="70" t="str">
        <f aca="false"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P13" s="71"/>
      <c r="Q13" s="71"/>
      <c r="R13" s="72" t="str">
        <f aca="false">IF(A13="","",P13*$D13+IF(OR($F13="Exempt",$E13="Sub"),0,Q13*$D13*1.5))</f>
        <v/>
      </c>
      <c r="S13" s="73" t="str">
        <f aca="false"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T13" s="74"/>
      <c r="U13" s="74"/>
      <c r="V13" s="75" t="str">
        <f aca="false">IF(A13="","",T13*$D13+IF(OR($F13="Exempt",$E13="Sub"),0,U13*$D13*1.5))</f>
        <v/>
      </c>
      <c r="W13" s="73" t="str">
        <f aca="false"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X13" s="74"/>
      <c r="Y13" s="74"/>
      <c r="Z13" s="75" t="str">
        <f aca="false">IF(A13="","",X13*$D13+IF(OR($F13="Exempt",$E13="Sub"),0,Y13*$D13*1.5))</f>
        <v/>
      </c>
      <c r="AA13" s="73" t="str">
        <f aca="false"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B13" s="74"/>
      <c r="AC13" s="74"/>
      <c r="AD13" s="75" t="str">
        <f aca="false">IF(A13="","",AB13*$D13+IF(OR($F13="Exempt",$E13="Sub"),0,AC13*$D13*1.5))</f>
        <v/>
      </c>
      <c r="AE13" s="76" t="str">
        <f aca="false"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F13" s="77"/>
      <c r="AG13" s="77"/>
      <c r="AH13" s="78" t="str">
        <f aca="false">IF(A13="","",AF13*$D13+IF(OR($F13="Exempt",$E13="Sub"),0,AG13*$D13*1.5))</f>
        <v/>
      </c>
      <c r="AI13" s="76" t="str">
        <f aca="false"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J13" s="77"/>
      <c r="AK13" s="77"/>
      <c r="AL13" s="78" t="str">
        <f aca="false">IF(A13="","",AJ13*$D13+IF(OR($F13="Exempt",$E13="Sub"),0,AK13*$D13*1.5))</f>
        <v/>
      </c>
      <c r="AM13" s="76" t="str">
        <f aca="false"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N13" s="77"/>
      <c r="AO13" s="77"/>
      <c r="AP13" s="78" t="str">
        <f aca="false">IF(A13="","",AN13*$D13+IF(OR($F13="Exempt",$E13="Sub"),0,AO13*$D13*1.5))</f>
        <v/>
      </c>
      <c r="AQ13" s="79" t="str">
        <f aca="false"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R13" s="80"/>
      <c r="AS13" s="80"/>
      <c r="AT13" s="81" t="str">
        <f aca="false">IF(A13="","",AR13*$D13+IF(OR($F13="Exempt",$E13="Sub"),0,AS13*$D13*1.5))</f>
        <v/>
      </c>
      <c r="AU13" s="79" t="str">
        <f aca="false"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V13" s="80"/>
      <c r="AW13" s="80"/>
      <c r="AX13" s="81" t="str">
        <f aca="false">IF(A13="","",AV13*$D13+IF(OR($F13="Exempt",$E13="Sub"),0,AW13*$D13*1.5))</f>
        <v/>
      </c>
      <c r="AY13" s="79" t="str">
        <f aca="false"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AZ13" s="80"/>
      <c r="BA13" s="80"/>
      <c r="BB13" s="81" t="str">
        <f aca="false">IF(A13="","",AZ13*$D13+IF(OR($F13="Exempt",$E13="Sub"),0,BA13*$D13*1.5))</f>
        <v/>
      </c>
      <c r="BC13" s="82" t="str">
        <f aca="false">IF(A13="","",SUM(G13,K13,O13,S13,W13,AA13,AE13,AI13,AM13,AQ13,AU13,AY13))</f>
        <v/>
      </c>
      <c r="BD13" s="82" t="str">
        <f aca="false">IF(A13="","",SUM(H13,I13,L13,M13,P13,Q13,T13,U13,X13,Y13,AB13,AC13,AF13,AG13,AJ13,AK13,AN13,AO13,AR13,AS13,AV13,AW13,AZ13,BA13))</f>
        <v/>
      </c>
      <c r="BE13" s="83" t="str">
        <f aca="false">IF(A13="","",BC13*$D13)</f>
        <v/>
      </c>
      <c r="BF13" s="83" t="str">
        <f aca="false">IF(A13="","",SUM(J13,N13,R13,V13,Z13,AD13,AH13,AL13,AP13,AT13,AX13,BB13))</f>
        <v/>
      </c>
    </row>
    <row r="14" customFormat="false" ht="15" hidden="false" customHeight="false" outlineLevel="0" collapsed="false">
      <c r="A14" s="20"/>
      <c r="B14" s="67" t="str">
        <f aca="false">IF(A14="","",IFERROR(INDEX(Personnel!$B$5:$B$19,MATCH($A14,Personnel!$A$5:$A$19,0)),"-- not found --"))</f>
        <v/>
      </c>
      <c r="C14" s="67" t="str">
        <f aca="false">IF(A14="","",IFERROR(INDEX(Personnel!$C$5:$C$19,MATCH($A14,Personnel!$A$5:$A$19,0)),""))</f>
        <v/>
      </c>
      <c r="D14" s="68" t="str">
        <f aca="false">IF(A14="","",IFERROR(INDEX(Personnel!$H$5:$H$19,MATCH($A14,Personnel!$A$5:$A$19,0)),""))</f>
        <v/>
      </c>
      <c r="E14" s="20"/>
      <c r="F14" s="69" t="str">
        <f aca="false">IF(A14="","",IFERROR(INDEX(Personnel!$D$5:$D$19,MATCH($A14,Personnel!$A$5:$A$19,0)),""))</f>
        <v/>
      </c>
      <c r="G14" s="70" t="str">
        <f aca="false"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H14" s="71"/>
      <c r="I14" s="71"/>
      <c r="J14" s="72" t="str">
        <f aca="false">IF(A14="","",H14*$D14+IF(OR($F14="Exempt",$E14="Sub"),0,I14*$D14*1.5))</f>
        <v/>
      </c>
      <c r="K14" s="70" t="str">
        <f aca="false"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L14" s="71"/>
      <c r="M14" s="71"/>
      <c r="N14" s="72" t="str">
        <f aca="false">IF(A14="","",L14*$D14+IF(OR($F14="Exempt",$E14="Sub"),0,M14*$D14*1.5))</f>
        <v/>
      </c>
      <c r="O14" s="70" t="str">
        <f aca="false"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P14" s="71"/>
      <c r="Q14" s="71"/>
      <c r="R14" s="72" t="str">
        <f aca="false">IF(A14="","",P14*$D14+IF(OR($F14="Exempt",$E14="Sub"),0,Q14*$D14*1.5))</f>
        <v/>
      </c>
      <c r="S14" s="73" t="str">
        <f aca="false"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T14" s="74"/>
      <c r="U14" s="74"/>
      <c r="V14" s="75" t="str">
        <f aca="false">IF(A14="","",T14*$D14+IF(OR($F14="Exempt",$E14="Sub"),0,U14*$D14*1.5))</f>
        <v/>
      </c>
      <c r="W14" s="73" t="str">
        <f aca="false"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X14" s="74"/>
      <c r="Y14" s="74"/>
      <c r="Z14" s="75" t="str">
        <f aca="false">IF(A14="","",X14*$D14+IF(OR($F14="Exempt",$E14="Sub"),0,Y14*$D14*1.5))</f>
        <v/>
      </c>
      <c r="AA14" s="73" t="str">
        <f aca="false"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B14" s="74"/>
      <c r="AC14" s="74"/>
      <c r="AD14" s="75" t="str">
        <f aca="false">IF(A14="","",AB14*$D14+IF(OR($F14="Exempt",$E14="Sub"),0,AC14*$D14*1.5))</f>
        <v/>
      </c>
      <c r="AE14" s="76" t="str">
        <f aca="false"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F14" s="77"/>
      <c r="AG14" s="77"/>
      <c r="AH14" s="78" t="str">
        <f aca="false">IF(A14="","",AF14*$D14+IF(OR($F14="Exempt",$E14="Sub"),0,AG14*$D14*1.5))</f>
        <v/>
      </c>
      <c r="AI14" s="76" t="str">
        <f aca="false"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J14" s="77"/>
      <c r="AK14" s="77"/>
      <c r="AL14" s="78" t="str">
        <f aca="false">IF(A14="","",AJ14*$D14+IF(OR($F14="Exempt",$E14="Sub"),0,AK14*$D14*1.5))</f>
        <v/>
      </c>
      <c r="AM14" s="76" t="str">
        <f aca="false"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N14" s="77"/>
      <c r="AO14" s="77"/>
      <c r="AP14" s="78" t="str">
        <f aca="false">IF(A14="","",AN14*$D14+IF(OR($F14="Exempt",$E14="Sub"),0,AO14*$D14*1.5))</f>
        <v/>
      </c>
      <c r="AQ14" s="79" t="str">
        <f aca="false"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R14" s="80"/>
      <c r="AS14" s="80"/>
      <c r="AT14" s="81" t="str">
        <f aca="false">IF(A14="","",AR14*$D14+IF(OR($F14="Exempt",$E14="Sub"),0,AS14*$D14*1.5))</f>
        <v/>
      </c>
      <c r="AU14" s="79" t="str">
        <f aca="false"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V14" s="80"/>
      <c r="AW14" s="80"/>
      <c r="AX14" s="81" t="str">
        <f aca="false">IF(A14="","",AV14*$D14+IF(OR($F14="Exempt",$E14="Sub"),0,AW14*$D14*1.5))</f>
        <v/>
      </c>
      <c r="AY14" s="79" t="str">
        <f aca="false"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AZ14" s="80"/>
      <c r="BA14" s="80"/>
      <c r="BB14" s="81" t="str">
        <f aca="false">IF(A14="","",AZ14*$D14+IF(OR($F14="Exempt",$E14="Sub"),0,BA14*$D14*1.5))</f>
        <v/>
      </c>
      <c r="BC14" s="82" t="str">
        <f aca="false">IF(A14="","",SUM(G14,K14,O14,S14,W14,AA14,AE14,AI14,AM14,AQ14,AU14,AY14))</f>
        <v/>
      </c>
      <c r="BD14" s="82" t="str">
        <f aca="false">IF(A14="","",SUM(H14,I14,L14,M14,P14,Q14,T14,U14,X14,Y14,AB14,AC14,AF14,AG14,AJ14,AK14,AN14,AO14,AR14,AS14,AV14,AW14,AZ14,BA14))</f>
        <v/>
      </c>
      <c r="BE14" s="83" t="str">
        <f aca="false">IF(A14="","",BC14*$D14)</f>
        <v/>
      </c>
      <c r="BF14" s="83" t="str">
        <f aca="false">IF(A14="","",SUM(J14,N14,R14,V14,Z14,AD14,AH14,AL14,AP14,AT14,AX14,BB14))</f>
        <v/>
      </c>
    </row>
    <row r="15" customFormat="false" ht="15" hidden="false" customHeight="false" outlineLevel="0" collapsed="false">
      <c r="A15" s="27"/>
      <c r="B15" s="84" t="str">
        <f aca="false">IF(A15="","",IFERROR(INDEX(Personnel!$B$5:$B$19,MATCH($A15,Personnel!$A$5:$A$19,0)),"-- not found --"))</f>
        <v/>
      </c>
      <c r="C15" s="84" t="str">
        <f aca="false">IF(A15="","",IFERROR(INDEX(Personnel!$C$5:$C$19,MATCH($A15,Personnel!$A$5:$A$19,0)),""))</f>
        <v/>
      </c>
      <c r="D15" s="85" t="str">
        <f aca="false">IF(A15="","",IFERROR(INDEX(Personnel!$H$5:$H$19,MATCH($A15,Personnel!$A$5:$A$19,0)),""))</f>
        <v/>
      </c>
      <c r="E15" s="27"/>
      <c r="F15" s="86" t="str">
        <f aca="false">IF(A15="","",IFERROR(INDEX(Personnel!$D$5:$D$19,MATCH($A15,Personnel!$A$5:$A$19,0)),""))</f>
        <v/>
      </c>
      <c r="G15" s="70" t="str">
        <f aca="false"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H15" s="71"/>
      <c r="I15" s="71"/>
      <c r="J15" s="72" t="str">
        <f aca="false">IF(A15="","",H15*$D15+IF(OR($F15="Exempt",$E15="Sub"),0,I15*$D15*1.5))</f>
        <v/>
      </c>
      <c r="K15" s="70" t="str">
        <f aca="false"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L15" s="71"/>
      <c r="M15" s="71"/>
      <c r="N15" s="72" t="str">
        <f aca="false">IF(A15="","",L15*$D15+IF(OR($F15="Exempt",$E15="Sub"),0,M15*$D15*1.5))</f>
        <v/>
      </c>
      <c r="O15" s="70" t="str">
        <f aca="false"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P15" s="71"/>
      <c r="Q15" s="71"/>
      <c r="R15" s="72" t="str">
        <f aca="false">IF(A15="","",P15*$D15+IF(OR($F15="Exempt",$E15="Sub"),0,Q15*$D15*1.5))</f>
        <v/>
      </c>
      <c r="S15" s="73" t="str">
        <f aca="false"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T15" s="74"/>
      <c r="U15" s="74"/>
      <c r="V15" s="75" t="str">
        <f aca="false">IF(A15="","",T15*$D15+IF(OR($F15="Exempt",$E15="Sub"),0,U15*$D15*1.5))</f>
        <v/>
      </c>
      <c r="W15" s="73" t="str">
        <f aca="false"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X15" s="74"/>
      <c r="Y15" s="74"/>
      <c r="Z15" s="75" t="str">
        <f aca="false">IF(A15="","",X15*$D15+IF(OR($F15="Exempt",$E15="Sub"),0,Y15*$D15*1.5))</f>
        <v/>
      </c>
      <c r="AA15" s="73" t="str">
        <f aca="false"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B15" s="74"/>
      <c r="AC15" s="74"/>
      <c r="AD15" s="75" t="str">
        <f aca="false">IF(A15="","",AB15*$D15+IF(OR($F15="Exempt",$E15="Sub"),0,AC15*$D15*1.5))</f>
        <v/>
      </c>
      <c r="AE15" s="76" t="str">
        <f aca="false"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F15" s="77"/>
      <c r="AG15" s="77"/>
      <c r="AH15" s="78" t="str">
        <f aca="false">IF(A15="","",AF15*$D15+IF(OR($F15="Exempt",$E15="Sub"),0,AG15*$D15*1.5))</f>
        <v/>
      </c>
      <c r="AI15" s="76" t="str">
        <f aca="false"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J15" s="77"/>
      <c r="AK15" s="77"/>
      <c r="AL15" s="78" t="str">
        <f aca="false">IF(A15="","",AJ15*$D15+IF(OR($F15="Exempt",$E15="Sub"),0,AK15*$D15*1.5))</f>
        <v/>
      </c>
      <c r="AM15" s="76" t="str">
        <f aca="false"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N15" s="77"/>
      <c r="AO15" s="77"/>
      <c r="AP15" s="78" t="str">
        <f aca="false">IF(A15="","",AN15*$D15+IF(OR($F15="Exempt",$E15="Sub"),0,AO15*$D15*1.5))</f>
        <v/>
      </c>
      <c r="AQ15" s="79" t="str">
        <f aca="false"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R15" s="80"/>
      <c r="AS15" s="80"/>
      <c r="AT15" s="81" t="str">
        <f aca="false">IF(A15="","",AR15*$D15+IF(OR($F15="Exempt",$E15="Sub"),0,AS15*$D15*1.5))</f>
        <v/>
      </c>
      <c r="AU15" s="79" t="str">
        <f aca="false"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V15" s="80"/>
      <c r="AW15" s="80"/>
      <c r="AX15" s="81" t="str">
        <f aca="false">IF(A15="","",AV15*$D15+IF(OR($F15="Exempt",$E15="Sub"),0,AW15*$D15*1.5))</f>
        <v/>
      </c>
      <c r="AY15" s="79" t="str">
        <f aca="false"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AZ15" s="80"/>
      <c r="BA15" s="80"/>
      <c r="BB15" s="81" t="str">
        <f aca="false">IF(A15="","",AZ15*$D15+IF(OR($F15="Exempt",$E15="Sub"),0,BA15*$D15*1.5))</f>
        <v/>
      </c>
      <c r="BC15" s="82" t="str">
        <f aca="false">IF(A15="","",SUM(G15,K15,O15,S15,W15,AA15,AE15,AI15,AM15,AQ15,AU15,AY15))</f>
        <v/>
      </c>
      <c r="BD15" s="82" t="str">
        <f aca="false">IF(A15="","",SUM(H15,I15,L15,M15,P15,Q15,T15,U15,X15,Y15,AB15,AC15,AF15,AG15,AJ15,AK15,AN15,AO15,AR15,AS15,AV15,AW15,AZ15,BA15))</f>
        <v/>
      </c>
      <c r="BE15" s="83" t="str">
        <f aca="false">IF(A15="","",BC15*$D15)</f>
        <v/>
      </c>
      <c r="BF15" s="83" t="str">
        <f aca="false">IF(A15="","",SUM(J15,N15,R15,V15,Z15,AD15,AH15,AL15,AP15,AT15,AX15,BB15))</f>
        <v/>
      </c>
    </row>
    <row r="16" customFormat="false" ht="15" hidden="false" customHeight="false" outlineLevel="0" collapsed="false">
      <c r="A16" s="20"/>
      <c r="B16" s="67" t="str">
        <f aca="false">IF(A16="","",IFERROR(INDEX(Personnel!$B$5:$B$19,MATCH($A16,Personnel!$A$5:$A$19,0)),"-- not found --"))</f>
        <v/>
      </c>
      <c r="C16" s="67" t="str">
        <f aca="false">IF(A16="","",IFERROR(INDEX(Personnel!$C$5:$C$19,MATCH($A16,Personnel!$A$5:$A$19,0)),""))</f>
        <v/>
      </c>
      <c r="D16" s="68" t="str">
        <f aca="false">IF(A16="","",IFERROR(INDEX(Personnel!$H$5:$H$19,MATCH($A16,Personnel!$A$5:$A$19,0)),""))</f>
        <v/>
      </c>
      <c r="E16" s="20"/>
      <c r="F16" s="69" t="str">
        <f aca="false">IF(A16="","",IFERROR(INDEX(Personnel!$D$5:$D$19,MATCH($A16,Personnel!$A$5:$A$19,0)),""))</f>
        <v/>
      </c>
      <c r="G16" s="70" t="str">
        <f aca="false"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H16" s="71"/>
      <c r="I16" s="71"/>
      <c r="J16" s="72" t="str">
        <f aca="false">IF(A16="","",H16*$D16+IF(OR($F16="Exempt",$E16="Sub"),0,I16*$D16*1.5))</f>
        <v/>
      </c>
      <c r="K16" s="70" t="str">
        <f aca="false"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L16" s="71"/>
      <c r="M16" s="71"/>
      <c r="N16" s="72" t="str">
        <f aca="false">IF(A16="","",L16*$D16+IF(OR($F16="Exempt",$E16="Sub"),0,M16*$D16*1.5))</f>
        <v/>
      </c>
      <c r="O16" s="70" t="str">
        <f aca="false"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P16" s="71"/>
      <c r="Q16" s="71"/>
      <c r="R16" s="72" t="str">
        <f aca="false">IF(A16="","",P16*$D16+IF(OR($F16="Exempt",$E16="Sub"),0,Q16*$D16*1.5))</f>
        <v/>
      </c>
      <c r="S16" s="73" t="str">
        <f aca="false"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T16" s="74"/>
      <c r="U16" s="74"/>
      <c r="V16" s="75" t="str">
        <f aca="false">IF(A16="","",T16*$D16+IF(OR($F16="Exempt",$E16="Sub"),0,U16*$D16*1.5))</f>
        <v/>
      </c>
      <c r="W16" s="73" t="str">
        <f aca="false"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X16" s="74"/>
      <c r="Y16" s="74"/>
      <c r="Z16" s="75" t="str">
        <f aca="false">IF(A16="","",X16*$D16+IF(OR($F16="Exempt",$E16="Sub"),0,Y16*$D16*1.5))</f>
        <v/>
      </c>
      <c r="AA16" s="73" t="str">
        <f aca="false"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B16" s="74"/>
      <c r="AC16" s="74"/>
      <c r="AD16" s="75" t="str">
        <f aca="false">IF(A16="","",AB16*$D16+IF(OR($F16="Exempt",$E16="Sub"),0,AC16*$D16*1.5))</f>
        <v/>
      </c>
      <c r="AE16" s="76" t="str">
        <f aca="false"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F16" s="77"/>
      <c r="AG16" s="77"/>
      <c r="AH16" s="78" t="str">
        <f aca="false">IF(A16="","",AF16*$D16+IF(OR($F16="Exempt",$E16="Sub"),0,AG16*$D16*1.5))</f>
        <v/>
      </c>
      <c r="AI16" s="76" t="str">
        <f aca="false"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J16" s="77"/>
      <c r="AK16" s="77"/>
      <c r="AL16" s="78" t="str">
        <f aca="false">IF(A16="","",AJ16*$D16+IF(OR($F16="Exempt",$E16="Sub"),0,AK16*$D16*1.5))</f>
        <v/>
      </c>
      <c r="AM16" s="76" t="str">
        <f aca="false"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N16" s="77"/>
      <c r="AO16" s="77"/>
      <c r="AP16" s="78" t="str">
        <f aca="false">IF(A16="","",AN16*$D16+IF(OR($F16="Exempt",$E16="Sub"),0,AO16*$D16*1.5))</f>
        <v/>
      </c>
      <c r="AQ16" s="79" t="str">
        <f aca="false"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R16" s="80"/>
      <c r="AS16" s="80"/>
      <c r="AT16" s="81" t="str">
        <f aca="false">IF(A16="","",AR16*$D16+IF(OR($F16="Exempt",$E16="Sub"),0,AS16*$D16*1.5))</f>
        <v/>
      </c>
      <c r="AU16" s="79" t="str">
        <f aca="false"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V16" s="80"/>
      <c r="AW16" s="80"/>
      <c r="AX16" s="81" t="str">
        <f aca="false">IF(A16="","",AV16*$D16+IF(OR($F16="Exempt",$E16="Sub"),0,AW16*$D16*1.5))</f>
        <v/>
      </c>
      <c r="AY16" s="79" t="str">
        <f aca="false"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AZ16" s="80"/>
      <c r="BA16" s="80"/>
      <c r="BB16" s="81" t="str">
        <f aca="false">IF(A16="","",AZ16*$D16+IF(OR($F16="Exempt",$E16="Sub"),0,BA16*$D16*1.5))</f>
        <v/>
      </c>
      <c r="BC16" s="82" t="str">
        <f aca="false">IF(A16="","",SUM(G16,K16,O16,S16,W16,AA16,AE16,AI16,AM16,AQ16,AU16,AY16))</f>
        <v/>
      </c>
      <c r="BD16" s="82" t="str">
        <f aca="false">IF(A16="","",SUM(H16,I16,L16,M16,P16,Q16,T16,U16,X16,Y16,AB16,AC16,AF16,AG16,AJ16,AK16,AN16,AO16,AR16,AS16,AV16,AW16,AZ16,BA16))</f>
        <v/>
      </c>
      <c r="BE16" s="83" t="str">
        <f aca="false">IF(A16="","",BC16*$D16)</f>
        <v/>
      </c>
      <c r="BF16" s="83" t="str">
        <f aca="false">IF(A16="","",SUM(J16,N16,R16,V16,Z16,AD16,AH16,AL16,AP16,AT16,AX16,BB16))</f>
        <v/>
      </c>
    </row>
    <row r="17" customFormat="false" ht="15" hidden="false" customHeight="false" outlineLevel="0" collapsed="false">
      <c r="A17" s="27"/>
      <c r="B17" s="84" t="str">
        <f aca="false">IF(A17="","",IFERROR(INDEX(Personnel!$B$5:$B$19,MATCH($A17,Personnel!$A$5:$A$19,0)),"-- not found --"))</f>
        <v/>
      </c>
      <c r="C17" s="84" t="str">
        <f aca="false">IF(A17="","",IFERROR(INDEX(Personnel!$C$5:$C$19,MATCH($A17,Personnel!$A$5:$A$19,0)),""))</f>
        <v/>
      </c>
      <c r="D17" s="85" t="str">
        <f aca="false">IF(A17="","",IFERROR(INDEX(Personnel!$H$5:$H$19,MATCH($A17,Personnel!$A$5:$A$19,0)),""))</f>
        <v/>
      </c>
      <c r="E17" s="27"/>
      <c r="F17" s="86" t="str">
        <f aca="false">IF(A17="","",IFERROR(INDEX(Personnel!$D$5:$D$19,MATCH($A17,Personnel!$A$5:$A$19,0)),""))</f>
        <v/>
      </c>
      <c r="G17" s="70" t="str">
        <f aca="false"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H17" s="71"/>
      <c r="I17" s="71"/>
      <c r="J17" s="72" t="str">
        <f aca="false">IF(A17="","",H17*$D17+IF(OR($F17="Exempt",$E17="Sub"),0,I17*$D17*1.5))</f>
        <v/>
      </c>
      <c r="K17" s="70" t="str">
        <f aca="false"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L17" s="71"/>
      <c r="M17" s="71"/>
      <c r="N17" s="72" t="str">
        <f aca="false">IF(A17="","",L17*$D17+IF(OR($F17="Exempt",$E17="Sub"),0,M17*$D17*1.5))</f>
        <v/>
      </c>
      <c r="O17" s="70" t="str">
        <f aca="false"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P17" s="71"/>
      <c r="Q17" s="71"/>
      <c r="R17" s="72" t="str">
        <f aca="false">IF(A17="","",P17*$D17+IF(OR($F17="Exempt",$E17="Sub"),0,Q17*$D17*1.5))</f>
        <v/>
      </c>
      <c r="S17" s="73" t="str">
        <f aca="false"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T17" s="74"/>
      <c r="U17" s="74"/>
      <c r="V17" s="75" t="str">
        <f aca="false">IF(A17="","",T17*$D17+IF(OR($F17="Exempt",$E17="Sub"),0,U17*$D17*1.5))</f>
        <v/>
      </c>
      <c r="W17" s="73" t="str">
        <f aca="false"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X17" s="74"/>
      <c r="Y17" s="74"/>
      <c r="Z17" s="75" t="str">
        <f aca="false">IF(A17="","",X17*$D17+IF(OR($F17="Exempt",$E17="Sub"),0,Y17*$D17*1.5))</f>
        <v/>
      </c>
      <c r="AA17" s="73" t="str">
        <f aca="false"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B17" s="74"/>
      <c r="AC17" s="74"/>
      <c r="AD17" s="75" t="str">
        <f aca="false">IF(A17="","",AB17*$D17+IF(OR($F17="Exempt",$E17="Sub"),0,AC17*$D17*1.5))</f>
        <v/>
      </c>
      <c r="AE17" s="76" t="str">
        <f aca="false"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F17" s="77"/>
      <c r="AG17" s="77"/>
      <c r="AH17" s="78" t="str">
        <f aca="false">IF(A17="","",AF17*$D17+IF(OR($F17="Exempt",$E17="Sub"),0,AG17*$D17*1.5))</f>
        <v/>
      </c>
      <c r="AI17" s="76" t="str">
        <f aca="false"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J17" s="77"/>
      <c r="AK17" s="77"/>
      <c r="AL17" s="78" t="str">
        <f aca="false">IF(A17="","",AJ17*$D17+IF(OR($F17="Exempt",$E17="Sub"),0,AK17*$D17*1.5))</f>
        <v/>
      </c>
      <c r="AM17" s="76" t="str">
        <f aca="false"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N17" s="77"/>
      <c r="AO17" s="77"/>
      <c r="AP17" s="78" t="str">
        <f aca="false">IF(A17="","",AN17*$D17+IF(OR($F17="Exempt",$E17="Sub"),0,AO17*$D17*1.5))</f>
        <v/>
      </c>
      <c r="AQ17" s="79" t="str">
        <f aca="false"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R17" s="80"/>
      <c r="AS17" s="80"/>
      <c r="AT17" s="81" t="str">
        <f aca="false">IF(A17="","",AR17*$D17+IF(OR($F17="Exempt",$E17="Sub"),0,AS17*$D17*1.5))</f>
        <v/>
      </c>
      <c r="AU17" s="79" t="str">
        <f aca="false"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V17" s="80"/>
      <c r="AW17" s="80"/>
      <c r="AX17" s="81" t="str">
        <f aca="false">IF(A17="","",AV17*$D17+IF(OR($F17="Exempt",$E17="Sub"),0,AW17*$D17*1.5))</f>
        <v/>
      </c>
      <c r="AY17" s="79" t="str">
        <f aca="false"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AZ17" s="80"/>
      <c r="BA17" s="80"/>
      <c r="BB17" s="81" t="str">
        <f aca="false">IF(A17="","",AZ17*$D17+IF(OR($F17="Exempt",$E17="Sub"),0,BA17*$D17*1.5))</f>
        <v/>
      </c>
      <c r="BC17" s="82" t="str">
        <f aca="false">IF(A17="","",SUM(G17,K17,O17,S17,W17,AA17,AE17,AI17,AM17,AQ17,AU17,AY17))</f>
        <v/>
      </c>
      <c r="BD17" s="82" t="str">
        <f aca="false">IF(A17="","",SUM(H17,I17,L17,M17,P17,Q17,T17,U17,X17,Y17,AB17,AC17,AF17,AG17,AJ17,AK17,AN17,AO17,AR17,AS17,AV17,AW17,AZ17,BA17))</f>
        <v/>
      </c>
      <c r="BE17" s="83" t="str">
        <f aca="false">IF(A17="","",BC17*$D17)</f>
        <v/>
      </c>
      <c r="BF17" s="83" t="str">
        <f aca="false">IF(A17="","",SUM(J17,N17,R17,V17,Z17,AD17,AH17,AL17,AP17,AT17,AX17,BB17))</f>
        <v/>
      </c>
    </row>
    <row r="18" customFormat="false" ht="15" hidden="false" customHeight="false" outlineLevel="0" collapsed="false">
      <c r="A18" s="20"/>
      <c r="B18" s="67" t="str">
        <f aca="false">IF(A18="","",IFERROR(INDEX(Personnel!$B$5:$B$19,MATCH($A18,Personnel!$A$5:$A$19,0)),"-- not found --"))</f>
        <v/>
      </c>
      <c r="C18" s="67" t="str">
        <f aca="false">IF(A18="","",IFERROR(INDEX(Personnel!$C$5:$C$19,MATCH($A18,Personnel!$A$5:$A$19,0)),""))</f>
        <v/>
      </c>
      <c r="D18" s="68" t="str">
        <f aca="false">IF(A18="","",IFERROR(INDEX(Personnel!$H$5:$H$19,MATCH($A18,Personnel!$A$5:$A$19,0)),""))</f>
        <v/>
      </c>
      <c r="E18" s="20"/>
      <c r="F18" s="69" t="str">
        <f aca="false">IF(A18="","",IFERROR(INDEX(Personnel!$D$5:$D$19,MATCH($A18,Personnel!$A$5:$A$19,0)),""))</f>
        <v/>
      </c>
      <c r="G18" s="70" t="str">
        <f aca="false"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H18" s="71"/>
      <c r="I18" s="71"/>
      <c r="J18" s="72" t="str">
        <f aca="false">IF(A18="","",H18*$D18+IF(OR($F18="Exempt",$E18="Sub"),0,I18*$D18*1.5))</f>
        <v/>
      </c>
      <c r="K18" s="70" t="str">
        <f aca="false"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L18" s="71"/>
      <c r="M18" s="71"/>
      <c r="N18" s="72" t="str">
        <f aca="false">IF(A18="","",L18*$D18+IF(OR($F18="Exempt",$E18="Sub"),0,M18*$D18*1.5))</f>
        <v/>
      </c>
      <c r="O18" s="70" t="str">
        <f aca="false"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P18" s="71"/>
      <c r="Q18" s="71"/>
      <c r="R18" s="72" t="str">
        <f aca="false">IF(A18="","",P18*$D18+IF(OR($F18="Exempt",$E18="Sub"),0,Q18*$D18*1.5))</f>
        <v/>
      </c>
      <c r="S18" s="73" t="str">
        <f aca="false"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T18" s="74"/>
      <c r="U18" s="74"/>
      <c r="V18" s="75" t="str">
        <f aca="false">IF(A18="","",T18*$D18+IF(OR($F18="Exempt",$E18="Sub"),0,U18*$D18*1.5))</f>
        <v/>
      </c>
      <c r="W18" s="73" t="str">
        <f aca="false"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X18" s="74"/>
      <c r="Y18" s="74"/>
      <c r="Z18" s="75" t="str">
        <f aca="false">IF(A18="","",X18*$D18+IF(OR($F18="Exempt",$E18="Sub"),0,Y18*$D18*1.5))</f>
        <v/>
      </c>
      <c r="AA18" s="73" t="str">
        <f aca="false"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B18" s="74"/>
      <c r="AC18" s="74"/>
      <c r="AD18" s="75" t="str">
        <f aca="false">IF(A18="","",AB18*$D18+IF(OR($F18="Exempt",$E18="Sub"),0,AC18*$D18*1.5))</f>
        <v/>
      </c>
      <c r="AE18" s="76" t="str">
        <f aca="false"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F18" s="77"/>
      <c r="AG18" s="77"/>
      <c r="AH18" s="78" t="str">
        <f aca="false">IF(A18="","",AF18*$D18+IF(OR($F18="Exempt",$E18="Sub"),0,AG18*$D18*1.5))</f>
        <v/>
      </c>
      <c r="AI18" s="76" t="str">
        <f aca="false"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J18" s="77"/>
      <c r="AK18" s="77"/>
      <c r="AL18" s="78" t="str">
        <f aca="false">IF(A18="","",AJ18*$D18+IF(OR($F18="Exempt",$E18="Sub"),0,AK18*$D18*1.5))</f>
        <v/>
      </c>
      <c r="AM18" s="76" t="str">
        <f aca="false"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N18" s="77"/>
      <c r="AO18" s="77"/>
      <c r="AP18" s="78" t="str">
        <f aca="false">IF(A18="","",AN18*$D18+IF(OR($F18="Exempt",$E18="Sub"),0,AO18*$D18*1.5))</f>
        <v/>
      </c>
      <c r="AQ18" s="79" t="str">
        <f aca="false"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R18" s="80"/>
      <c r="AS18" s="80"/>
      <c r="AT18" s="81" t="str">
        <f aca="false">IF(A18="","",AR18*$D18+IF(OR($F18="Exempt",$E18="Sub"),0,AS18*$D18*1.5))</f>
        <v/>
      </c>
      <c r="AU18" s="79" t="str">
        <f aca="false"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V18" s="80"/>
      <c r="AW18" s="80"/>
      <c r="AX18" s="81" t="str">
        <f aca="false">IF(A18="","",AV18*$D18+IF(OR($F18="Exempt",$E18="Sub"),0,AW18*$D18*1.5))</f>
        <v/>
      </c>
      <c r="AY18" s="79" t="str">
        <f aca="false"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AZ18" s="80"/>
      <c r="BA18" s="80"/>
      <c r="BB18" s="81" t="str">
        <f aca="false">IF(A18="","",AZ18*$D18+IF(OR($F18="Exempt",$E18="Sub"),0,BA18*$D18*1.5))</f>
        <v/>
      </c>
      <c r="BC18" s="82" t="str">
        <f aca="false">IF(A18="","",SUM(G18,K18,O18,S18,W18,AA18,AE18,AI18,AM18,AQ18,AU18,AY18))</f>
        <v/>
      </c>
      <c r="BD18" s="82" t="str">
        <f aca="false">IF(A18="","",SUM(H18,I18,L18,M18,P18,Q18,T18,U18,X18,Y18,AB18,AC18,AF18,AG18,AJ18,AK18,AN18,AO18,AR18,AS18,AV18,AW18,AZ18,BA18))</f>
        <v/>
      </c>
      <c r="BE18" s="83" t="str">
        <f aca="false">IF(A18="","",BC18*$D18)</f>
        <v/>
      </c>
      <c r="BF18" s="83" t="str">
        <f aca="false">IF(A18="","",SUM(J18,N18,R18,V18,Z18,AD18,AH18,AL18,AP18,AT18,AX18,BB18))</f>
        <v/>
      </c>
    </row>
    <row r="19" customFormat="false" ht="15" hidden="false" customHeight="false" outlineLevel="0" collapsed="false">
      <c r="A19" s="27"/>
      <c r="B19" s="84" t="str">
        <f aca="false">IF(A19="","",IFERROR(INDEX(Personnel!$B$5:$B$19,MATCH($A19,Personnel!$A$5:$A$19,0)),"-- not found --"))</f>
        <v/>
      </c>
      <c r="C19" s="84" t="str">
        <f aca="false">IF(A19="","",IFERROR(INDEX(Personnel!$C$5:$C$19,MATCH($A19,Personnel!$A$5:$A$19,0)),""))</f>
        <v/>
      </c>
      <c r="D19" s="85" t="str">
        <f aca="false">IF(A19="","",IFERROR(INDEX(Personnel!$H$5:$H$19,MATCH($A19,Personnel!$A$5:$A$19,0)),""))</f>
        <v/>
      </c>
      <c r="E19" s="27"/>
      <c r="F19" s="86" t="str">
        <f aca="false">IF(A19="","",IFERROR(INDEX(Personnel!$D$5:$D$19,MATCH($A19,Personnel!$A$5:$A$19,0)),""))</f>
        <v/>
      </c>
      <c r="G19" s="70" t="str">
        <f aca="false"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H19" s="71"/>
      <c r="I19" s="71"/>
      <c r="J19" s="72" t="str">
        <f aca="false">IF(A19="","",H19*$D19+IF(OR($F19="Exempt",$E19="Sub"),0,I19*$D19*1.5))</f>
        <v/>
      </c>
      <c r="K19" s="70" t="str">
        <f aca="false"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L19" s="71"/>
      <c r="M19" s="71"/>
      <c r="N19" s="72" t="str">
        <f aca="false">IF(A19="","",L19*$D19+IF(OR($F19="Exempt",$E19="Sub"),0,M19*$D19*1.5))</f>
        <v/>
      </c>
      <c r="O19" s="70" t="str">
        <f aca="false"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P19" s="71"/>
      <c r="Q19" s="71"/>
      <c r="R19" s="72" t="str">
        <f aca="false">IF(A19="","",P19*$D19+IF(OR($F19="Exempt",$E19="Sub"),0,Q19*$D19*1.5))</f>
        <v/>
      </c>
      <c r="S19" s="73" t="str">
        <f aca="false"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T19" s="74"/>
      <c r="U19" s="74"/>
      <c r="V19" s="75" t="str">
        <f aca="false">IF(A19="","",T19*$D19+IF(OR($F19="Exempt",$E19="Sub"),0,U19*$D19*1.5))</f>
        <v/>
      </c>
      <c r="W19" s="73" t="str">
        <f aca="false"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X19" s="74"/>
      <c r="Y19" s="74"/>
      <c r="Z19" s="75" t="str">
        <f aca="false">IF(A19="","",X19*$D19+IF(OR($F19="Exempt",$E19="Sub"),0,Y19*$D19*1.5))</f>
        <v/>
      </c>
      <c r="AA19" s="73" t="str">
        <f aca="false"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B19" s="74"/>
      <c r="AC19" s="74"/>
      <c r="AD19" s="75" t="str">
        <f aca="false">IF(A19="","",AB19*$D19+IF(OR($F19="Exempt",$E19="Sub"),0,AC19*$D19*1.5))</f>
        <v/>
      </c>
      <c r="AE19" s="76" t="str">
        <f aca="false"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F19" s="77"/>
      <c r="AG19" s="77"/>
      <c r="AH19" s="78" t="str">
        <f aca="false">IF(A19="","",AF19*$D19+IF(OR($F19="Exempt",$E19="Sub"),0,AG19*$D19*1.5))</f>
        <v/>
      </c>
      <c r="AI19" s="76" t="str">
        <f aca="false"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J19" s="77"/>
      <c r="AK19" s="77"/>
      <c r="AL19" s="78" t="str">
        <f aca="false">IF(A19="","",AJ19*$D19+IF(OR($F19="Exempt",$E19="Sub"),0,AK19*$D19*1.5))</f>
        <v/>
      </c>
      <c r="AM19" s="76" t="str">
        <f aca="false"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N19" s="77"/>
      <c r="AO19" s="77"/>
      <c r="AP19" s="78" t="str">
        <f aca="false">IF(A19="","",AN19*$D19+IF(OR($F19="Exempt",$E19="Sub"),0,AO19*$D19*1.5))</f>
        <v/>
      </c>
      <c r="AQ19" s="79" t="str">
        <f aca="false"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R19" s="80"/>
      <c r="AS19" s="80"/>
      <c r="AT19" s="81" t="str">
        <f aca="false">IF(A19="","",AR19*$D19+IF(OR($F19="Exempt",$E19="Sub"),0,AS19*$D19*1.5))</f>
        <v/>
      </c>
      <c r="AU19" s="79" t="str">
        <f aca="false"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V19" s="80"/>
      <c r="AW19" s="80"/>
      <c r="AX19" s="81" t="str">
        <f aca="false">IF(A19="","",AV19*$D19+IF(OR($F19="Exempt",$E19="Sub"),0,AW19*$D19*1.5))</f>
        <v/>
      </c>
      <c r="AY19" s="79" t="str">
        <f aca="false"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AZ19" s="80"/>
      <c r="BA19" s="80"/>
      <c r="BB19" s="81" t="str">
        <f aca="false">IF(A19="","",AZ19*$D19+IF(OR($F19="Exempt",$E19="Sub"),0,BA19*$D19*1.5))</f>
        <v/>
      </c>
      <c r="BC19" s="82" t="str">
        <f aca="false">IF(A19="","",SUM(G19,K19,O19,S19,W19,AA19,AE19,AI19,AM19,AQ19,AU19,AY19))</f>
        <v/>
      </c>
      <c r="BD19" s="82" t="str">
        <f aca="false">IF(A19="","",SUM(H19,I19,L19,M19,P19,Q19,T19,U19,X19,Y19,AB19,AC19,AF19,AG19,AJ19,AK19,AN19,AO19,AR19,AS19,AV19,AW19,AZ19,BA19))</f>
        <v/>
      </c>
      <c r="BE19" s="83" t="str">
        <f aca="false">IF(A19="","",BC19*$D19)</f>
        <v/>
      </c>
      <c r="BF19" s="83" t="str">
        <f aca="false">IF(A19="","",SUM(J19,N19,R19,V19,Z19,AD19,AH19,AL19,AP19,AT19,AX19,BB19))</f>
        <v/>
      </c>
    </row>
    <row r="20" customFormat="false" ht="15" hidden="false" customHeight="false" outlineLevel="0" collapsed="false">
      <c r="A20" s="20"/>
      <c r="B20" s="67" t="str">
        <f aca="false">IF(A20="","",IFERROR(INDEX(Personnel!$B$5:$B$19,MATCH($A20,Personnel!$A$5:$A$19,0)),"-- not found --"))</f>
        <v/>
      </c>
      <c r="C20" s="67" t="str">
        <f aca="false">IF(A20="","",IFERROR(INDEX(Personnel!$C$5:$C$19,MATCH($A20,Personnel!$A$5:$A$19,0)),""))</f>
        <v/>
      </c>
      <c r="D20" s="68" t="str">
        <f aca="false">IF(A20="","",IFERROR(INDEX(Personnel!$H$5:$H$19,MATCH($A20,Personnel!$A$5:$A$19,0)),""))</f>
        <v/>
      </c>
      <c r="E20" s="20"/>
      <c r="F20" s="69" t="str">
        <f aca="false">IF(A20="","",IFERROR(INDEX(Personnel!$D$5:$D$19,MATCH($A20,Personnel!$A$5:$A$19,0)),""))</f>
        <v/>
      </c>
      <c r="G20" s="70" t="str">
        <f aca="false"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H20" s="71"/>
      <c r="I20" s="71"/>
      <c r="J20" s="72" t="str">
        <f aca="false">IF(A20="","",H20*$D20+IF(OR($F20="Exempt",$E20="Sub"),0,I20*$D20*1.5))</f>
        <v/>
      </c>
      <c r="K20" s="70" t="str">
        <f aca="false"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L20" s="71"/>
      <c r="M20" s="71"/>
      <c r="N20" s="72" t="str">
        <f aca="false">IF(A20="","",L20*$D20+IF(OR($F20="Exempt",$E20="Sub"),0,M20*$D20*1.5))</f>
        <v/>
      </c>
      <c r="O20" s="70" t="str">
        <f aca="false"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P20" s="71"/>
      <c r="Q20" s="71"/>
      <c r="R20" s="72" t="str">
        <f aca="false">IF(A20="","",P20*$D20+IF(OR($F20="Exempt",$E20="Sub"),0,Q20*$D20*1.5))</f>
        <v/>
      </c>
      <c r="S20" s="73" t="str">
        <f aca="false"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T20" s="74"/>
      <c r="U20" s="74"/>
      <c r="V20" s="75" t="str">
        <f aca="false">IF(A20="","",T20*$D20+IF(OR($F20="Exempt",$E20="Sub"),0,U20*$D20*1.5))</f>
        <v/>
      </c>
      <c r="W20" s="73" t="str">
        <f aca="false"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X20" s="74"/>
      <c r="Y20" s="74"/>
      <c r="Z20" s="75" t="str">
        <f aca="false">IF(A20="","",X20*$D20+IF(OR($F20="Exempt",$E20="Sub"),0,Y20*$D20*1.5))</f>
        <v/>
      </c>
      <c r="AA20" s="73" t="str">
        <f aca="false"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B20" s="74"/>
      <c r="AC20" s="74"/>
      <c r="AD20" s="75" t="str">
        <f aca="false">IF(A20="","",AB20*$D20+IF(OR($F20="Exempt",$E20="Sub"),0,AC20*$D20*1.5))</f>
        <v/>
      </c>
      <c r="AE20" s="76" t="str">
        <f aca="false"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F20" s="77"/>
      <c r="AG20" s="77"/>
      <c r="AH20" s="78" t="str">
        <f aca="false">IF(A20="","",AF20*$D20+IF(OR($F20="Exempt",$E20="Sub"),0,AG20*$D20*1.5))</f>
        <v/>
      </c>
      <c r="AI20" s="76" t="str">
        <f aca="false"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J20" s="77"/>
      <c r="AK20" s="77"/>
      <c r="AL20" s="78" t="str">
        <f aca="false">IF(A20="","",AJ20*$D20+IF(OR($F20="Exempt",$E20="Sub"),0,AK20*$D20*1.5))</f>
        <v/>
      </c>
      <c r="AM20" s="76" t="str">
        <f aca="false"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N20" s="77"/>
      <c r="AO20" s="77"/>
      <c r="AP20" s="78" t="str">
        <f aca="false">IF(A20="","",AN20*$D20+IF(OR($F20="Exempt",$E20="Sub"),0,AO20*$D20*1.5))</f>
        <v/>
      </c>
      <c r="AQ20" s="79" t="str">
        <f aca="false"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R20" s="80"/>
      <c r="AS20" s="80"/>
      <c r="AT20" s="81" t="str">
        <f aca="false">IF(A20="","",AR20*$D20+IF(OR($F20="Exempt",$E20="Sub"),0,AS20*$D20*1.5))</f>
        <v/>
      </c>
      <c r="AU20" s="79" t="str">
        <f aca="false"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V20" s="80"/>
      <c r="AW20" s="80"/>
      <c r="AX20" s="81" t="str">
        <f aca="false">IF(A20="","",AV20*$D20+IF(OR($F20="Exempt",$E20="Sub"),0,AW20*$D20*1.5))</f>
        <v/>
      </c>
      <c r="AY20" s="79" t="str">
        <f aca="false"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AZ20" s="80"/>
      <c r="BA20" s="80"/>
      <c r="BB20" s="81" t="str">
        <f aca="false">IF(A20="","",AZ20*$D20+IF(OR($F20="Exempt",$E20="Sub"),0,BA20*$D20*1.5))</f>
        <v/>
      </c>
      <c r="BC20" s="82" t="str">
        <f aca="false">IF(A20="","",SUM(G20,K20,O20,S20,W20,AA20,AE20,AI20,AM20,AQ20,AU20,AY20))</f>
        <v/>
      </c>
      <c r="BD20" s="82" t="str">
        <f aca="false">IF(A20="","",SUM(H20,I20,L20,M20,P20,Q20,T20,U20,X20,Y20,AB20,AC20,AF20,AG20,AJ20,AK20,AN20,AO20,AR20,AS20,AV20,AW20,AZ20,BA20))</f>
        <v/>
      </c>
      <c r="BE20" s="83" t="str">
        <f aca="false">IF(A20="","",BC20*$D20)</f>
        <v/>
      </c>
      <c r="BF20" s="83" t="str">
        <f aca="false">IF(A20="","",SUM(J20,N20,R20,V20,Z20,AD20,AH20,AL20,AP20,AT20,AX20,BB20))</f>
        <v/>
      </c>
    </row>
    <row r="23" customFormat="false" ht="15" hidden="false" customHeight="false" outlineLevel="0" collapsed="false">
      <c r="A23" s="34" t="s">
        <v>198</v>
      </c>
    </row>
    <row r="24" customFormat="false" ht="31.5" hidden="false" customHeight="true" outlineLevel="0" collapsed="false">
      <c r="A24" s="17" t="s">
        <v>130</v>
      </c>
      <c r="B24" s="17" t="s">
        <v>131</v>
      </c>
      <c r="C24" s="17" t="s">
        <v>199</v>
      </c>
      <c r="D24" s="17" t="s">
        <v>200</v>
      </c>
      <c r="E24" s="17" t="s">
        <v>201</v>
      </c>
      <c r="F24" s="17" t="s">
        <v>202</v>
      </c>
      <c r="G24" s="17" t="s">
        <v>203</v>
      </c>
      <c r="H24" s="19" t="s">
        <v>204</v>
      </c>
      <c r="I24" s="19" t="s">
        <v>205</v>
      </c>
      <c r="J24" s="19" t="s">
        <v>206</v>
      </c>
    </row>
    <row r="25" customFormat="false" ht="15" hidden="false" customHeight="false" outlineLevel="0" collapsed="false">
      <c r="A25" s="51" t="n">
        <v>1</v>
      </c>
      <c r="B25" s="52" t="n">
        <f aca="false">EDATE(Dashboard!$C$5,A25-1)</f>
        <v>46023</v>
      </c>
      <c r="C25" s="25" t="n">
        <f aca="false">SUMIFS(J$6:J$20,$E$6:$E$20,"Prime")</f>
        <v>13749.7355769231</v>
      </c>
      <c r="D25" s="35" t="n">
        <f aca="false">C25*Rates!$B$6</f>
        <v>4812.40745192308</v>
      </c>
      <c r="E25" s="35" t="n">
        <f aca="false">(C25+D25)*Rates!$B$7</f>
        <v>10209.1786658654</v>
      </c>
      <c r="F25" s="25" t="n">
        <f aca="false">C25+D25+E25</f>
        <v>28771.3216947115</v>
      </c>
      <c r="G25" s="25" t="n">
        <f aca="false">SUMIFS(J$6:J$20,$E$6:$E$20,"Sub")</f>
        <v>4275</v>
      </c>
      <c r="H25" s="41" t="n">
        <f aca="false">F25+G25</f>
        <v>33046.3216947115</v>
      </c>
      <c r="I25" s="87" t="n">
        <f aca="false">H25*Rates!$B$8</f>
        <v>3965.55860336539</v>
      </c>
      <c r="J25" s="88" t="n">
        <f aca="false">H25+I25</f>
        <v>37011.8802980769</v>
      </c>
    </row>
    <row r="26" customFormat="false" ht="15" hidden="false" customHeight="false" outlineLevel="0" collapsed="false">
      <c r="A26" s="54" t="n">
        <v>2</v>
      </c>
      <c r="B26" s="55" t="n">
        <f aca="false">EDATE(Dashboard!$C$5,A26-1)</f>
        <v>46054</v>
      </c>
      <c r="C26" s="32" t="n">
        <f aca="false">SUMIFS(N$6:N$20,$E$6:$E$20,"Prime")</f>
        <v>13749.7355769231</v>
      </c>
      <c r="D26" s="38" t="n">
        <f aca="false">C26*Rates!$B$6</f>
        <v>4812.40745192308</v>
      </c>
      <c r="E26" s="38" t="n">
        <f aca="false">(C26+D26)*Rates!$B$7</f>
        <v>10209.1786658654</v>
      </c>
      <c r="F26" s="32" t="n">
        <f aca="false">C26+D26+E26</f>
        <v>28771.3216947115</v>
      </c>
      <c r="G26" s="32" t="n">
        <f aca="false">SUMIFS(N$6:N$20,$E$6:$E$20,"Sub")</f>
        <v>0</v>
      </c>
      <c r="H26" s="41" t="n">
        <f aca="false">F26+G26</f>
        <v>28771.3216947115</v>
      </c>
      <c r="I26" s="87" t="n">
        <f aca="false">H26*Rates!$B$8</f>
        <v>3452.55860336539</v>
      </c>
      <c r="J26" s="88" t="n">
        <f aca="false">H26+I26</f>
        <v>32223.8802980769</v>
      </c>
    </row>
    <row r="27" customFormat="false" ht="15" hidden="false" customHeight="false" outlineLevel="0" collapsed="false">
      <c r="A27" s="51" t="n">
        <v>3</v>
      </c>
      <c r="B27" s="52" t="n">
        <f aca="false">EDATE(Dashboard!$C$5,A27-1)</f>
        <v>46082</v>
      </c>
      <c r="C27" s="25" t="n">
        <f aca="false">SUMIFS(R$6:R$20,$E$6:$E$20,"Prime")</f>
        <v>0</v>
      </c>
      <c r="D27" s="35" t="n">
        <f aca="false">C27*Rates!$B$6</f>
        <v>0</v>
      </c>
      <c r="E27" s="35" t="n">
        <f aca="false">(C27+D27)*Rates!$B$7</f>
        <v>0</v>
      </c>
      <c r="F27" s="25" t="n">
        <f aca="false">C27+D27+E27</f>
        <v>0</v>
      </c>
      <c r="G27" s="25" t="n">
        <f aca="false">SUMIFS(R$6:R$20,$E$6:$E$20,"Sub")</f>
        <v>0</v>
      </c>
      <c r="H27" s="41" t="n">
        <f aca="false">F27+G27</f>
        <v>0</v>
      </c>
      <c r="I27" s="87" t="n">
        <f aca="false">H27*Rates!$B$8</f>
        <v>0</v>
      </c>
      <c r="J27" s="88" t="n">
        <f aca="false">H27+I27</f>
        <v>0</v>
      </c>
    </row>
    <row r="28" customFormat="false" ht="15" hidden="false" customHeight="false" outlineLevel="0" collapsed="false">
      <c r="A28" s="54" t="n">
        <v>4</v>
      </c>
      <c r="B28" s="55" t="n">
        <f aca="false">EDATE(Dashboard!$C$5,A28-1)</f>
        <v>46113</v>
      </c>
      <c r="C28" s="32" t="n">
        <f aca="false">SUMIFS(V$6:V$20,$E$6:$E$20,"Prime")</f>
        <v>0</v>
      </c>
      <c r="D28" s="38" t="n">
        <f aca="false">C28*Rates!$B$6</f>
        <v>0</v>
      </c>
      <c r="E28" s="38" t="n">
        <f aca="false">(C28+D28)*Rates!$B$7</f>
        <v>0</v>
      </c>
      <c r="F28" s="32" t="n">
        <f aca="false">C28+D28+E28</f>
        <v>0</v>
      </c>
      <c r="G28" s="32" t="n">
        <f aca="false">SUMIFS(V$6:V$20,$E$6:$E$20,"Sub")</f>
        <v>0</v>
      </c>
      <c r="H28" s="41" t="n">
        <f aca="false">F28+G28</f>
        <v>0</v>
      </c>
      <c r="I28" s="87" t="n">
        <f aca="false">H28*Rates!$B$8</f>
        <v>0</v>
      </c>
      <c r="J28" s="88" t="n">
        <f aca="false">H28+I28</f>
        <v>0</v>
      </c>
    </row>
    <row r="29" customFormat="false" ht="15" hidden="false" customHeight="false" outlineLevel="0" collapsed="false">
      <c r="A29" s="51" t="n">
        <v>5</v>
      </c>
      <c r="B29" s="52" t="n">
        <f aca="false">EDATE(Dashboard!$C$5,A29-1)</f>
        <v>46143</v>
      </c>
      <c r="C29" s="25" t="n">
        <f aca="false">SUMIFS(Z$6:Z$20,$E$6:$E$20,"Prime")</f>
        <v>0</v>
      </c>
      <c r="D29" s="35" t="n">
        <f aca="false">C29*Rates!$B$6</f>
        <v>0</v>
      </c>
      <c r="E29" s="35" t="n">
        <f aca="false">(C29+D29)*Rates!$B$7</f>
        <v>0</v>
      </c>
      <c r="F29" s="25" t="n">
        <f aca="false">C29+D29+E29</f>
        <v>0</v>
      </c>
      <c r="G29" s="25" t="n">
        <f aca="false">SUMIFS(Z$6:Z$20,$E$6:$E$20,"Sub")</f>
        <v>0</v>
      </c>
      <c r="H29" s="41" t="n">
        <f aca="false">F29+G29</f>
        <v>0</v>
      </c>
      <c r="I29" s="87" t="n">
        <f aca="false">H29*Rates!$B$8</f>
        <v>0</v>
      </c>
      <c r="J29" s="88" t="n">
        <f aca="false">H29+I29</f>
        <v>0</v>
      </c>
    </row>
    <row r="30" customFormat="false" ht="15" hidden="false" customHeight="false" outlineLevel="0" collapsed="false">
      <c r="A30" s="54" t="n">
        <v>6</v>
      </c>
      <c r="B30" s="55" t="n">
        <f aca="false">EDATE(Dashboard!$C$5,A30-1)</f>
        <v>46174</v>
      </c>
      <c r="C30" s="32" t="n">
        <f aca="false">SUMIFS(AD$6:AD$20,$E$6:$E$20,"Prime")</f>
        <v>0</v>
      </c>
      <c r="D30" s="38" t="n">
        <f aca="false">C30*Rates!$B$6</f>
        <v>0</v>
      </c>
      <c r="E30" s="38" t="n">
        <f aca="false">(C30+D30)*Rates!$B$7</f>
        <v>0</v>
      </c>
      <c r="F30" s="32" t="n">
        <f aca="false">C30+D30+E30</f>
        <v>0</v>
      </c>
      <c r="G30" s="32" t="n">
        <f aca="false">SUMIFS(AD$6:AD$20,$E$6:$E$20,"Sub")</f>
        <v>0</v>
      </c>
      <c r="H30" s="41" t="n">
        <f aca="false">F30+G30</f>
        <v>0</v>
      </c>
      <c r="I30" s="87" t="n">
        <f aca="false">H30*Rates!$B$8</f>
        <v>0</v>
      </c>
      <c r="J30" s="88" t="n">
        <f aca="false">H30+I30</f>
        <v>0</v>
      </c>
    </row>
    <row r="31" customFormat="false" ht="15" hidden="false" customHeight="false" outlineLevel="0" collapsed="false">
      <c r="A31" s="51" t="n">
        <v>7</v>
      </c>
      <c r="B31" s="52" t="n">
        <f aca="false">EDATE(Dashboard!$C$5,A31-1)</f>
        <v>46204</v>
      </c>
      <c r="C31" s="25" t="n">
        <f aca="false">SUMIFS(AH$6:AH$20,$E$6:$E$20,"Prime")</f>
        <v>4326.92307692308</v>
      </c>
      <c r="D31" s="35" t="n">
        <f aca="false">C31*Rates!$B$6</f>
        <v>1514.42307692308</v>
      </c>
      <c r="E31" s="35" t="n">
        <f aca="false">(C31+D31)*Rates!$B$7</f>
        <v>3212.74038461539</v>
      </c>
      <c r="F31" s="25" t="n">
        <f aca="false">C31+D31+E31</f>
        <v>9054.08653846154</v>
      </c>
      <c r="G31" s="25" t="n">
        <f aca="false">SUMIFS(AH$6:AH$20,$E$6:$E$20,"Sub")</f>
        <v>0</v>
      </c>
      <c r="H31" s="41" t="n">
        <f aca="false">F31+G31</f>
        <v>9054.08653846154</v>
      </c>
      <c r="I31" s="87" t="n">
        <f aca="false">H31*Rates!$B$8</f>
        <v>1086.49038461538</v>
      </c>
      <c r="J31" s="88" t="n">
        <f aca="false">H31+I31</f>
        <v>10140.5769230769</v>
      </c>
    </row>
    <row r="32" customFormat="false" ht="15" hidden="false" customHeight="false" outlineLevel="0" collapsed="false">
      <c r="A32" s="54" t="n">
        <v>8</v>
      </c>
      <c r="B32" s="55" t="n">
        <f aca="false">EDATE(Dashboard!$C$5,A32-1)</f>
        <v>46235</v>
      </c>
      <c r="C32" s="32" t="n">
        <f aca="false">SUMIFS(AL$6:AL$20,$E$6:$E$20,"Prime")</f>
        <v>12499.7596153846</v>
      </c>
      <c r="D32" s="38" t="n">
        <f aca="false">C32*Rates!$B$6</f>
        <v>4374.91586538462</v>
      </c>
      <c r="E32" s="38" t="n">
        <f aca="false">(C32+D32)*Rates!$B$7</f>
        <v>9281.07151442308</v>
      </c>
      <c r="F32" s="32" t="n">
        <f aca="false">C32+D32+E32</f>
        <v>26155.7469951923</v>
      </c>
      <c r="G32" s="32" t="n">
        <f aca="false">SUMIFS(AL$6:AL$20,$E$6:$E$20,"Sub")</f>
        <v>0</v>
      </c>
      <c r="H32" s="41" t="n">
        <f aca="false">F32+G32</f>
        <v>26155.7469951923</v>
      </c>
      <c r="I32" s="87" t="n">
        <f aca="false">H32*Rates!$B$8</f>
        <v>3138.68963942308</v>
      </c>
      <c r="J32" s="88" t="n">
        <f aca="false">H32+I32</f>
        <v>29294.4366346154</v>
      </c>
    </row>
    <row r="33" customFormat="false" ht="15" hidden="false" customHeight="false" outlineLevel="0" collapsed="false">
      <c r="A33" s="51" t="n">
        <v>9</v>
      </c>
      <c r="B33" s="52" t="n">
        <f aca="false">EDATE(Dashboard!$C$5,A33-1)</f>
        <v>46266</v>
      </c>
      <c r="C33" s="25" t="n">
        <f aca="false">SUMIFS(AP$6:AP$20,$E$6:$E$20,"Prime")</f>
        <v>0</v>
      </c>
      <c r="D33" s="35" t="n">
        <f aca="false">C33*Rates!$B$6</f>
        <v>0</v>
      </c>
      <c r="E33" s="35" t="n">
        <f aca="false">(C33+D33)*Rates!$B$7</f>
        <v>0</v>
      </c>
      <c r="F33" s="25" t="n">
        <f aca="false">C33+D33+E33</f>
        <v>0</v>
      </c>
      <c r="G33" s="25" t="n">
        <f aca="false">SUMIFS(AP$6:AP$20,$E$6:$E$20,"Sub")</f>
        <v>0</v>
      </c>
      <c r="H33" s="41" t="n">
        <f aca="false">F33+G33</f>
        <v>0</v>
      </c>
      <c r="I33" s="87" t="n">
        <f aca="false">H33*Rates!$B$8</f>
        <v>0</v>
      </c>
      <c r="J33" s="88" t="n">
        <f aca="false">H33+I33</f>
        <v>0</v>
      </c>
    </row>
    <row r="34" customFormat="false" ht="15" hidden="false" customHeight="false" outlineLevel="0" collapsed="false">
      <c r="A34" s="54" t="n">
        <v>10</v>
      </c>
      <c r="B34" s="55" t="n">
        <f aca="false">EDATE(Dashboard!$C$5,A34-1)</f>
        <v>46296</v>
      </c>
      <c r="C34" s="32" t="n">
        <f aca="false">SUMIFS(AT$6:AT$20,$E$6:$E$20,"Prime")</f>
        <v>0</v>
      </c>
      <c r="D34" s="38" t="n">
        <f aca="false">C34*Rates!$B$6</f>
        <v>0</v>
      </c>
      <c r="E34" s="38" t="n">
        <f aca="false">(C34+D34)*Rates!$B$7</f>
        <v>0</v>
      </c>
      <c r="F34" s="32" t="n">
        <f aca="false">C34+D34+E34</f>
        <v>0</v>
      </c>
      <c r="G34" s="32" t="n">
        <f aca="false">SUMIFS(AT$6:AT$20,$E$6:$E$20,"Sub")</f>
        <v>0</v>
      </c>
      <c r="H34" s="41" t="n">
        <f aca="false">F34+G34</f>
        <v>0</v>
      </c>
      <c r="I34" s="87" t="n">
        <f aca="false">H34*Rates!$B$8</f>
        <v>0</v>
      </c>
      <c r="J34" s="88" t="n">
        <f aca="false">H34+I34</f>
        <v>0</v>
      </c>
    </row>
    <row r="35" customFormat="false" ht="15" hidden="false" customHeight="false" outlineLevel="0" collapsed="false">
      <c r="A35" s="51" t="n">
        <v>11</v>
      </c>
      <c r="B35" s="52" t="n">
        <f aca="false">EDATE(Dashboard!$C$5,A35-1)</f>
        <v>46327</v>
      </c>
      <c r="C35" s="25" t="n">
        <f aca="false">SUMIFS(AX$6:AX$20,$E$6:$E$20,"Prime")</f>
        <v>0</v>
      </c>
      <c r="D35" s="35" t="n">
        <f aca="false">C35*Rates!$B$6</f>
        <v>0</v>
      </c>
      <c r="E35" s="35" t="n">
        <f aca="false">(C35+D35)*Rates!$B$7</f>
        <v>0</v>
      </c>
      <c r="F35" s="25" t="n">
        <f aca="false">C35+D35+E35</f>
        <v>0</v>
      </c>
      <c r="G35" s="25" t="n">
        <f aca="false">SUMIFS(AX$6:AX$20,$E$6:$E$20,"Sub")</f>
        <v>0</v>
      </c>
      <c r="H35" s="41" t="n">
        <f aca="false">F35+G35</f>
        <v>0</v>
      </c>
      <c r="I35" s="87" t="n">
        <f aca="false">H35*Rates!$B$8</f>
        <v>0</v>
      </c>
      <c r="J35" s="88" t="n">
        <f aca="false">H35+I35</f>
        <v>0</v>
      </c>
    </row>
    <row r="36" customFormat="false" ht="15" hidden="false" customHeight="false" outlineLevel="0" collapsed="false">
      <c r="A36" s="54" t="n">
        <v>12</v>
      </c>
      <c r="B36" s="55" t="n">
        <f aca="false">EDATE(Dashboard!$C$5,A36-1)</f>
        <v>46357</v>
      </c>
      <c r="C36" s="32" t="n">
        <f aca="false">SUMIFS(BB$6:BB$20,$E$6:$E$20,"Prime")</f>
        <v>0</v>
      </c>
      <c r="D36" s="38" t="n">
        <f aca="false">C36*Rates!$B$6</f>
        <v>0</v>
      </c>
      <c r="E36" s="38" t="n">
        <f aca="false">(C36+D36)*Rates!$B$7</f>
        <v>0</v>
      </c>
      <c r="F36" s="32" t="n">
        <f aca="false">C36+D36+E36</f>
        <v>0</v>
      </c>
      <c r="G36" s="32" t="n">
        <f aca="false">SUMIFS(BB$6:BB$20,$E$6:$E$20,"Sub")</f>
        <v>0</v>
      </c>
      <c r="H36" s="41" t="n">
        <f aca="false">F36+G36</f>
        <v>0</v>
      </c>
      <c r="I36" s="87" t="n">
        <f aca="false">H36*Rates!$B$8</f>
        <v>0</v>
      </c>
      <c r="J36" s="88" t="n">
        <f aca="false">H36+I36</f>
        <v>0</v>
      </c>
    </row>
    <row r="38" customFormat="false" ht="15" hidden="false" customHeight="false" outlineLevel="0" collapsed="false">
      <c r="A38" s="2" t="s">
        <v>207</v>
      </c>
    </row>
    <row r="40" customFormat="false" ht="15" hidden="false" customHeight="false" outlineLevel="0" collapsed="false">
      <c r="A40" s="2" t="s">
        <v>111</v>
      </c>
    </row>
  </sheetData>
  <mergeCells count="22">
    <mergeCell ref="A4:A5"/>
    <mergeCell ref="B4:B5"/>
    <mergeCell ref="C4:C5"/>
    <mergeCell ref="D4:D5"/>
    <mergeCell ref="E4:E5"/>
    <mergeCell ref="F4:F5"/>
    <mergeCell ref="G4:J4"/>
    <mergeCell ref="K4:N4"/>
    <mergeCell ref="O4:R4"/>
    <mergeCell ref="S4:V4"/>
    <mergeCell ref="W4:Z4"/>
    <mergeCell ref="AA4:AD4"/>
    <mergeCell ref="AE4:AH4"/>
    <mergeCell ref="AI4:AL4"/>
    <mergeCell ref="AM4:AP4"/>
    <mergeCell ref="AQ4:AT4"/>
    <mergeCell ref="AU4:AX4"/>
    <mergeCell ref="AY4:BB4"/>
    <mergeCell ref="BC4:BC5"/>
    <mergeCell ref="BD4:BD5"/>
    <mergeCell ref="BE4:BE5"/>
    <mergeCell ref="BF4:BF5"/>
  </mergeCells>
  <conditionalFormatting sqref="I6:I20">
    <cfRule type="expression" priority="2" aboveAverage="0" equalAverage="0" bottom="0" percent="0" rank="0" text="" dxfId="3">
      <formula>OR($F6="Exempt",$E6="Sub")</formula>
    </cfRule>
  </conditionalFormatting>
  <conditionalFormatting sqref="M6:M20">
    <cfRule type="expression" priority="3" aboveAverage="0" equalAverage="0" bottom="0" percent="0" rank="0" text="" dxfId="3">
      <formula>OR($F6="Exempt",$E6="Sub")</formula>
    </cfRule>
  </conditionalFormatting>
  <conditionalFormatting sqref="Q6:Q20">
    <cfRule type="expression" priority="4" aboveAverage="0" equalAverage="0" bottom="0" percent="0" rank="0" text="" dxfId="3">
      <formula>OR($F6="Exempt",$E6="Sub")</formula>
    </cfRule>
  </conditionalFormatting>
  <conditionalFormatting sqref="U6:U20">
    <cfRule type="expression" priority="5" aboveAverage="0" equalAverage="0" bottom="0" percent="0" rank="0" text="" dxfId="3">
      <formula>OR($F6="Exempt",$E6="Sub")</formula>
    </cfRule>
  </conditionalFormatting>
  <conditionalFormatting sqref="Y6:Y20">
    <cfRule type="expression" priority="6" aboveAverage="0" equalAverage="0" bottom="0" percent="0" rank="0" text="" dxfId="3">
      <formula>OR($F6="Exempt",$E6="Sub")</formula>
    </cfRule>
  </conditionalFormatting>
  <conditionalFormatting sqref="AC6:AC20">
    <cfRule type="expression" priority="7" aboveAverage="0" equalAverage="0" bottom="0" percent="0" rank="0" text="" dxfId="3">
      <formula>OR($F6="Exempt",$E6="Sub")</formula>
    </cfRule>
  </conditionalFormatting>
  <conditionalFormatting sqref="AG6:AG20">
    <cfRule type="expression" priority="8" aboveAverage="0" equalAverage="0" bottom="0" percent="0" rank="0" text="" dxfId="3">
      <formula>OR($F6="Exempt",$E6="Sub")</formula>
    </cfRule>
  </conditionalFormatting>
  <conditionalFormatting sqref="AK6:AK20">
    <cfRule type="expression" priority="9" aboveAverage="0" equalAverage="0" bottom="0" percent="0" rank="0" text="" dxfId="3">
      <formula>OR($F6="Exempt",$E6="Sub")</formula>
    </cfRule>
  </conditionalFormatting>
  <conditionalFormatting sqref="AO6:AO20">
    <cfRule type="expression" priority="10" aboveAverage="0" equalAverage="0" bottom="0" percent="0" rank="0" text="" dxfId="3">
      <formula>OR($F6="Exempt",$E6="Sub")</formula>
    </cfRule>
  </conditionalFormatting>
  <conditionalFormatting sqref="AS6:AS20">
    <cfRule type="expression" priority="11" aboveAverage="0" equalAverage="0" bottom="0" percent="0" rank="0" text="" dxfId="3">
      <formula>OR($F6="Exempt",$E6="Sub")</formula>
    </cfRule>
  </conditionalFormatting>
  <conditionalFormatting sqref="AW6:AW20">
    <cfRule type="expression" priority="12" aboveAverage="0" equalAverage="0" bottom="0" percent="0" rank="0" text="" dxfId="3">
      <formula>OR($F6="Exempt",$E6="Sub")</formula>
    </cfRule>
  </conditionalFormatting>
  <conditionalFormatting sqref="BA6:BA20">
    <cfRule type="expression" priority="13" aboveAverage="0" equalAverage="0" bottom="0" percent="0" rank="0" text="" dxfId="3">
      <formula>OR($F6="Exempt",$E6="Sub")</formula>
    </cfRule>
  </conditionalFormatting>
  <conditionalFormatting sqref="E6:E20">
    <cfRule type="expression" priority="14" aboveAverage="0" equalAverage="0" bottom="0" percent="0" rank="0" text="" dxfId="4">
      <formula>$E6="Sub"</formula>
    </cfRule>
    <cfRule type="expression" priority="15" aboveAverage="0" equalAverage="0" bottom="0" percent="0" rank="0" text="" dxfId="5">
      <formula>$E6="Prime"</formula>
    </cfRule>
  </conditionalFormatting>
  <conditionalFormatting sqref="A6:F20">
    <cfRule type="expression" priority="16" aboveAverage="0" equalAverage="0" bottom="0" percent="0" rank="0" text="" dxfId="6">
      <formula>$E6="Sub"</formula>
    </cfRule>
  </conditionalFormatting>
  <conditionalFormatting sqref="F6:F20">
    <cfRule type="expression" priority="17" aboveAverage="0" equalAverage="0" bottom="0" percent="0" rank="0" text="" dxfId="5">
      <formula>$F6="Exempt"</formula>
    </cfRule>
    <cfRule type="expression" priority="18" aboveAverage="0" equalAverage="0" bottom="0" percent="0" rank="0" text="" dxfId="4">
      <formula>$F6="Non-Exempt"</formula>
    </cfRule>
  </conditionalFormatting>
  <dataValidations count="1">
    <dataValidation allowBlank="true" errorStyle="stop" operator="between" showDropDown="false" showErrorMessage="false" showInputMessage="false" sqref="E6:E20" type="list">
      <formula1>"Prime,Sub"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208</v>
      </c>
      <c r="E1" s="6" t="s">
        <v>62</v>
      </c>
    </row>
    <row r="3" customFormat="false" ht="15" hidden="false" customHeight="false" outlineLevel="0" collapsed="false">
      <c r="A3" s="34" t="s">
        <v>209</v>
      </c>
    </row>
    <row r="4" customFormat="false" ht="15" hidden="false" customHeight="false" outlineLevel="0" collapsed="false">
      <c r="A4" s="89" t="s">
        <v>86</v>
      </c>
      <c r="B4" s="89" t="s">
        <v>210</v>
      </c>
      <c r="C4" s="89" t="s">
        <v>87</v>
      </c>
      <c r="D4" s="89" t="s">
        <v>130</v>
      </c>
      <c r="E4" s="89" t="s">
        <v>211</v>
      </c>
    </row>
    <row r="5" customFormat="false" ht="15" hidden="false" customHeight="false" outlineLevel="0" collapsed="false">
      <c r="A5" s="21" t="n">
        <v>46036</v>
      </c>
      <c r="B5" s="20" t="s">
        <v>212</v>
      </c>
      <c r="C5" s="20" t="s">
        <v>213</v>
      </c>
      <c r="D5" s="20" t="n">
        <v>1</v>
      </c>
      <c r="E5" s="23" t="n">
        <v>14200</v>
      </c>
    </row>
    <row r="6" customFormat="false" ht="15" hidden="false" customHeight="false" outlineLevel="0" collapsed="false">
      <c r="A6" s="28" t="n">
        <v>46056</v>
      </c>
      <c r="B6" s="27" t="s">
        <v>214</v>
      </c>
      <c r="C6" s="27" t="s">
        <v>215</v>
      </c>
      <c r="D6" s="27" t="n">
        <v>2</v>
      </c>
      <c r="E6" s="30" t="n">
        <v>3100</v>
      </c>
    </row>
    <row r="7" customFormat="false" ht="15" hidden="false" customHeight="false" outlineLevel="0" collapsed="false">
      <c r="A7" s="21" t="n">
        <v>46132</v>
      </c>
      <c r="B7" s="20" t="s">
        <v>212</v>
      </c>
      <c r="C7" s="20" t="s">
        <v>216</v>
      </c>
      <c r="D7" s="20" t="n">
        <v>4</v>
      </c>
      <c r="E7" s="23" t="n">
        <v>8600</v>
      </c>
    </row>
    <row r="8" customFormat="false" ht="15" hidden="false" customHeight="false" outlineLevel="0" collapsed="false">
      <c r="A8" s="28"/>
      <c r="B8" s="27"/>
      <c r="C8" s="27"/>
      <c r="D8" s="27"/>
      <c r="E8" s="30"/>
    </row>
    <row r="9" customFormat="false" ht="15" hidden="false" customHeight="false" outlineLevel="0" collapsed="false">
      <c r="A9" s="21"/>
      <c r="B9" s="20"/>
      <c r="C9" s="20"/>
      <c r="D9" s="20"/>
      <c r="E9" s="23"/>
    </row>
    <row r="10" customFormat="false" ht="15" hidden="false" customHeight="false" outlineLevel="0" collapsed="false">
      <c r="A10" s="28"/>
      <c r="B10" s="27"/>
      <c r="C10" s="27"/>
      <c r="D10" s="27"/>
      <c r="E10" s="30"/>
    </row>
    <row r="11" customFormat="false" ht="15" hidden="false" customHeight="false" outlineLevel="0" collapsed="false">
      <c r="A11" s="21"/>
      <c r="B11" s="20"/>
      <c r="C11" s="20"/>
      <c r="D11" s="20"/>
      <c r="E11" s="23"/>
    </row>
    <row r="12" customFormat="false" ht="15" hidden="false" customHeight="false" outlineLevel="0" collapsed="false">
      <c r="A12" s="28"/>
      <c r="B12" s="27"/>
      <c r="C12" s="27"/>
      <c r="D12" s="27"/>
      <c r="E12" s="30"/>
    </row>
    <row r="13" customFormat="false" ht="15" hidden="false" customHeight="false" outlineLevel="0" collapsed="false">
      <c r="A13" s="21"/>
      <c r="B13" s="20"/>
      <c r="C13" s="20"/>
      <c r="D13" s="20"/>
      <c r="E13" s="23"/>
    </row>
    <row r="14" customFormat="false" ht="15" hidden="false" customHeight="false" outlineLevel="0" collapsed="false">
      <c r="A14" s="28"/>
      <c r="B14" s="27"/>
      <c r="C14" s="27"/>
      <c r="D14" s="27"/>
      <c r="E14" s="30"/>
    </row>
    <row r="15" customFormat="false" ht="15" hidden="false" customHeight="false" outlineLevel="0" collapsed="false">
      <c r="A15" s="21"/>
      <c r="B15" s="20"/>
      <c r="C15" s="20"/>
      <c r="D15" s="20"/>
      <c r="E15" s="23"/>
    </row>
    <row r="16" customFormat="false" ht="15" hidden="false" customHeight="false" outlineLevel="0" collapsed="false">
      <c r="A16" s="28"/>
      <c r="B16" s="27"/>
      <c r="C16" s="27"/>
      <c r="D16" s="27"/>
      <c r="E16" s="30"/>
    </row>
    <row r="17" customFormat="false" ht="15" hidden="false" customHeight="false" outlineLevel="0" collapsed="false">
      <c r="A17" s="21"/>
      <c r="B17" s="20"/>
      <c r="C17" s="20"/>
      <c r="D17" s="20"/>
      <c r="E17" s="23"/>
    </row>
    <row r="18" customFormat="false" ht="15" hidden="false" customHeight="false" outlineLevel="0" collapsed="false">
      <c r="A18" s="28"/>
      <c r="B18" s="27"/>
      <c r="C18" s="27"/>
      <c r="D18" s="27"/>
      <c r="E18" s="30"/>
    </row>
    <row r="19" customFormat="false" ht="15" hidden="false" customHeight="false" outlineLevel="0" collapsed="false">
      <c r="A19" s="21"/>
      <c r="B19" s="20"/>
      <c r="C19" s="20"/>
      <c r="D19" s="20"/>
      <c r="E19" s="23"/>
    </row>
    <row r="20" customFormat="false" ht="15" hidden="false" customHeight="false" outlineLevel="0" collapsed="false">
      <c r="A20" s="28"/>
      <c r="B20" s="27"/>
      <c r="C20" s="27"/>
      <c r="D20" s="27"/>
      <c r="E20" s="30"/>
    </row>
    <row r="21" customFormat="false" ht="15" hidden="false" customHeight="false" outlineLevel="0" collapsed="false">
      <c r="A21" s="21"/>
      <c r="B21" s="20"/>
      <c r="C21" s="20"/>
      <c r="D21" s="20"/>
      <c r="E21" s="23"/>
    </row>
    <row r="22" customFormat="false" ht="15" hidden="false" customHeight="false" outlineLevel="0" collapsed="false">
      <c r="A22" s="28"/>
      <c r="B22" s="27"/>
      <c r="C22" s="27"/>
      <c r="D22" s="27"/>
      <c r="E22" s="30"/>
    </row>
    <row r="23" customFormat="false" ht="15" hidden="false" customHeight="false" outlineLevel="0" collapsed="false">
      <c r="A23" s="90"/>
      <c r="B23" s="91" t="s">
        <v>217</v>
      </c>
      <c r="C23" s="90"/>
      <c r="D23" s="90"/>
      <c r="E23" s="92" t="n">
        <f aca="false">SUM(E5:E22)</f>
        <v>25900</v>
      </c>
    </row>
    <row r="25" customFormat="false" ht="15" hidden="false" customHeight="false" outlineLevel="0" collapsed="false">
      <c r="A25" s="34" t="s">
        <v>218</v>
      </c>
    </row>
    <row r="26" customFormat="false" ht="15" hidden="false" customHeight="false" outlineLevel="0" collapsed="false">
      <c r="A26" s="89" t="s">
        <v>130</v>
      </c>
      <c r="B26" s="89" t="s">
        <v>131</v>
      </c>
      <c r="C26" s="89" t="s">
        <v>219</v>
      </c>
    </row>
    <row r="27" customFormat="false" ht="15" hidden="false" customHeight="false" outlineLevel="0" collapsed="false">
      <c r="A27" s="51" t="n">
        <v>1</v>
      </c>
      <c r="B27" s="52" t="n">
        <f aca="false">EDATE(Dashboard!$C$5,A27-1)</f>
        <v>46023</v>
      </c>
      <c r="C27" s="25" t="n">
        <f aca="false">SUMIFS($E$5:$E$22,$D$5:$D$22,A27)</f>
        <v>14200</v>
      </c>
    </row>
    <row r="28" customFormat="false" ht="15" hidden="false" customHeight="false" outlineLevel="0" collapsed="false">
      <c r="A28" s="54" t="n">
        <v>2</v>
      </c>
      <c r="B28" s="55" t="n">
        <f aca="false">EDATE(Dashboard!$C$5,A28-1)</f>
        <v>46054</v>
      </c>
      <c r="C28" s="32" t="n">
        <f aca="false">SUMIFS($E$5:$E$22,$D$5:$D$22,A28)</f>
        <v>3100</v>
      </c>
    </row>
    <row r="29" customFormat="false" ht="15" hidden="false" customHeight="false" outlineLevel="0" collapsed="false">
      <c r="A29" s="51" t="n">
        <v>3</v>
      </c>
      <c r="B29" s="52" t="n">
        <f aca="false">EDATE(Dashboard!$C$5,A29-1)</f>
        <v>46082</v>
      </c>
      <c r="C29" s="25" t="n">
        <f aca="false">SUMIFS($E$5:$E$22,$D$5:$D$22,A29)</f>
        <v>0</v>
      </c>
    </row>
    <row r="30" customFormat="false" ht="15" hidden="false" customHeight="false" outlineLevel="0" collapsed="false">
      <c r="A30" s="54" t="n">
        <v>4</v>
      </c>
      <c r="B30" s="55" t="n">
        <f aca="false">EDATE(Dashboard!$C$5,A30-1)</f>
        <v>46113</v>
      </c>
      <c r="C30" s="32" t="n">
        <f aca="false">SUMIFS($E$5:$E$22,$D$5:$D$22,A30)</f>
        <v>8600</v>
      </c>
    </row>
    <row r="31" customFormat="false" ht="15" hidden="false" customHeight="false" outlineLevel="0" collapsed="false">
      <c r="A31" s="51" t="n">
        <v>5</v>
      </c>
      <c r="B31" s="52" t="n">
        <f aca="false">EDATE(Dashboard!$C$5,A31-1)</f>
        <v>46143</v>
      </c>
      <c r="C31" s="25" t="n">
        <f aca="false">SUMIFS($E$5:$E$22,$D$5:$D$22,A31)</f>
        <v>0</v>
      </c>
    </row>
    <row r="32" customFormat="false" ht="15" hidden="false" customHeight="false" outlineLevel="0" collapsed="false">
      <c r="A32" s="54" t="n">
        <v>6</v>
      </c>
      <c r="B32" s="55" t="n">
        <f aca="false">EDATE(Dashboard!$C$5,A32-1)</f>
        <v>46174</v>
      </c>
      <c r="C32" s="32" t="n">
        <f aca="false">SUMIFS($E$5:$E$22,$D$5:$D$22,A32)</f>
        <v>0</v>
      </c>
    </row>
    <row r="33" customFormat="false" ht="15" hidden="false" customHeight="false" outlineLevel="0" collapsed="false">
      <c r="A33" s="51" t="n">
        <v>7</v>
      </c>
      <c r="B33" s="52" t="n">
        <f aca="false">EDATE(Dashboard!$C$5,A33-1)</f>
        <v>46204</v>
      </c>
      <c r="C33" s="25" t="n">
        <f aca="false">SUMIFS($E$5:$E$22,$D$5:$D$22,A33)</f>
        <v>0</v>
      </c>
    </row>
    <row r="34" customFormat="false" ht="15" hidden="false" customHeight="false" outlineLevel="0" collapsed="false">
      <c r="A34" s="54" t="n">
        <v>8</v>
      </c>
      <c r="B34" s="55" t="n">
        <f aca="false">EDATE(Dashboard!$C$5,A34-1)</f>
        <v>46235</v>
      </c>
      <c r="C34" s="32" t="n">
        <f aca="false">SUMIFS($E$5:$E$22,$D$5:$D$22,A34)</f>
        <v>0</v>
      </c>
    </row>
    <row r="35" customFormat="false" ht="15" hidden="false" customHeight="false" outlineLevel="0" collapsed="false">
      <c r="A35" s="51" t="n">
        <v>9</v>
      </c>
      <c r="B35" s="52" t="n">
        <f aca="false">EDATE(Dashboard!$C$5,A35-1)</f>
        <v>46266</v>
      </c>
      <c r="C35" s="25" t="n">
        <f aca="false">SUMIFS($E$5:$E$22,$D$5:$D$22,A35)</f>
        <v>0</v>
      </c>
    </row>
    <row r="36" customFormat="false" ht="15" hidden="false" customHeight="false" outlineLevel="0" collapsed="false">
      <c r="A36" s="54" t="n">
        <v>10</v>
      </c>
      <c r="B36" s="55" t="n">
        <f aca="false">EDATE(Dashboard!$C$5,A36-1)</f>
        <v>46296</v>
      </c>
      <c r="C36" s="32" t="n">
        <f aca="false">SUMIFS($E$5:$E$22,$D$5:$D$22,A36)</f>
        <v>0</v>
      </c>
    </row>
    <row r="37" customFormat="false" ht="15" hidden="false" customHeight="false" outlineLevel="0" collapsed="false">
      <c r="A37" s="51" t="n">
        <v>11</v>
      </c>
      <c r="B37" s="52" t="n">
        <f aca="false">EDATE(Dashboard!$C$5,A37-1)</f>
        <v>46327</v>
      </c>
      <c r="C37" s="25" t="n">
        <f aca="false">SUMIFS($E$5:$E$22,$D$5:$D$22,A37)</f>
        <v>0</v>
      </c>
    </row>
    <row r="38" customFormat="false" ht="15" hidden="false" customHeight="false" outlineLevel="0" collapsed="false">
      <c r="A38" s="54" t="n">
        <v>12</v>
      </c>
      <c r="B38" s="55" t="n">
        <f aca="false">EDATE(Dashboard!$C$5,A38-1)</f>
        <v>46357</v>
      </c>
      <c r="C38" s="32" t="n">
        <f aca="false">SUMIFS($E$5:$E$22,$D$5:$D$22,A38)</f>
        <v>0</v>
      </c>
    </row>
    <row r="40" customFormat="false" ht="15" hidden="false" customHeight="false" outlineLevel="0" collapsed="false">
      <c r="A40" s="2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108</v>
      </c>
      <c r="E1" s="6" t="s">
        <v>62</v>
      </c>
    </row>
    <row r="3" customFormat="false" ht="15" hidden="false" customHeight="false" outlineLevel="0" collapsed="false">
      <c r="A3" s="34" t="s">
        <v>209</v>
      </c>
    </row>
    <row r="4" customFormat="false" ht="15" hidden="false" customHeight="false" outlineLevel="0" collapsed="false">
      <c r="A4" s="89" t="s">
        <v>86</v>
      </c>
      <c r="B4" s="89" t="s">
        <v>210</v>
      </c>
      <c r="C4" s="89" t="s">
        <v>87</v>
      </c>
      <c r="D4" s="89" t="s">
        <v>130</v>
      </c>
      <c r="E4" s="89" t="s">
        <v>211</v>
      </c>
    </row>
    <row r="5" customFormat="false" ht="15" hidden="false" customHeight="false" outlineLevel="0" collapsed="false">
      <c r="A5" s="21" t="n">
        <v>46042</v>
      </c>
      <c r="B5" s="20" t="s">
        <v>220</v>
      </c>
      <c r="C5" s="20" t="s">
        <v>221</v>
      </c>
      <c r="D5" s="20" t="n">
        <v>1</v>
      </c>
      <c r="E5" s="23" t="n">
        <v>480</v>
      </c>
    </row>
    <row r="6" customFormat="false" ht="15" hidden="false" customHeight="false" outlineLevel="0" collapsed="false">
      <c r="A6" s="28" t="n">
        <v>46042</v>
      </c>
      <c r="B6" s="27" t="s">
        <v>222</v>
      </c>
      <c r="C6" s="27" t="s">
        <v>223</v>
      </c>
      <c r="D6" s="27" t="n">
        <v>1</v>
      </c>
      <c r="E6" s="30" t="n">
        <v>610</v>
      </c>
    </row>
    <row r="7" customFormat="false" ht="15" hidden="false" customHeight="false" outlineLevel="0" collapsed="false">
      <c r="A7" s="21" t="n">
        <v>46091</v>
      </c>
      <c r="B7" s="20" t="s">
        <v>224</v>
      </c>
      <c r="C7" s="20" t="s">
        <v>225</v>
      </c>
      <c r="D7" s="20" t="n">
        <v>3</v>
      </c>
      <c r="E7" s="23" t="n">
        <v>1150</v>
      </c>
    </row>
    <row r="8" customFormat="false" ht="15" hidden="false" customHeight="false" outlineLevel="0" collapsed="false">
      <c r="A8" s="28"/>
      <c r="B8" s="27"/>
      <c r="C8" s="27"/>
      <c r="D8" s="27"/>
      <c r="E8" s="30"/>
    </row>
    <row r="9" customFormat="false" ht="15" hidden="false" customHeight="false" outlineLevel="0" collapsed="false">
      <c r="A9" s="21"/>
      <c r="B9" s="20"/>
      <c r="C9" s="20"/>
      <c r="D9" s="20"/>
      <c r="E9" s="23"/>
    </row>
    <row r="10" customFormat="false" ht="15" hidden="false" customHeight="false" outlineLevel="0" collapsed="false">
      <c r="A10" s="28"/>
      <c r="B10" s="27"/>
      <c r="C10" s="27"/>
      <c r="D10" s="27"/>
      <c r="E10" s="30"/>
    </row>
    <row r="11" customFormat="false" ht="15" hidden="false" customHeight="false" outlineLevel="0" collapsed="false">
      <c r="A11" s="21"/>
      <c r="B11" s="20"/>
      <c r="C11" s="20"/>
      <c r="D11" s="20"/>
      <c r="E11" s="23"/>
    </row>
    <row r="12" customFormat="false" ht="15" hidden="false" customHeight="false" outlineLevel="0" collapsed="false">
      <c r="A12" s="28"/>
      <c r="B12" s="27"/>
      <c r="C12" s="27"/>
      <c r="D12" s="27"/>
      <c r="E12" s="30"/>
    </row>
    <row r="13" customFormat="false" ht="15" hidden="false" customHeight="false" outlineLevel="0" collapsed="false">
      <c r="A13" s="21"/>
      <c r="B13" s="20"/>
      <c r="C13" s="20"/>
      <c r="D13" s="20"/>
      <c r="E13" s="23"/>
    </row>
    <row r="14" customFormat="false" ht="15" hidden="false" customHeight="false" outlineLevel="0" collapsed="false">
      <c r="A14" s="28"/>
      <c r="B14" s="27"/>
      <c r="C14" s="27"/>
      <c r="D14" s="27"/>
      <c r="E14" s="30"/>
    </row>
    <row r="15" customFormat="false" ht="15" hidden="false" customHeight="false" outlineLevel="0" collapsed="false">
      <c r="A15" s="21"/>
      <c r="B15" s="20"/>
      <c r="C15" s="20"/>
      <c r="D15" s="20"/>
      <c r="E15" s="23"/>
    </row>
    <row r="16" customFormat="false" ht="15" hidden="false" customHeight="false" outlineLevel="0" collapsed="false">
      <c r="A16" s="28"/>
      <c r="B16" s="27"/>
      <c r="C16" s="27"/>
      <c r="D16" s="27"/>
      <c r="E16" s="30"/>
    </row>
    <row r="17" customFormat="false" ht="15" hidden="false" customHeight="false" outlineLevel="0" collapsed="false">
      <c r="A17" s="21"/>
      <c r="B17" s="20"/>
      <c r="C17" s="20"/>
      <c r="D17" s="20"/>
      <c r="E17" s="23"/>
    </row>
    <row r="18" customFormat="false" ht="15" hidden="false" customHeight="false" outlineLevel="0" collapsed="false">
      <c r="A18" s="28"/>
      <c r="B18" s="27"/>
      <c r="C18" s="27"/>
      <c r="D18" s="27"/>
      <c r="E18" s="30"/>
    </row>
    <row r="19" customFormat="false" ht="15" hidden="false" customHeight="false" outlineLevel="0" collapsed="false">
      <c r="A19" s="21"/>
      <c r="B19" s="20"/>
      <c r="C19" s="20"/>
      <c r="D19" s="20"/>
      <c r="E19" s="23"/>
    </row>
    <row r="20" customFormat="false" ht="15" hidden="false" customHeight="false" outlineLevel="0" collapsed="false">
      <c r="A20" s="28"/>
      <c r="B20" s="27"/>
      <c r="C20" s="27"/>
      <c r="D20" s="27"/>
      <c r="E20" s="30"/>
    </row>
    <row r="21" customFormat="false" ht="15" hidden="false" customHeight="false" outlineLevel="0" collapsed="false">
      <c r="A21" s="21"/>
      <c r="B21" s="20"/>
      <c r="C21" s="20"/>
      <c r="D21" s="20"/>
      <c r="E21" s="23"/>
    </row>
    <row r="22" customFormat="false" ht="15" hidden="false" customHeight="false" outlineLevel="0" collapsed="false">
      <c r="A22" s="28"/>
      <c r="B22" s="27"/>
      <c r="C22" s="27"/>
      <c r="D22" s="27"/>
      <c r="E22" s="30"/>
    </row>
    <row r="23" customFormat="false" ht="15" hidden="false" customHeight="false" outlineLevel="0" collapsed="false">
      <c r="A23" s="90"/>
      <c r="B23" s="91" t="s">
        <v>217</v>
      </c>
      <c r="C23" s="90"/>
      <c r="D23" s="90"/>
      <c r="E23" s="92" t="n">
        <f aca="false">SUM(E5:E22)</f>
        <v>2240</v>
      </c>
    </row>
    <row r="25" customFormat="false" ht="15" hidden="false" customHeight="false" outlineLevel="0" collapsed="false">
      <c r="A25" s="34" t="s">
        <v>218</v>
      </c>
    </row>
    <row r="26" customFormat="false" ht="15" hidden="false" customHeight="false" outlineLevel="0" collapsed="false">
      <c r="A26" s="89" t="s">
        <v>130</v>
      </c>
      <c r="B26" s="89" t="s">
        <v>131</v>
      </c>
      <c r="C26" s="89" t="s">
        <v>226</v>
      </c>
    </row>
    <row r="27" customFormat="false" ht="15" hidden="false" customHeight="false" outlineLevel="0" collapsed="false">
      <c r="A27" s="51" t="n">
        <v>1</v>
      </c>
      <c r="B27" s="52" t="n">
        <f aca="false">EDATE(Dashboard!$C$5,A27-1)</f>
        <v>46023</v>
      </c>
      <c r="C27" s="25" t="n">
        <f aca="false">SUMIFS($E$5:$E$22,$D$5:$D$22,A27)</f>
        <v>1090</v>
      </c>
    </row>
    <row r="28" customFormat="false" ht="15" hidden="false" customHeight="false" outlineLevel="0" collapsed="false">
      <c r="A28" s="54" t="n">
        <v>2</v>
      </c>
      <c r="B28" s="55" t="n">
        <f aca="false">EDATE(Dashboard!$C$5,A28-1)</f>
        <v>46054</v>
      </c>
      <c r="C28" s="32" t="n">
        <f aca="false">SUMIFS($E$5:$E$22,$D$5:$D$22,A28)</f>
        <v>0</v>
      </c>
    </row>
    <row r="29" customFormat="false" ht="15" hidden="false" customHeight="false" outlineLevel="0" collapsed="false">
      <c r="A29" s="51" t="n">
        <v>3</v>
      </c>
      <c r="B29" s="52" t="n">
        <f aca="false">EDATE(Dashboard!$C$5,A29-1)</f>
        <v>46082</v>
      </c>
      <c r="C29" s="25" t="n">
        <f aca="false">SUMIFS($E$5:$E$22,$D$5:$D$22,A29)</f>
        <v>1150</v>
      </c>
    </row>
    <row r="30" customFormat="false" ht="15" hidden="false" customHeight="false" outlineLevel="0" collapsed="false">
      <c r="A30" s="54" t="n">
        <v>4</v>
      </c>
      <c r="B30" s="55" t="n">
        <f aca="false">EDATE(Dashboard!$C$5,A30-1)</f>
        <v>46113</v>
      </c>
      <c r="C30" s="32" t="n">
        <f aca="false">SUMIFS($E$5:$E$22,$D$5:$D$22,A30)</f>
        <v>0</v>
      </c>
    </row>
    <row r="31" customFormat="false" ht="15" hidden="false" customHeight="false" outlineLevel="0" collapsed="false">
      <c r="A31" s="51" t="n">
        <v>5</v>
      </c>
      <c r="B31" s="52" t="n">
        <f aca="false">EDATE(Dashboard!$C$5,A31-1)</f>
        <v>46143</v>
      </c>
      <c r="C31" s="25" t="n">
        <f aca="false">SUMIFS($E$5:$E$22,$D$5:$D$22,A31)</f>
        <v>0</v>
      </c>
    </row>
    <row r="32" customFormat="false" ht="15" hidden="false" customHeight="false" outlineLevel="0" collapsed="false">
      <c r="A32" s="54" t="n">
        <v>6</v>
      </c>
      <c r="B32" s="55" t="n">
        <f aca="false">EDATE(Dashboard!$C$5,A32-1)</f>
        <v>46174</v>
      </c>
      <c r="C32" s="32" t="n">
        <f aca="false">SUMIFS($E$5:$E$22,$D$5:$D$22,A32)</f>
        <v>0</v>
      </c>
    </row>
    <row r="33" customFormat="false" ht="15" hidden="false" customHeight="false" outlineLevel="0" collapsed="false">
      <c r="A33" s="51" t="n">
        <v>7</v>
      </c>
      <c r="B33" s="52" t="n">
        <f aca="false">EDATE(Dashboard!$C$5,A33-1)</f>
        <v>46204</v>
      </c>
      <c r="C33" s="25" t="n">
        <f aca="false">SUMIFS($E$5:$E$22,$D$5:$D$22,A33)</f>
        <v>0</v>
      </c>
    </row>
    <row r="34" customFormat="false" ht="15" hidden="false" customHeight="false" outlineLevel="0" collapsed="false">
      <c r="A34" s="54" t="n">
        <v>8</v>
      </c>
      <c r="B34" s="55" t="n">
        <f aca="false">EDATE(Dashboard!$C$5,A34-1)</f>
        <v>46235</v>
      </c>
      <c r="C34" s="32" t="n">
        <f aca="false">SUMIFS($E$5:$E$22,$D$5:$D$22,A34)</f>
        <v>0</v>
      </c>
    </row>
    <row r="35" customFormat="false" ht="15" hidden="false" customHeight="false" outlineLevel="0" collapsed="false">
      <c r="A35" s="51" t="n">
        <v>9</v>
      </c>
      <c r="B35" s="52" t="n">
        <f aca="false">EDATE(Dashboard!$C$5,A35-1)</f>
        <v>46266</v>
      </c>
      <c r="C35" s="25" t="n">
        <f aca="false">SUMIFS($E$5:$E$22,$D$5:$D$22,A35)</f>
        <v>0</v>
      </c>
    </row>
    <row r="36" customFormat="false" ht="15" hidden="false" customHeight="false" outlineLevel="0" collapsed="false">
      <c r="A36" s="54" t="n">
        <v>10</v>
      </c>
      <c r="B36" s="55" t="n">
        <f aca="false">EDATE(Dashboard!$C$5,A36-1)</f>
        <v>46296</v>
      </c>
      <c r="C36" s="32" t="n">
        <f aca="false">SUMIFS($E$5:$E$22,$D$5:$D$22,A36)</f>
        <v>0</v>
      </c>
    </row>
    <row r="37" customFormat="false" ht="15" hidden="false" customHeight="false" outlineLevel="0" collapsed="false">
      <c r="A37" s="51" t="n">
        <v>11</v>
      </c>
      <c r="B37" s="52" t="n">
        <f aca="false">EDATE(Dashboard!$C$5,A37-1)</f>
        <v>46327</v>
      </c>
      <c r="C37" s="25" t="n">
        <f aca="false">SUMIFS($E$5:$E$22,$D$5:$D$22,A37)</f>
        <v>0</v>
      </c>
    </row>
    <row r="38" customFormat="false" ht="15" hidden="false" customHeight="false" outlineLevel="0" collapsed="false">
      <c r="A38" s="54" t="n">
        <v>12</v>
      </c>
      <c r="B38" s="55" t="n">
        <f aca="false">EDATE(Dashboard!$C$5,A38-1)</f>
        <v>46357</v>
      </c>
      <c r="C38" s="32" t="n">
        <f aca="false">SUMIFS($E$5:$E$22,$D$5:$D$22,A38)</f>
        <v>0</v>
      </c>
    </row>
    <row r="40" customFormat="false" ht="15" hidden="false" customHeight="false" outlineLevel="0" collapsed="false">
      <c r="A40" s="2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2026-08-12T13:17:22Z</dcterms:created>
  <dc:creator>openpyxl</dc:creator>
  <dc:description/>
  <dc:language>en-US</dc:language>
  <cp:lastModifiedBy/>
  <dcterms:modified xsi:type="dcterms:W3CDTF">2026-08-12T13:17:22Z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