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Rates" sheetId="2" state="visible" r:id="rId4"/>
    <sheet name="FundingMods" sheetId="3" state="visible" r:id="rId5"/>
    <sheet name="Dashboard" sheetId="4" state="visible" r:id="rId6"/>
    <sheet name="Labor" sheetId="5" state="visible" r:id="rId7"/>
    <sheet name="ODCs" sheetId="6" state="visible" r:id="rId8"/>
    <sheet name="Travel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<sst xmlns="http://schemas.openxmlformats.org/spreadsheetml/2006/main" count="158" uniqueCount="131">
  <si>
    <t xml:space="preserve">Acqlerate</t>
  </si>
  <si>
    <t xml:space="preserve">DoD Acquisition Training  ·  acqlerate.com</t>
  </si>
  <si>
    <t xml:space="preserve">Cost &amp; Burn Rate Tracker — How to Use This</t>
  </si>
  <si>
    <t xml:space="preserve">What this is:</t>
  </si>
  <si>
    <t xml:space="preserve">A working cost model for a contractor PM: enter your negotiated rates once, log labor, ODCs, and</t>
  </si>
  <si>
    <t xml:space="preserve">travel as they happen, and the Dashboard tab builds up your fully burdened cost, applies G&amp;A and fee,</t>
  </si>
  <si>
    <t xml:space="preserve">and tracks it against your funded ceiling month by month — the same buildup your finance team runs,</t>
  </si>
  <si>
    <t xml:space="preserve">just visible to you instead of buried in a system you don't have access to.</t>
  </si>
  <si>
    <t xml:space="preserve">Tab order — fill these in first, in this order:</t>
  </si>
  <si>
    <t xml:space="preserve">1. Rates — your negotiated Fringe, Overhead, G&amp;A, and Fee rates. Everything else depends on these.</t>
  </si>
  <si>
    <t xml:space="preserve">2. FundingMods — log your original award and every funding modification since. This is what sets</t>
  </si>
  <si>
    <t xml:space="preserve">   your current TOA (Total Obligated Amount) — it is NOT a single static number anymore, it's the</t>
  </si>
  <si>
    <t xml:space="preserve">   running total of your funding log, which is how it actually works on a real contract.</t>
  </si>
  <si>
    <t xml:space="preserve">3. Dashboard — enter Program Name, Contract #, and Period of Performance dates near the top.</t>
  </si>
  <si>
    <t xml:space="preserve">Then, log costs as they happen:</t>
  </si>
  <si>
    <t xml:space="preserve">4. Labor — enter each month's direct labor $ (from your timesheets/accounting system). Fringe and</t>
  </si>
  <si>
    <t xml:space="preserve">   OH calculate automatically from the Rates tab.</t>
  </si>
  <si>
    <t xml:space="preserve">5. ODCs — log each purchase as a line item (date, category, description, month #, amount). The</t>
  </si>
  <si>
    <t xml:space="preserve">   Monthly Rollup section at the bottom totals them automatically by month.</t>
  </si>
  <si>
    <t xml:space="preserve">6. Travel — same idea as ODCs: log each trip/expense as a line item, it rolls up by month.</t>
  </si>
  <si>
    <t xml:space="preserve">The Dashboard tab does the rest automatically:</t>
  </si>
  <si>
    <t xml:space="preserve">Labor + ODCs + Travel → Subtotal → + G&amp;A → Total Cost → + Fee → Total Billed for the month. That</t>
  </si>
  <si>
    <t xml:space="preserve">rolls into cumulative spend, variance against your straight-line plan, a 3-month rolling burn rate,</t>
  </si>
  <si>
    <t xml:space="preserve">a projected fund-exhaustion date, and a plain-language status flag.</t>
  </si>
  <si>
    <t xml:space="preserve">One thing to know about "Planned Cumulative $":</t>
  </si>
  <si>
    <t xml:space="preserve">It's a simple straight-line split of your TOA across the months in your period (TOA ÷ months). It</t>
  </si>
  <si>
    <t xml:space="preserve">does NOT itself apply your rates. So if your spend is more labor-heavy some months and more ODC/</t>
  </si>
  <si>
    <t xml:space="preserve">travel-heavy in others, or your burdened rate is high, your actual Total Billed will naturally run</t>
  </si>
  <si>
    <t xml:space="preserve">above or below that flat line even when you're executing exactly to your real program plan. Use the</t>
  </si>
  <si>
    <t xml:space="preserve">variance and burn rate as a trend to watch, not a hard pass/fail on any single month.</t>
  </si>
  <si>
    <t xml:space="preserve">Color legend:</t>
  </si>
  <si>
    <t xml:space="preserve">  Blue text   = your inputs. Edit these.</t>
  </si>
  <si>
    <t xml:space="preserve">  Green text  = formulas that pull from another tab.</t>
  </si>
  <si>
    <t xml:space="preserve">  Black text  = formulas within the same tab. Don't overwrite these.</t>
  </si>
  <si>
    <t xml:space="preserve">  Yellow fill = key assumptions that drive the whole workbook (rates, TOA inputs).</t>
  </si>
  <si>
    <t xml:space="preserve">This is a planning and early-warning tool, not your official cost report.</t>
  </si>
  <si>
    <t xml:space="preserve">It doesn't replace your contract's EVM reporting, your cost analyst's numbers, or a certified</t>
  </si>
  <si>
    <t xml:space="preserve">Incurred Cost Submission. Reconcile it against your actual accounting system — this is only as</t>
  </si>
  <si>
    <t xml:space="preserve">accurate as what you type in. And double-check your fee base and G&amp;A base against your own</t>
  </si>
  <si>
    <t xml:space="preserve">company's DCAA-approved rate structure — the defaults here are common conventions, not universal ones.</t>
  </si>
  <si>
    <t xml:space="preserve">Negotiated Rates</t>
  </si>
  <si>
    <t xml:space="preserve">Acqlerate  ·  acqlerate.com</t>
  </si>
  <si>
    <t xml:space="preserve">Fringe Rate (%)</t>
  </si>
  <si>
    <t xml:space="preserve">Applied to Direct Labor. Covers benefits (health, retirement, PTO).</t>
  </si>
  <si>
    <t xml:space="preserve">Overhead (OH) Rate (%)</t>
  </si>
  <si>
    <t xml:space="preserve">Applied to (Direct Labor + Fringe). Covers indirect labor, facilities, and fringe on indirect staff. Base varies by company — check your DCAA-approved rate agreement.</t>
  </si>
  <si>
    <t xml:space="preserve">G&amp;A Rate (%)</t>
  </si>
  <si>
    <t xml:space="preserve">Applied to Total Cost Input (fully burdened labor + ODCs + Travel). Covers company-wide G&amp;A: executive, finance, HR, business development.</t>
  </si>
  <si>
    <t xml:space="preserve">Fee Type in Use</t>
  </si>
  <si>
    <t xml:space="preserve">Fixed</t>
  </si>
  <si>
    <t xml:space="preserve">Type exactly "Fixed" or "Award" (case-sensitive) to switch which fee rate below is used.</t>
  </si>
  <si>
    <t xml:space="preserve">Fixed Fee Rate (%)</t>
  </si>
  <si>
    <t xml:space="preserve">Used if Fee Type = "Fixed". A flat % of Total Cost that doesn't vary with performance (CPFF).</t>
  </si>
  <si>
    <t xml:space="preserve">Target Award Fee Rate (%)</t>
  </si>
  <si>
    <t xml:space="preserve">Used if Fee Type = "Award". This is the MAX pool rate — actual earned fee depends on your award fee score (see the CPAF lesson). This tracker assumes 100% earned for planning; adjust down if you have a current-period score.</t>
  </si>
  <si>
    <t xml:space="preserve">Applicable Fee Rate (auto)</t>
  </si>
  <si>
    <t xml:space="preserve">Picked automatically from the Fee Type cell above. This is what the Dashboard tab actually uses.</t>
  </si>
  <si>
    <t xml:space="preserve">Fee base note:</t>
  </si>
  <si>
    <t xml:space="preserve">This tracker applies fee to Total Cost (burdened labor + ODCs + Travel + G&amp;A). Some contracts exclude ODCs, travel, or facilities capital cost of money from the fee base — check your specific contract's fee clause (FAR 52.216 series) before relying on this for real billing.</t>
  </si>
  <si>
    <t xml:space="preserve">Funding Modification Log</t>
  </si>
  <si>
    <t xml:space="preserve">Mod #</t>
  </si>
  <si>
    <t xml:space="preserve">Date</t>
  </si>
  <si>
    <t xml:space="preserve">Description</t>
  </si>
  <si>
    <t xml:space="preserve">Funding Added / (Removed) $</t>
  </si>
  <si>
    <t xml:space="preserve">Cumulative TOA $</t>
  </si>
  <si>
    <t xml:space="preserve">P00000 (Award)</t>
  </si>
  <si>
    <t xml:space="preserve">Original award — base period</t>
  </si>
  <si>
    <t xml:space="preserve">P00001</t>
  </si>
  <si>
    <t xml:space="preserve">Incremental funding — added scope</t>
  </si>
  <si>
    <t xml:space="preserve">Current TOA (auto)</t>
  </si>
  <si>
    <t xml:space="preserve">The cumulative total as of the last modification entered above.</t>
  </si>
  <si>
    <t xml:space="preserve">Acqlerate  ·  DoD Acquisition Training  ·  acqlerate.com</t>
  </si>
  <si>
    <t xml:space="preserve">Cost &amp; Burn Rate Dashboard</t>
  </si>
  <si>
    <t xml:space="preserve">Program / Contract Name</t>
  </si>
  <si>
    <t xml:space="preserve">Example: Fleet Sustainment Support Services</t>
  </si>
  <si>
    <t xml:space="preserve">Contract / Task Order #</t>
  </si>
  <si>
    <t xml:space="preserve">N00019-25-F-0142</t>
  </si>
  <si>
    <t xml:space="preserve">Period of Performance — Start</t>
  </si>
  <si>
    <t xml:space="preserve">Period of Performance — End</t>
  </si>
  <si>
    <t xml:space="preserve">Months in Period</t>
  </si>
  <si>
    <t xml:space="preserve">Current TOA (from FundingMods tab)</t>
  </si>
  <si>
    <t xml:space="preserve">Straight-Line Monthly Plan</t>
  </si>
  <si>
    <t xml:space="preserve">SUMMARY</t>
  </si>
  <si>
    <t xml:space="preserve">Months of Actuals Entered</t>
  </si>
  <si>
    <t xml:space="preserve">Spent to Date</t>
  </si>
  <si>
    <t xml:space="preserve">Remaining Funds</t>
  </si>
  <si>
    <t xml:space="preserve">% of TOA Spent</t>
  </si>
  <si>
    <t xml:space="preserve">Current Monthly Burn Rate (3-mo avg)</t>
  </si>
  <si>
    <t xml:space="preserve">Projected Months to Exhaustion</t>
  </si>
  <si>
    <t xml:space="preserve">Status</t>
  </si>
  <si>
    <t xml:space="preserve">Month #</t>
  </si>
  <si>
    <t xml:space="preserve">Month</t>
  </si>
  <si>
    <t xml:space="preserve">Planned
Cumulative $</t>
  </si>
  <si>
    <t xml:space="preserve">Labor $</t>
  </si>
  <si>
    <t xml:space="preserve">ODCs $</t>
  </si>
  <si>
    <t xml:space="preserve">Travel $</t>
  </si>
  <si>
    <t xml:space="preserve">Subtotal
(L+O+T)</t>
  </si>
  <si>
    <t xml:space="preserve">G&amp;A $</t>
  </si>
  <si>
    <t xml:space="preserve">Total
Cost</t>
  </si>
  <si>
    <t xml:space="preserve">Fee $</t>
  </si>
  <si>
    <t xml:space="preserve">Total Billed
(This Month)</t>
  </si>
  <si>
    <t xml:space="preserve">Actual
Cumulative $</t>
  </si>
  <si>
    <t xml:space="preserve">Variance $</t>
  </si>
  <si>
    <t xml:space="preserve">Variance %</t>
  </si>
  <si>
    <t xml:space="preserve">Remaining
Funds $</t>
  </si>
  <si>
    <t xml:space="preserve">Labor</t>
  </si>
  <si>
    <t xml:space="preserve">Direct Labor $</t>
  </si>
  <si>
    <t xml:space="preserve">Fringe $</t>
  </si>
  <si>
    <t xml:space="preserve">OH $</t>
  </si>
  <si>
    <t xml:space="preserve">Fully Burdened Labor $</t>
  </si>
  <si>
    <t xml:space="preserve">TOTAL</t>
  </si>
  <si>
    <t xml:space="preserve">ODCs</t>
  </si>
  <si>
    <t xml:space="preserve">Itemized Log</t>
  </si>
  <si>
    <t xml:space="preserve">Category</t>
  </si>
  <si>
    <t xml:space="preserve">Amount $</t>
  </si>
  <si>
    <t xml:space="preserve">Materials</t>
  </si>
  <si>
    <t xml:space="preserve">Replacement network switches (5)</t>
  </si>
  <si>
    <t xml:space="preserve">Equipment</t>
  </si>
  <si>
    <t xml:space="preserve">Test bench calibration</t>
  </si>
  <si>
    <t xml:space="preserve">Spare parts kit</t>
  </si>
  <si>
    <t xml:space="preserve">LOG TOTAL</t>
  </si>
  <si>
    <t xml:space="preserve">Monthly Rollup (auto)</t>
  </si>
  <si>
    <t xml:space="preserve">Total ODCs $</t>
  </si>
  <si>
    <t xml:space="preserve">Travel</t>
  </si>
  <si>
    <t xml:space="preserve">Airfare</t>
  </si>
  <si>
    <t xml:space="preserve">PM — kickoff meeting, NAS Norfolk</t>
  </si>
  <si>
    <t xml:space="preserve">Lodging</t>
  </si>
  <si>
    <t xml:space="preserve">PM — kickoff meeting, 3 nights</t>
  </si>
  <si>
    <t xml:space="preserve">Airfare + Per Diem</t>
  </si>
  <si>
    <t xml:space="preserve">Lead Engineer — site visit</t>
  </si>
  <si>
    <t xml:space="preserve">Total Travel $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</si>
</sst>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mm/dd/yyyy"/>
    <numFmt numFmtId="167" formatCode="\$#,##0"/>
    <numFmt numFmtId="168" formatCode="mmm\-yy"/>
    <numFmt numFmtId="169" formatCode="\$#,##0;&quot;($&quot;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1696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5"/>
      <color rgb="FF0F172A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380520</xdr:colOff>
      <xdr:row>1</xdr:row>
      <xdr:rowOff>104400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380520" cy="38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21.75" hidden="false" customHeight="true" outlineLevel="0" collapsed="false">
      <c r="B1" s="1" t="s">
        <v>0</v>
      </c>
    </row>
    <row r="2" customFormat="false" ht="15.75" hidden="false" customHeight="true" outlineLevel="0" collapsed="false">
      <c r="B2" s="2" t="s">
        <v>1</v>
      </c>
    </row>
    <row r="4" customFormat="false" ht="18.5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/>
    </row>
    <row r="6" customFormat="false" ht="15" hidden="false" customHeight="false" outlineLevel="0" collapsed="false">
      <c r="A6" s="5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5" t="s">
        <v>8</v>
      </c>
    </row>
    <row r="13" customFormat="false" ht="15" hidden="false" customHeight="false" outlineLevel="0" collapsed="false">
      <c r="A13" s="4" t="s">
        <v>9</v>
      </c>
    </row>
    <row r="14" customFormat="false" ht="15" hidden="false" customHeight="false" outlineLevel="0" collapsed="false">
      <c r="A14" s="4" t="s">
        <v>10</v>
      </c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4" t="s">
        <v>12</v>
      </c>
    </row>
    <row r="17" customFormat="false" ht="15" hidden="false" customHeight="false" outlineLevel="0" collapsed="false">
      <c r="A17" s="4" t="s">
        <v>13</v>
      </c>
    </row>
    <row r="18" customFormat="false" ht="15" hidden="false" customHeight="false" outlineLevel="0" collapsed="false">
      <c r="A18" s="4"/>
    </row>
    <row r="19" customFormat="false" ht="15" hidden="false" customHeight="false" outlineLevel="0" collapsed="false">
      <c r="A19" s="5" t="s">
        <v>14</v>
      </c>
    </row>
    <row r="20" customFormat="false" ht="15" hidden="false" customHeight="false" outlineLevel="0" collapsed="false">
      <c r="A20" s="4" t="s">
        <v>15</v>
      </c>
    </row>
    <row r="21" customFormat="false" ht="15" hidden="false" customHeight="false" outlineLevel="0" collapsed="false">
      <c r="A21" s="4" t="s">
        <v>16</v>
      </c>
    </row>
    <row r="22" customFormat="false" ht="15" hidden="false" customHeight="false" outlineLevel="0" collapsed="false">
      <c r="A22" s="4" t="s">
        <v>17</v>
      </c>
    </row>
    <row r="23" customFormat="false" ht="15" hidden="false" customHeight="false" outlineLevel="0" collapsed="false">
      <c r="A23" s="4" t="s">
        <v>18</v>
      </c>
    </row>
    <row r="24" customFormat="false" ht="15" hidden="false" customHeight="false" outlineLevel="0" collapsed="false">
      <c r="A24" s="4" t="s">
        <v>19</v>
      </c>
    </row>
    <row r="25" customFormat="false" ht="15" hidden="false" customHeight="false" outlineLevel="0" collapsed="false">
      <c r="A25" s="4"/>
    </row>
    <row r="26" customFormat="false" ht="15" hidden="false" customHeight="false" outlineLevel="0" collapsed="false">
      <c r="A26" s="5" t="s">
        <v>20</v>
      </c>
    </row>
    <row r="27" customFormat="false" ht="15" hidden="false" customHeight="false" outlineLevel="0" collapsed="false">
      <c r="A27" s="4" t="s">
        <v>21</v>
      </c>
    </row>
    <row r="28" customFormat="false" ht="15" hidden="false" customHeight="false" outlineLevel="0" collapsed="false">
      <c r="A28" s="4" t="s">
        <v>22</v>
      </c>
    </row>
    <row r="29" customFormat="false" ht="15" hidden="false" customHeight="false" outlineLevel="0" collapsed="false">
      <c r="A29" s="4" t="s">
        <v>23</v>
      </c>
    </row>
    <row r="30" customFormat="false" ht="15" hidden="false" customHeight="false" outlineLevel="0" collapsed="false">
      <c r="A30" s="4"/>
    </row>
    <row r="31" customFormat="false" ht="15" hidden="false" customHeight="false" outlineLevel="0" collapsed="false">
      <c r="A31" s="5" t="s">
        <v>24</v>
      </c>
    </row>
    <row r="32" customFormat="false" ht="15" hidden="false" customHeight="false" outlineLevel="0" collapsed="false">
      <c r="A32" s="4" t="s">
        <v>25</v>
      </c>
    </row>
    <row r="33" customFormat="false" ht="15" hidden="false" customHeight="false" outlineLevel="0" collapsed="false">
      <c r="A33" s="4" t="s">
        <v>26</v>
      </c>
    </row>
    <row r="34" customFormat="false" ht="15" hidden="false" customHeight="false" outlineLevel="0" collapsed="false">
      <c r="A34" s="4" t="s">
        <v>27</v>
      </c>
    </row>
    <row r="35" customFormat="false" ht="15" hidden="false" customHeight="false" outlineLevel="0" collapsed="false">
      <c r="A35" s="4" t="s">
        <v>28</v>
      </c>
    </row>
    <row r="36" customFormat="false" ht="15" hidden="false" customHeight="false" outlineLevel="0" collapsed="false">
      <c r="A36" s="4" t="s">
        <v>29</v>
      </c>
    </row>
    <row r="37" customFormat="false" ht="15" hidden="false" customHeight="false" outlineLevel="0" collapsed="false">
      <c r="A37" s="4"/>
    </row>
    <row r="38" customFormat="false" ht="15" hidden="false" customHeight="false" outlineLevel="0" collapsed="false">
      <c r="A38" s="5" t="s">
        <v>30</v>
      </c>
    </row>
    <row r="39" customFormat="false" ht="15" hidden="false" customHeight="false" outlineLevel="0" collapsed="false">
      <c r="A39" s="4" t="s">
        <v>31</v>
      </c>
    </row>
    <row r="40" customFormat="false" ht="15" hidden="false" customHeight="false" outlineLevel="0" collapsed="false">
      <c r="A40" s="4" t="s">
        <v>32</v>
      </c>
    </row>
    <row r="41" customFormat="false" ht="15" hidden="false" customHeight="false" outlineLevel="0" collapsed="false">
      <c r="A41" s="4" t="s">
        <v>33</v>
      </c>
    </row>
    <row r="42" customFormat="false" ht="15" hidden="false" customHeight="false" outlineLevel="0" collapsed="false">
      <c r="A42" s="4" t="s">
        <v>34</v>
      </c>
    </row>
    <row r="43" customFormat="false" ht="15" hidden="false" customHeight="false" outlineLevel="0" collapsed="false">
      <c r="A43" s="4"/>
    </row>
    <row r="44" customFormat="false" ht="15" hidden="false" customHeight="false" outlineLevel="0" collapsed="false">
      <c r="A44" s="5" t="s">
        <v>35</v>
      </c>
    </row>
    <row r="45" customFormat="false" ht="15" hidden="false" customHeight="false" outlineLevel="0" collapsed="false">
      <c r="A45" s="4" t="s">
        <v>36</v>
      </c>
    </row>
    <row r="46" customFormat="false" ht="15" hidden="false" customHeight="false" outlineLevel="0" collapsed="false">
      <c r="A46" s="4" t="s">
        <v>37</v>
      </c>
    </row>
    <row r="47" customFormat="false" ht="15" hidden="false" customHeight="false" outlineLevel="0" collapsed="false">
      <c r="A47" s="4" t="s">
        <v>38</v>
      </c>
    </row>
    <row r="48" customFormat="false" ht="15" hidden="false" customHeight="false" outlineLevel="0" collapsed="false">
      <c r="A48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75"/>
  </cols>
  <sheetData>
    <row r="1" customFormat="false" ht="21.75" hidden="false" customHeight="true" outlineLevel="0" collapsed="false">
      <c r="B1" s="3" t="s">
        <v>40</v>
      </c>
      <c r="C1" s="6" t="s">
        <v>41</v>
      </c>
    </row>
    <row r="3" customFormat="false" ht="30" hidden="false" customHeight="true" outlineLevel="0" collapsed="false">
      <c r="A3" s="5" t="s">
        <v>42</v>
      </c>
      <c r="B3" s="7" t="n">
        <v>0.35</v>
      </c>
      <c r="C3" s="8" t="s">
        <v>43</v>
      </c>
    </row>
    <row r="4" customFormat="false" ht="30" hidden="false" customHeight="true" outlineLevel="0" collapsed="false">
      <c r="A4" s="5" t="s">
        <v>44</v>
      </c>
      <c r="B4" s="7" t="n">
        <v>0.55</v>
      </c>
      <c r="C4" s="8" t="s">
        <v>45</v>
      </c>
    </row>
    <row r="5" customFormat="false" ht="30" hidden="false" customHeight="true" outlineLevel="0" collapsed="false">
      <c r="A5" s="5" t="s">
        <v>46</v>
      </c>
      <c r="B5" s="7" t="n">
        <v>0.12</v>
      </c>
      <c r="C5" s="8" t="s">
        <v>47</v>
      </c>
    </row>
    <row r="7" customFormat="false" ht="30" hidden="false" customHeight="true" outlineLevel="0" collapsed="false">
      <c r="A7" s="5" t="s">
        <v>48</v>
      </c>
      <c r="B7" s="9" t="s">
        <v>49</v>
      </c>
      <c r="C7" s="8" t="s">
        <v>50</v>
      </c>
    </row>
    <row r="8" customFormat="false" ht="30" hidden="false" customHeight="true" outlineLevel="0" collapsed="false">
      <c r="A8" s="5" t="s">
        <v>51</v>
      </c>
      <c r="B8" s="7" t="n">
        <v>0.07</v>
      </c>
      <c r="C8" s="8" t="s">
        <v>52</v>
      </c>
    </row>
    <row r="9" customFormat="false" ht="30" hidden="false" customHeight="true" outlineLevel="0" collapsed="false">
      <c r="A9" s="5" t="s">
        <v>53</v>
      </c>
      <c r="B9" s="7" t="n">
        <v>0.1</v>
      </c>
      <c r="C9" s="8" t="s">
        <v>54</v>
      </c>
    </row>
    <row r="11" customFormat="false" ht="19.5" hidden="false" customHeight="true" outlineLevel="0" collapsed="false">
      <c r="A11" s="5" t="s">
        <v>55</v>
      </c>
      <c r="B11" s="10" t="n">
        <f aca="false">IF(B7="Fixed",B8,IF(B7="Award",B9,NA()))</f>
        <v>0.07</v>
      </c>
      <c r="C11" s="2" t="s">
        <v>56</v>
      </c>
    </row>
    <row r="13" customFormat="false" ht="39.75" hidden="false" customHeight="true" outlineLevel="0" collapsed="false">
      <c r="A13" s="5" t="s">
        <v>57</v>
      </c>
      <c r="C13" s="8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42"/>
    <col collapsed="false" customWidth="true" hidden="false" outlineLevel="0" max="5" min="4" style="0" width="20"/>
  </cols>
  <sheetData>
    <row r="1" customFormat="false" ht="21.75" hidden="false" customHeight="true" outlineLevel="0" collapsed="false">
      <c r="B1" s="3" t="s">
        <v>59</v>
      </c>
      <c r="E1" s="6" t="s">
        <v>41</v>
      </c>
    </row>
    <row r="3" customFormat="false" ht="30" hidden="false" customHeight="true" outlineLevel="0" collapsed="false">
      <c r="A3" s="11" t="s">
        <v>60</v>
      </c>
      <c r="B3" s="11" t="s">
        <v>61</v>
      </c>
      <c r="C3" s="11" t="s">
        <v>62</v>
      </c>
      <c r="D3" s="11" t="s">
        <v>63</v>
      </c>
      <c r="E3" s="11" t="s">
        <v>64</v>
      </c>
    </row>
    <row r="4" customFormat="false" ht="15" hidden="false" customHeight="false" outlineLevel="0" collapsed="false">
      <c r="A4" s="12" t="s">
        <v>65</v>
      </c>
      <c r="B4" s="13" t="n">
        <v>46023</v>
      </c>
      <c r="C4" s="12" t="s">
        <v>66</v>
      </c>
      <c r="D4" s="14" t="n">
        <v>2000000</v>
      </c>
      <c r="E4" s="15" t="n">
        <f aca="false">IF(D4="","",D4)</f>
        <v>2000000</v>
      </c>
    </row>
    <row r="5" customFormat="false" ht="15" hidden="false" customHeight="false" outlineLevel="0" collapsed="false">
      <c r="A5" s="16" t="s">
        <v>67</v>
      </c>
      <c r="B5" s="17" t="n">
        <v>46143</v>
      </c>
      <c r="C5" s="16" t="s">
        <v>68</v>
      </c>
      <c r="D5" s="18" t="n">
        <v>400000</v>
      </c>
      <c r="E5" s="19" t="n">
        <f aca="false">IF(D5="","",SUM($D$4:D5))</f>
        <v>2400000</v>
      </c>
    </row>
    <row r="6" customFormat="false" ht="15" hidden="false" customHeight="false" outlineLevel="0" collapsed="false">
      <c r="A6" s="12"/>
      <c r="B6" s="13"/>
      <c r="C6" s="12"/>
      <c r="D6" s="14"/>
      <c r="E6" s="15" t="str">
        <f aca="false">IF(D6="","",SUM($D$4:D6))</f>
        <v/>
      </c>
    </row>
    <row r="7" customFormat="false" ht="15" hidden="false" customHeight="false" outlineLevel="0" collapsed="false">
      <c r="A7" s="16"/>
      <c r="B7" s="17"/>
      <c r="C7" s="16"/>
      <c r="D7" s="18"/>
      <c r="E7" s="19" t="str">
        <f aca="false">IF(D7="","",SUM($D$4:D7))</f>
        <v/>
      </c>
    </row>
    <row r="8" customFormat="false" ht="15" hidden="false" customHeight="false" outlineLevel="0" collapsed="false">
      <c r="A8" s="12"/>
      <c r="B8" s="13"/>
      <c r="C8" s="12"/>
      <c r="D8" s="14"/>
      <c r="E8" s="15" t="str">
        <f aca="false">IF(D8="","",SUM($D$4:D8))</f>
        <v/>
      </c>
    </row>
    <row r="9" customFormat="false" ht="15" hidden="false" customHeight="false" outlineLevel="0" collapsed="false">
      <c r="A9" s="16"/>
      <c r="B9" s="17"/>
      <c r="C9" s="16"/>
      <c r="D9" s="18"/>
      <c r="E9" s="19" t="str">
        <f aca="false">IF(D9="","",SUM($D$4:D9))</f>
        <v/>
      </c>
    </row>
    <row r="10" customFormat="false" ht="15" hidden="false" customHeight="false" outlineLevel="0" collapsed="false">
      <c r="A10" s="12"/>
      <c r="B10" s="13"/>
      <c r="C10" s="12"/>
      <c r="D10" s="14"/>
      <c r="E10" s="15" t="str">
        <f aca="false">IF(D10="","",SUM($D$4:D10))</f>
        <v/>
      </c>
    </row>
    <row r="11" customFormat="false" ht="15" hidden="false" customHeight="false" outlineLevel="0" collapsed="false">
      <c r="A11" s="16"/>
      <c r="B11" s="17"/>
      <c r="C11" s="16"/>
      <c r="D11" s="18"/>
      <c r="E11" s="19" t="str">
        <f aca="false">IF(D11="","",SUM($D$4:D11))</f>
        <v/>
      </c>
    </row>
    <row r="12" customFormat="false" ht="15" hidden="false" customHeight="false" outlineLevel="0" collapsed="false">
      <c r="A12" s="12"/>
      <c r="B12" s="13"/>
      <c r="C12" s="12"/>
      <c r="D12" s="14"/>
      <c r="E12" s="15" t="str">
        <f aca="false">IF(D12="","",SUM($D$4:D12))</f>
        <v/>
      </c>
    </row>
    <row r="13" customFormat="false" ht="15" hidden="false" customHeight="false" outlineLevel="0" collapsed="false">
      <c r="A13" s="16"/>
      <c r="B13" s="17"/>
      <c r="C13" s="16"/>
      <c r="D13" s="18"/>
      <c r="E13" s="19" t="str">
        <f aca="false">IF(D13="","",SUM($D$4:D13))</f>
        <v/>
      </c>
    </row>
    <row r="15" customFormat="false" ht="15" hidden="false" customHeight="false" outlineLevel="0" collapsed="false">
      <c r="A15" s="5" t="s">
        <v>69</v>
      </c>
      <c r="B15" s="20" t="n">
        <f aca="false">IFERROR(INDEX(E4:E13,COUNT(D4:D13)),0)</f>
        <v>2400000</v>
      </c>
      <c r="C15" s="2" t="s">
        <v>70</v>
      </c>
    </row>
    <row r="17" customFormat="false" ht="15" hidden="false" customHeight="false" outlineLevel="0" collapsed="false">
      <c r="A17" s="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6" min="4" style="0" width="13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7"/>
    <col collapsed="false" customWidth="true" hidden="false" outlineLevel="0" max="12" min="12" style="0" width="16"/>
    <col collapsed="false" customWidth="true" hidden="false" outlineLevel="0" max="13" min="13" style="0" width="15"/>
    <col collapsed="false" customWidth="true" hidden="false" outlineLevel="0" max="14" min="14" style="0" width="11"/>
    <col collapsed="false" customWidth="true" hidden="false" outlineLevel="0" max="15" min="15" style="0" width="15"/>
  </cols>
  <sheetData>
    <row r="1" customFormat="false" ht="21.75" hidden="false" customHeight="true" outlineLevel="0" collapsed="false">
      <c r="B1" s="3" t="s">
        <v>72</v>
      </c>
      <c r="O1" s="6" t="s">
        <v>41</v>
      </c>
    </row>
    <row r="3" customFormat="false" ht="15" hidden="false" customHeight="false" outlineLevel="0" collapsed="false">
      <c r="A3" s="21" t="s">
        <v>73</v>
      </c>
      <c r="B3" s="21"/>
      <c r="C3" s="9" t="s">
        <v>74</v>
      </c>
    </row>
    <row r="4" customFormat="false" ht="15" hidden="false" customHeight="false" outlineLevel="0" collapsed="false">
      <c r="A4" s="21" t="s">
        <v>75</v>
      </c>
      <c r="B4" s="21"/>
      <c r="C4" s="9" t="s">
        <v>76</v>
      </c>
    </row>
    <row r="5" customFormat="false" ht="15" hidden="false" customHeight="false" outlineLevel="0" collapsed="false">
      <c r="A5" s="21" t="s">
        <v>77</v>
      </c>
      <c r="B5" s="21"/>
      <c r="C5" s="22" t="n">
        <v>46023</v>
      </c>
    </row>
    <row r="6" customFormat="false" ht="15" hidden="false" customHeight="false" outlineLevel="0" collapsed="false">
      <c r="A6" s="21" t="s">
        <v>78</v>
      </c>
      <c r="B6" s="21"/>
      <c r="C6" s="22" t="n">
        <v>46387</v>
      </c>
    </row>
    <row r="7" customFormat="false" ht="15" hidden="false" customHeight="false" outlineLevel="0" collapsed="false">
      <c r="A7" s="21" t="s">
        <v>79</v>
      </c>
      <c r="B7" s="21"/>
      <c r="C7" s="23" t="n">
        <f aca="false">DATEDIF(C5,C6,"m")+1</f>
        <v>12</v>
      </c>
    </row>
    <row r="8" customFormat="false" ht="15" hidden="false" customHeight="false" outlineLevel="0" collapsed="false">
      <c r="A8" s="21" t="s">
        <v>80</v>
      </c>
      <c r="B8" s="21"/>
      <c r="C8" s="24" t="n">
        <f aca="false">FundingMods!$B$15</f>
        <v>2400000</v>
      </c>
    </row>
    <row r="9" customFormat="false" ht="15" hidden="false" customHeight="false" outlineLevel="0" collapsed="false">
      <c r="A9" s="21" t="s">
        <v>81</v>
      </c>
      <c r="B9" s="21"/>
      <c r="C9" s="20" t="n">
        <f aca="false">C8/C7</f>
        <v>200000</v>
      </c>
    </row>
    <row r="11" customFormat="false" ht="15" hidden="false" customHeight="false" outlineLevel="0" collapsed="false">
      <c r="A11" s="25" t="s">
        <v>82</v>
      </c>
    </row>
    <row r="12" customFormat="false" ht="15" hidden="false" customHeight="false" outlineLevel="0" collapsed="false">
      <c r="A12" s="21" t="s">
        <v>83</v>
      </c>
      <c r="B12" s="21"/>
      <c r="C12" s="23" t="n">
        <f aca="false">COUNT(D21:D32)</f>
        <v>5</v>
      </c>
    </row>
    <row r="13" customFormat="false" ht="15" hidden="false" customHeight="false" outlineLevel="0" collapsed="false">
      <c r="A13" s="21" t="s">
        <v>84</v>
      </c>
      <c r="B13" s="21"/>
      <c r="C13" s="20" t="n">
        <f aca="false">IF(C12=0,0,INDEX(L21:L32,C12))</f>
        <v>1223603.85</v>
      </c>
    </row>
    <row r="14" customFormat="false" ht="15" hidden="false" customHeight="false" outlineLevel="0" collapsed="false">
      <c r="A14" s="21" t="s">
        <v>85</v>
      </c>
      <c r="B14" s="21"/>
      <c r="C14" s="20" t="n">
        <f aca="false">C8-C13</f>
        <v>1176396.15</v>
      </c>
    </row>
    <row r="15" customFormat="false" ht="15" hidden="false" customHeight="false" outlineLevel="0" collapsed="false">
      <c r="A15" s="21" t="s">
        <v>86</v>
      </c>
      <c r="B15" s="21"/>
      <c r="C15" s="10" t="n">
        <f aca="false">IFERROR(C13/C8,0)</f>
        <v>0.5098349375</v>
      </c>
    </row>
    <row r="16" customFormat="false" ht="15" hidden="false" customHeight="false" outlineLevel="0" collapsed="false">
      <c r="A16" s="21" t="s">
        <v>87</v>
      </c>
      <c r="B16" s="21"/>
      <c r="C16" s="20" t="n">
        <f aca="true">IFERROR(AVERAGE(OFFSET(K21,MAX(C12-3,0),0,MIN(C12,3),1)),0)</f>
        <v>244211.45</v>
      </c>
    </row>
    <row r="17" customFormat="false" ht="15" hidden="false" customHeight="false" outlineLevel="0" collapsed="false">
      <c r="A17" s="21" t="s">
        <v>88</v>
      </c>
      <c r="B17" s="21"/>
      <c r="C17" s="23" t="n">
        <f aca="false">IFERROR(C14/C16,"—")</f>
        <v>4.81712118739723</v>
      </c>
    </row>
    <row r="18" customFormat="false" ht="15" hidden="false" customHeight="false" outlineLevel="0" collapsed="false">
      <c r="A18" s="21" t="s">
        <v>89</v>
      </c>
      <c r="B18" s="21"/>
      <c r="C18" s="23" t="str">
        <f aca="false">IF(C12=0,"NO DATA YET",IF(C15&gt;(C12/C7)*1.1,"AT RISK — OVERRUNNING",IF(C15&lt;(C12/C7)*0.7,"AT RISK — UNDERRUNNING (option year risk)","ON TRACK")))</f>
        <v>AT RISK — OVERRUNNING</v>
      </c>
    </row>
    <row r="20" customFormat="false" ht="33.75" hidden="false" customHeight="true" outlineLevel="0" collapsed="false">
      <c r="A20" s="11" t="s">
        <v>90</v>
      </c>
      <c r="B20" s="11" t="s">
        <v>91</v>
      </c>
      <c r="C20" s="11" t="s">
        <v>92</v>
      </c>
      <c r="D20" s="11" t="s">
        <v>93</v>
      </c>
      <c r="E20" s="11" t="s">
        <v>94</v>
      </c>
      <c r="F20" s="11" t="s">
        <v>95</v>
      </c>
      <c r="G20" s="11" t="s">
        <v>96</v>
      </c>
      <c r="H20" s="11" t="s">
        <v>97</v>
      </c>
      <c r="I20" s="11" t="s">
        <v>98</v>
      </c>
      <c r="J20" s="11" t="s">
        <v>99</v>
      </c>
      <c r="K20" s="11" t="s">
        <v>100</v>
      </c>
      <c r="L20" s="11" t="s">
        <v>101</v>
      </c>
      <c r="M20" s="11" t="s">
        <v>102</v>
      </c>
      <c r="N20" s="11" t="s">
        <v>103</v>
      </c>
      <c r="O20" s="11" t="s">
        <v>104</v>
      </c>
    </row>
    <row r="21" customFormat="false" ht="15" hidden="false" customHeight="false" outlineLevel="0" collapsed="false">
      <c r="A21" s="26" t="n">
        <v>1</v>
      </c>
      <c r="B21" s="27" t="n">
        <f aca="false">EDATE($C$5,A21-1)</f>
        <v>46023</v>
      </c>
      <c r="C21" s="15" t="n">
        <f aca="false">$C$9*A21</f>
        <v>200000</v>
      </c>
      <c r="D21" s="28" t="n">
        <f aca="false">Labor!F4</f>
        <v>192510</v>
      </c>
      <c r="E21" s="28" t="n">
        <f aca="false">IF(D21="","",ODCs!C27)</f>
        <v>14200</v>
      </c>
      <c r="F21" s="28" t="n">
        <f aca="false">IF(D21="","",Travel!C27)</f>
        <v>1090</v>
      </c>
      <c r="G21" s="15" t="n">
        <f aca="false">IF(D21="","",D21+E21+F21)</f>
        <v>207800</v>
      </c>
      <c r="H21" s="28" t="n">
        <f aca="false">IF(G21="","",G21*Rates!$B$5)</f>
        <v>24936</v>
      </c>
      <c r="I21" s="15" t="n">
        <f aca="false">IF(G21="","",G21+H21)</f>
        <v>232736</v>
      </c>
      <c r="J21" s="28" t="n">
        <f aca="false">IF(I21="","",I21*Rates!$B$11)</f>
        <v>16291.52</v>
      </c>
      <c r="K21" s="15" t="n">
        <f aca="false">IF(I21="","",I21+J21)</f>
        <v>249027.52</v>
      </c>
      <c r="L21" s="15" t="n">
        <f aca="false">IF(SUM($K$21:K21)=0,"",SUM($K$21:K21))</f>
        <v>249027.52</v>
      </c>
      <c r="M21" s="29" t="n">
        <f aca="false">IF(OR(L21="",C21=""),"",L21-C21)</f>
        <v>49027.52</v>
      </c>
      <c r="N21" s="30" t="n">
        <f aca="false">IF(OR(L21="",C21="",C21=0),"",M21/C21)</f>
        <v>0.2451376</v>
      </c>
      <c r="O21" s="15" t="n">
        <f aca="false">IF(L21="","",$C$8-L21)</f>
        <v>2150972.48</v>
      </c>
    </row>
    <row r="22" customFormat="false" ht="15" hidden="false" customHeight="false" outlineLevel="0" collapsed="false">
      <c r="A22" s="31" t="n">
        <v>2</v>
      </c>
      <c r="B22" s="32" t="n">
        <f aca="false">EDATE($C$5,A22-1)</f>
        <v>46054</v>
      </c>
      <c r="C22" s="19" t="n">
        <f aca="false">$C$9*A22</f>
        <v>400000</v>
      </c>
      <c r="D22" s="33" t="n">
        <f aca="false">Labor!F5</f>
        <v>198787.5</v>
      </c>
      <c r="E22" s="33" t="n">
        <f aca="false">IF(D22="","",ODCs!C28)</f>
        <v>3100</v>
      </c>
      <c r="F22" s="33" t="n">
        <f aca="false">IF(D22="","",Travel!C28)</f>
        <v>0</v>
      </c>
      <c r="G22" s="19" t="n">
        <f aca="false">IF(D22="","",D22+E22+F22)</f>
        <v>201887.5</v>
      </c>
      <c r="H22" s="33" t="n">
        <f aca="false">IF(G22="","",G22*Rates!$B$5)</f>
        <v>24226.5</v>
      </c>
      <c r="I22" s="19" t="n">
        <f aca="false">IF(G22="","",G22+H22)</f>
        <v>226114</v>
      </c>
      <c r="J22" s="33" t="n">
        <f aca="false">IF(I22="","",I22*Rates!$B$11)</f>
        <v>15827.98</v>
      </c>
      <c r="K22" s="19" t="n">
        <f aca="false">IF(I22="","",I22+J22)</f>
        <v>241941.98</v>
      </c>
      <c r="L22" s="19" t="n">
        <f aca="false">IF(SUM($K$21:K22)=0,"",SUM($K$21:K22))</f>
        <v>490969.5</v>
      </c>
      <c r="M22" s="34" t="n">
        <f aca="false">IF(OR(L22="",C22=""),"",L22-C22)</f>
        <v>90969.5</v>
      </c>
      <c r="N22" s="35" t="n">
        <f aca="false">IF(OR(L22="",C22="",C22=0),"",M22/C22)</f>
        <v>0.22742375</v>
      </c>
      <c r="O22" s="19" t="n">
        <f aca="false">IF(L22="","",$C$8-L22)</f>
        <v>1909030.5</v>
      </c>
    </row>
    <row r="23" customFormat="false" ht="15" hidden="false" customHeight="false" outlineLevel="0" collapsed="false">
      <c r="A23" s="26" t="n">
        <v>3</v>
      </c>
      <c r="B23" s="27" t="n">
        <f aca="false">EDATE($C$5,A23-1)</f>
        <v>46082</v>
      </c>
      <c r="C23" s="15" t="n">
        <f aca="false">$C$9*A23</f>
        <v>600000</v>
      </c>
      <c r="D23" s="28" t="n">
        <f aca="false">Labor!F6</f>
        <v>195648.75</v>
      </c>
      <c r="E23" s="28" t="n">
        <f aca="false">IF(D23="","",ODCs!C29)</f>
        <v>0</v>
      </c>
      <c r="F23" s="28" t="n">
        <f aca="false">IF(D23="","",Travel!C29)</f>
        <v>1150</v>
      </c>
      <c r="G23" s="15" t="n">
        <f aca="false">IF(D23="","",D23+E23+F23)</f>
        <v>196798.75</v>
      </c>
      <c r="H23" s="28" t="n">
        <f aca="false">IF(G23="","",G23*Rates!$B$5)</f>
        <v>23615.85</v>
      </c>
      <c r="I23" s="15" t="n">
        <f aca="false">IF(G23="","",G23+H23)</f>
        <v>220414.6</v>
      </c>
      <c r="J23" s="28" t="n">
        <f aca="false">IF(I23="","",I23*Rates!$B$11)</f>
        <v>15429.022</v>
      </c>
      <c r="K23" s="15" t="n">
        <f aca="false">IF(I23="","",I23+J23)</f>
        <v>235843.622</v>
      </c>
      <c r="L23" s="15" t="n">
        <f aca="false">IF(SUM($K$21:K23)=0,"",SUM($K$21:K23))</f>
        <v>726813.122</v>
      </c>
      <c r="M23" s="29" t="n">
        <f aca="false">IF(OR(L23="",C23=""),"",L23-C23)</f>
        <v>126813.122</v>
      </c>
      <c r="N23" s="30" t="n">
        <f aca="false">IF(OR(L23="",C23="",C23=0),"",M23/C23)</f>
        <v>0.211355203333333</v>
      </c>
      <c r="O23" s="15" t="n">
        <f aca="false">IF(L23="","",$C$8-L23)</f>
        <v>1673186.878</v>
      </c>
    </row>
    <row r="24" customFormat="false" ht="15" hidden="false" customHeight="false" outlineLevel="0" collapsed="false">
      <c r="A24" s="31" t="n">
        <v>4</v>
      </c>
      <c r="B24" s="32" t="n">
        <f aca="false">EDATE($C$5,A24-1)</f>
        <v>46113</v>
      </c>
      <c r="C24" s="19" t="n">
        <f aca="false">$C$9*A24</f>
        <v>800000</v>
      </c>
      <c r="D24" s="33" t="n">
        <f aca="false">Labor!F7</f>
        <v>205065</v>
      </c>
      <c r="E24" s="33" t="n">
        <f aca="false">IF(D24="","",ODCs!C30)</f>
        <v>8600</v>
      </c>
      <c r="F24" s="33" t="n">
        <f aca="false">IF(D24="","",Travel!C30)</f>
        <v>0</v>
      </c>
      <c r="G24" s="19" t="n">
        <f aca="false">IF(D24="","",D24+E24+F24)</f>
        <v>213665</v>
      </c>
      <c r="H24" s="33" t="n">
        <f aca="false">IF(G24="","",G24*Rates!$B$5)</f>
        <v>25639.8</v>
      </c>
      <c r="I24" s="19" t="n">
        <f aca="false">IF(G24="","",G24+H24)</f>
        <v>239304.8</v>
      </c>
      <c r="J24" s="33" t="n">
        <f aca="false">IF(I24="","",I24*Rates!$B$11)</f>
        <v>16751.336</v>
      </c>
      <c r="K24" s="19" t="n">
        <f aca="false">IF(I24="","",I24+J24)</f>
        <v>256056.136</v>
      </c>
      <c r="L24" s="19" t="n">
        <f aca="false">IF(SUM($K$21:K24)=0,"",SUM($K$21:K24))</f>
        <v>982869.258</v>
      </c>
      <c r="M24" s="34" t="n">
        <f aca="false">IF(OR(L24="",C24=""),"",L24-C24)</f>
        <v>182869.258</v>
      </c>
      <c r="N24" s="35" t="n">
        <f aca="false">IF(OR(L24="",C24="",C24=0),"",M24/C24)</f>
        <v>0.2285865725</v>
      </c>
      <c r="O24" s="19" t="n">
        <f aca="false">IF(L24="","",$C$8-L24)</f>
        <v>1417130.742</v>
      </c>
    </row>
    <row r="25" customFormat="false" ht="15" hidden="false" customHeight="false" outlineLevel="0" collapsed="false">
      <c r="A25" s="26" t="n">
        <v>5</v>
      </c>
      <c r="B25" s="27" t="n">
        <f aca="false">EDATE($C$5,A25-1)</f>
        <v>46143</v>
      </c>
      <c r="C25" s="15" t="n">
        <f aca="false">$C$9*A25</f>
        <v>1000000</v>
      </c>
      <c r="D25" s="28" t="n">
        <f aca="false">Labor!F8</f>
        <v>200880</v>
      </c>
      <c r="E25" s="28" t="n">
        <f aca="false">IF(D25="","",ODCs!C31)</f>
        <v>0</v>
      </c>
      <c r="F25" s="28" t="n">
        <f aca="false">IF(D25="","",Travel!C31)</f>
        <v>0</v>
      </c>
      <c r="G25" s="15" t="n">
        <f aca="false">IF(D25="","",D25+E25+F25)</f>
        <v>200880</v>
      </c>
      <c r="H25" s="28" t="n">
        <f aca="false">IF(G25="","",G25*Rates!$B$5)</f>
        <v>24105.6</v>
      </c>
      <c r="I25" s="15" t="n">
        <f aca="false">IF(G25="","",G25+H25)</f>
        <v>224985.6</v>
      </c>
      <c r="J25" s="28" t="n">
        <f aca="false">IF(I25="","",I25*Rates!$B$11)</f>
        <v>15748.992</v>
      </c>
      <c r="K25" s="15" t="n">
        <f aca="false">IF(I25="","",I25+J25)</f>
        <v>240734.592</v>
      </c>
      <c r="L25" s="15" t="n">
        <f aca="false">IF(SUM($K$21:K25)=0,"",SUM($K$21:K25))</f>
        <v>1223603.85</v>
      </c>
      <c r="M25" s="29" t="n">
        <f aca="false">IF(OR(L25="",C25=""),"",L25-C25)</f>
        <v>223603.85</v>
      </c>
      <c r="N25" s="30" t="n">
        <f aca="false">IF(OR(L25="",C25="",C25=0),"",M25/C25)</f>
        <v>0.22360385</v>
      </c>
      <c r="O25" s="15" t="n">
        <f aca="false">IF(L25="","",$C$8-L25)</f>
        <v>1176396.15</v>
      </c>
    </row>
    <row r="26" customFormat="false" ht="15" hidden="false" customHeight="false" outlineLevel="0" collapsed="false">
      <c r="A26" s="31" t="n">
        <v>6</v>
      </c>
      <c r="B26" s="32" t="n">
        <f aca="false">EDATE($C$5,A26-1)</f>
        <v>46174</v>
      </c>
      <c r="C26" s="19" t="n">
        <f aca="false">$C$9*A26</f>
        <v>1200000</v>
      </c>
      <c r="D26" s="33" t="str">
        <f aca="false">Labor!F9</f>
        <v/>
      </c>
      <c r="E26" s="33" t="str">
        <f aca="false">IF(D26="","",ODCs!C32)</f>
        <v/>
      </c>
      <c r="F26" s="33" t="str">
        <f aca="false">IF(D26="","",Travel!C32)</f>
        <v/>
      </c>
      <c r="G26" s="19" t="str">
        <f aca="false">IF(D26="","",D26+E26+F26)</f>
        <v/>
      </c>
      <c r="H26" s="33" t="str">
        <f aca="false">IF(G26="","",G26*Rates!$B$5)</f>
        <v/>
      </c>
      <c r="I26" s="19" t="str">
        <f aca="false">IF(G26="","",G26+H26)</f>
        <v/>
      </c>
      <c r="J26" s="33" t="str">
        <f aca="false">IF(I26="","",I26*Rates!$B$11)</f>
        <v/>
      </c>
      <c r="K26" s="19" t="str">
        <f aca="false">IF(I26="","",I26+J26)</f>
        <v/>
      </c>
      <c r="L26" s="19" t="n">
        <f aca="false">IF(SUM($K$21:K26)=0,"",SUM($K$21:K26))</f>
        <v>1223603.85</v>
      </c>
      <c r="M26" s="34" t="n">
        <f aca="false">IF(OR(L26="",C26=""),"",L26-C26)</f>
        <v>23603.8500000001</v>
      </c>
      <c r="N26" s="35" t="n">
        <f aca="false">IF(OR(L26="",C26="",C26=0),"",M26/C26)</f>
        <v>0.0196698750000001</v>
      </c>
      <c r="O26" s="19" t="n">
        <f aca="false">IF(L26="","",$C$8-L26)</f>
        <v>1176396.15</v>
      </c>
    </row>
    <row r="27" customFormat="false" ht="15" hidden="false" customHeight="false" outlineLevel="0" collapsed="false">
      <c r="A27" s="26" t="n">
        <v>7</v>
      </c>
      <c r="B27" s="27" t="n">
        <f aca="false">EDATE($C$5,A27-1)</f>
        <v>46204</v>
      </c>
      <c r="C27" s="15" t="n">
        <f aca="false">$C$9*A27</f>
        <v>1400000</v>
      </c>
      <c r="D27" s="28" t="str">
        <f aca="false">Labor!F10</f>
        <v/>
      </c>
      <c r="E27" s="28" t="str">
        <f aca="false">IF(D27="","",ODCs!C33)</f>
        <v/>
      </c>
      <c r="F27" s="28" t="str">
        <f aca="false">IF(D27="","",Travel!C33)</f>
        <v/>
      </c>
      <c r="G27" s="15" t="str">
        <f aca="false">IF(D27="","",D27+E27+F27)</f>
        <v/>
      </c>
      <c r="H27" s="28" t="str">
        <f aca="false">IF(G27="","",G27*Rates!$B$5)</f>
        <v/>
      </c>
      <c r="I27" s="15" t="str">
        <f aca="false">IF(G27="","",G27+H27)</f>
        <v/>
      </c>
      <c r="J27" s="28" t="str">
        <f aca="false">IF(I27="","",I27*Rates!$B$11)</f>
        <v/>
      </c>
      <c r="K27" s="15" t="str">
        <f aca="false">IF(I27="","",I27+J27)</f>
        <v/>
      </c>
      <c r="L27" s="15" t="n">
        <f aca="false">IF(SUM($K$21:K27)=0,"",SUM($K$21:K27))</f>
        <v>1223603.85</v>
      </c>
      <c r="M27" s="29" t="n">
        <f aca="false">IF(OR(L27="",C27=""),"",L27-C27)</f>
        <v>-176396.15</v>
      </c>
      <c r="N27" s="30" t="n">
        <f aca="false">IF(OR(L27="",C27="",C27=0),"",M27/C27)</f>
        <v>-0.12599725</v>
      </c>
      <c r="O27" s="15" t="n">
        <f aca="false">IF(L27="","",$C$8-L27)</f>
        <v>1176396.15</v>
      </c>
    </row>
    <row r="28" customFormat="false" ht="15" hidden="false" customHeight="false" outlineLevel="0" collapsed="false">
      <c r="A28" s="31" t="n">
        <v>8</v>
      </c>
      <c r="B28" s="32" t="n">
        <f aca="false">EDATE($C$5,A28-1)</f>
        <v>46235</v>
      </c>
      <c r="C28" s="19" t="n">
        <f aca="false">$C$9*A28</f>
        <v>1600000</v>
      </c>
      <c r="D28" s="33" t="str">
        <f aca="false">Labor!F11</f>
        <v/>
      </c>
      <c r="E28" s="33" t="str">
        <f aca="false">IF(D28="","",ODCs!C34)</f>
        <v/>
      </c>
      <c r="F28" s="33" t="str">
        <f aca="false">IF(D28="","",Travel!C34)</f>
        <v/>
      </c>
      <c r="G28" s="19" t="str">
        <f aca="false">IF(D28="","",D28+E28+F28)</f>
        <v/>
      </c>
      <c r="H28" s="33" t="str">
        <f aca="false">IF(G28="","",G28*Rates!$B$5)</f>
        <v/>
      </c>
      <c r="I28" s="19" t="str">
        <f aca="false">IF(G28="","",G28+H28)</f>
        <v/>
      </c>
      <c r="J28" s="33" t="str">
        <f aca="false">IF(I28="","",I28*Rates!$B$11)</f>
        <v/>
      </c>
      <c r="K28" s="19" t="str">
        <f aca="false">IF(I28="","",I28+J28)</f>
        <v/>
      </c>
      <c r="L28" s="19" t="n">
        <f aca="false">IF(SUM($K$21:K28)=0,"",SUM($K$21:K28))</f>
        <v>1223603.85</v>
      </c>
      <c r="M28" s="34" t="n">
        <f aca="false">IF(OR(L28="",C28=""),"",L28-C28)</f>
        <v>-376396.15</v>
      </c>
      <c r="N28" s="35" t="n">
        <f aca="false">IF(OR(L28="",C28="",C28=0),"",M28/C28)</f>
        <v>-0.23524759375</v>
      </c>
      <c r="O28" s="19" t="n">
        <f aca="false">IF(L28="","",$C$8-L28)</f>
        <v>1176396.15</v>
      </c>
    </row>
    <row r="29" customFormat="false" ht="15" hidden="false" customHeight="false" outlineLevel="0" collapsed="false">
      <c r="A29" s="26" t="n">
        <v>9</v>
      </c>
      <c r="B29" s="27" t="n">
        <f aca="false">EDATE($C$5,A29-1)</f>
        <v>46266</v>
      </c>
      <c r="C29" s="15" t="n">
        <f aca="false">$C$9*A29</f>
        <v>1800000</v>
      </c>
      <c r="D29" s="28" t="str">
        <f aca="false">Labor!F12</f>
        <v/>
      </c>
      <c r="E29" s="28" t="str">
        <f aca="false">IF(D29="","",ODCs!C35)</f>
        <v/>
      </c>
      <c r="F29" s="28" t="str">
        <f aca="false">IF(D29="","",Travel!C35)</f>
        <v/>
      </c>
      <c r="G29" s="15" t="str">
        <f aca="false">IF(D29="","",D29+E29+F29)</f>
        <v/>
      </c>
      <c r="H29" s="28" t="str">
        <f aca="false">IF(G29="","",G29*Rates!$B$5)</f>
        <v/>
      </c>
      <c r="I29" s="15" t="str">
        <f aca="false">IF(G29="","",G29+H29)</f>
        <v/>
      </c>
      <c r="J29" s="28" t="str">
        <f aca="false">IF(I29="","",I29*Rates!$B$11)</f>
        <v/>
      </c>
      <c r="K29" s="15" t="str">
        <f aca="false">IF(I29="","",I29+J29)</f>
        <v/>
      </c>
      <c r="L29" s="15" t="n">
        <f aca="false">IF(SUM($K$21:K29)=0,"",SUM($K$21:K29))</f>
        <v>1223603.85</v>
      </c>
      <c r="M29" s="29" t="n">
        <f aca="false">IF(OR(L29="",C29=""),"",L29-C29)</f>
        <v>-576396.15</v>
      </c>
      <c r="N29" s="30" t="n">
        <f aca="false">IF(OR(L29="",C29="",C29=0),"",M29/C29)</f>
        <v>-0.320220083333333</v>
      </c>
      <c r="O29" s="15" t="n">
        <f aca="false">IF(L29="","",$C$8-L29)</f>
        <v>1176396.15</v>
      </c>
    </row>
    <row r="30" customFormat="false" ht="15" hidden="false" customHeight="false" outlineLevel="0" collapsed="false">
      <c r="A30" s="31" t="n">
        <v>10</v>
      </c>
      <c r="B30" s="32" t="n">
        <f aca="false">EDATE($C$5,A30-1)</f>
        <v>46296</v>
      </c>
      <c r="C30" s="19" t="n">
        <f aca="false">$C$9*A30</f>
        <v>2000000</v>
      </c>
      <c r="D30" s="33" t="str">
        <f aca="false">Labor!F13</f>
        <v/>
      </c>
      <c r="E30" s="33" t="str">
        <f aca="false">IF(D30="","",ODCs!C36)</f>
        <v/>
      </c>
      <c r="F30" s="33" t="str">
        <f aca="false">IF(D30="","",Travel!C36)</f>
        <v/>
      </c>
      <c r="G30" s="19" t="str">
        <f aca="false">IF(D30="","",D30+E30+F30)</f>
        <v/>
      </c>
      <c r="H30" s="33" t="str">
        <f aca="false">IF(G30="","",G30*Rates!$B$5)</f>
        <v/>
      </c>
      <c r="I30" s="19" t="str">
        <f aca="false">IF(G30="","",G30+H30)</f>
        <v/>
      </c>
      <c r="J30" s="33" t="str">
        <f aca="false">IF(I30="","",I30*Rates!$B$11)</f>
        <v/>
      </c>
      <c r="K30" s="19" t="str">
        <f aca="false">IF(I30="","",I30+J30)</f>
        <v/>
      </c>
      <c r="L30" s="19" t="n">
        <f aca="false">IF(SUM($K$21:K30)=0,"",SUM($K$21:K30))</f>
        <v>1223603.85</v>
      </c>
      <c r="M30" s="34" t="n">
        <f aca="false">IF(OR(L30="",C30=""),"",L30-C30)</f>
        <v>-776396.15</v>
      </c>
      <c r="N30" s="35" t="n">
        <f aca="false">IF(OR(L30="",C30="",C30=0),"",M30/C30)</f>
        <v>-0.388198075</v>
      </c>
      <c r="O30" s="19" t="n">
        <f aca="false">IF(L30="","",$C$8-L30)</f>
        <v>1176396.15</v>
      </c>
    </row>
    <row r="31" customFormat="false" ht="15" hidden="false" customHeight="false" outlineLevel="0" collapsed="false">
      <c r="A31" s="26" t="n">
        <v>11</v>
      </c>
      <c r="B31" s="27" t="n">
        <f aca="false">EDATE($C$5,A31-1)</f>
        <v>46327</v>
      </c>
      <c r="C31" s="15" t="n">
        <f aca="false">$C$9*A31</f>
        <v>2200000</v>
      </c>
      <c r="D31" s="28" t="str">
        <f aca="false">Labor!F14</f>
        <v/>
      </c>
      <c r="E31" s="28" t="str">
        <f aca="false">IF(D31="","",ODCs!C37)</f>
        <v/>
      </c>
      <c r="F31" s="28" t="str">
        <f aca="false">IF(D31="","",Travel!C37)</f>
        <v/>
      </c>
      <c r="G31" s="15" t="str">
        <f aca="false">IF(D31="","",D31+E31+F31)</f>
        <v/>
      </c>
      <c r="H31" s="28" t="str">
        <f aca="false">IF(G31="","",G31*Rates!$B$5)</f>
        <v/>
      </c>
      <c r="I31" s="15" t="str">
        <f aca="false">IF(G31="","",G31+H31)</f>
        <v/>
      </c>
      <c r="J31" s="28" t="str">
        <f aca="false">IF(I31="","",I31*Rates!$B$11)</f>
        <v/>
      </c>
      <c r="K31" s="15" t="str">
        <f aca="false">IF(I31="","",I31+J31)</f>
        <v/>
      </c>
      <c r="L31" s="15" t="n">
        <f aca="false">IF(SUM($K$21:K31)=0,"",SUM($K$21:K31))</f>
        <v>1223603.85</v>
      </c>
      <c r="M31" s="29" t="n">
        <f aca="false">IF(OR(L31="",C31=""),"",L31-C31)</f>
        <v>-976396.15</v>
      </c>
      <c r="N31" s="30" t="n">
        <f aca="false">IF(OR(L31="",C31="",C31=0),"",M31/C31)</f>
        <v>-0.443816431818182</v>
      </c>
      <c r="O31" s="15" t="n">
        <f aca="false">IF(L31="","",$C$8-L31)</f>
        <v>1176396.15</v>
      </c>
    </row>
    <row r="32" customFormat="false" ht="15" hidden="false" customHeight="false" outlineLevel="0" collapsed="false">
      <c r="A32" s="31" t="n">
        <v>12</v>
      </c>
      <c r="B32" s="32" t="n">
        <f aca="false">EDATE($C$5,A32-1)</f>
        <v>46357</v>
      </c>
      <c r="C32" s="19" t="n">
        <f aca="false">$C$9*A32</f>
        <v>2400000</v>
      </c>
      <c r="D32" s="33" t="str">
        <f aca="false">Labor!F15</f>
        <v/>
      </c>
      <c r="E32" s="33" t="str">
        <f aca="false">IF(D32="","",ODCs!C38)</f>
        <v/>
      </c>
      <c r="F32" s="33" t="str">
        <f aca="false">IF(D32="","",Travel!C38)</f>
        <v/>
      </c>
      <c r="G32" s="19" t="str">
        <f aca="false">IF(D32="","",D32+E32+F32)</f>
        <v/>
      </c>
      <c r="H32" s="33" t="str">
        <f aca="false">IF(G32="","",G32*Rates!$B$5)</f>
        <v/>
      </c>
      <c r="I32" s="19" t="str">
        <f aca="false">IF(G32="","",G32+H32)</f>
        <v/>
      </c>
      <c r="J32" s="33" t="str">
        <f aca="false">IF(I32="","",I32*Rates!$B$11)</f>
        <v/>
      </c>
      <c r="K32" s="19" t="str">
        <f aca="false">IF(I32="","",I32+J32)</f>
        <v/>
      </c>
      <c r="L32" s="19" t="n">
        <f aca="false">IF(SUM($K$21:K32)=0,"",SUM($K$21:K32))</f>
        <v>1223603.85</v>
      </c>
      <c r="M32" s="34" t="n">
        <f aca="false">IF(OR(L32="",C32=""),"",L32-C32)</f>
        <v>-1176396.15</v>
      </c>
      <c r="N32" s="35" t="n">
        <f aca="false">IF(OR(L32="",C32="",C32=0),"",M32/C32)</f>
        <v>-0.4901650625</v>
      </c>
      <c r="O32" s="19" t="n">
        <f aca="false">IF(L32="","",$C$8-L32)</f>
        <v>1176396.15</v>
      </c>
    </row>
    <row r="34" customFormat="false" ht="15" hidden="false" customHeight="false" outlineLevel="0" collapsed="false">
      <c r="A34" s="2" t="s">
        <v>71</v>
      </c>
    </row>
  </sheetData>
  <mergeCells count="14">
    <mergeCell ref="A3:B3"/>
    <mergeCell ref="A4:B4"/>
    <mergeCell ref="A5:B5"/>
    <mergeCell ref="A6:B6"/>
    <mergeCell ref="A7:B7"/>
    <mergeCell ref="A8:B8"/>
    <mergeCell ref="A9:B9"/>
    <mergeCell ref="A12:B12"/>
    <mergeCell ref="A13:B13"/>
    <mergeCell ref="A14:B14"/>
    <mergeCell ref="A15:B15"/>
    <mergeCell ref="A16:B16"/>
    <mergeCell ref="A17:B17"/>
    <mergeCell ref="A18:B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20"/>
  </cols>
  <sheetData>
    <row r="1" customFormat="false" ht="21.75" hidden="false" customHeight="true" outlineLevel="0" collapsed="false">
      <c r="B1" s="3" t="s">
        <v>105</v>
      </c>
      <c r="F1" s="6" t="s">
        <v>41</v>
      </c>
    </row>
    <row r="3" customFormat="false" ht="27.75" hidden="false" customHeight="true" outlineLevel="0" collapsed="false">
      <c r="A3" s="11" t="s">
        <v>90</v>
      </c>
      <c r="B3" s="11" t="s">
        <v>91</v>
      </c>
      <c r="C3" s="11" t="s">
        <v>106</v>
      </c>
      <c r="D3" s="11" t="s">
        <v>107</v>
      </c>
      <c r="E3" s="11" t="s">
        <v>108</v>
      </c>
      <c r="F3" s="11" t="s">
        <v>109</v>
      </c>
    </row>
    <row r="4" customFormat="false" ht="15" hidden="false" customHeight="false" outlineLevel="0" collapsed="false">
      <c r="A4" s="26" t="n">
        <v>1</v>
      </c>
      <c r="B4" s="27" t="n">
        <f aca="false">EDATE(Dashboard!$C$5,A4-1)</f>
        <v>46023</v>
      </c>
      <c r="C4" s="14" t="n">
        <v>92000</v>
      </c>
      <c r="D4" s="28" t="n">
        <f aca="false">IF(C4="","",C4*Rates!$B$3)</f>
        <v>32200</v>
      </c>
      <c r="E4" s="28" t="n">
        <f aca="false">IF(C4="","",(C4+D4)*Rates!$B$4)</f>
        <v>68310</v>
      </c>
      <c r="F4" s="15" t="n">
        <f aca="false">IF(C4="","",C4+D4+E4)</f>
        <v>192510</v>
      </c>
    </row>
    <row r="5" customFormat="false" ht="15" hidden="false" customHeight="false" outlineLevel="0" collapsed="false">
      <c r="A5" s="31" t="n">
        <v>2</v>
      </c>
      <c r="B5" s="32" t="n">
        <f aca="false">EDATE(Dashboard!$C$5,A5-1)</f>
        <v>46054</v>
      </c>
      <c r="C5" s="18" t="n">
        <v>95000</v>
      </c>
      <c r="D5" s="33" t="n">
        <f aca="false">IF(C5="","",C5*Rates!$B$3)</f>
        <v>33250</v>
      </c>
      <c r="E5" s="33" t="n">
        <f aca="false">IF(C5="","",(C5+D5)*Rates!$B$4)</f>
        <v>70537.5</v>
      </c>
      <c r="F5" s="19" t="n">
        <f aca="false">IF(C5="","",C5+D5+E5)</f>
        <v>198787.5</v>
      </c>
    </row>
    <row r="6" customFormat="false" ht="15" hidden="false" customHeight="false" outlineLevel="0" collapsed="false">
      <c r="A6" s="26" t="n">
        <v>3</v>
      </c>
      <c r="B6" s="27" t="n">
        <f aca="false">EDATE(Dashboard!$C$5,A6-1)</f>
        <v>46082</v>
      </c>
      <c r="C6" s="14" t="n">
        <v>93500</v>
      </c>
      <c r="D6" s="28" t="n">
        <f aca="false">IF(C6="","",C6*Rates!$B$3)</f>
        <v>32725</v>
      </c>
      <c r="E6" s="28" t="n">
        <f aca="false">IF(C6="","",(C6+D6)*Rates!$B$4)</f>
        <v>69423.75</v>
      </c>
      <c r="F6" s="15" t="n">
        <f aca="false">IF(C6="","",C6+D6+E6)</f>
        <v>195648.75</v>
      </c>
    </row>
    <row r="7" customFormat="false" ht="15" hidden="false" customHeight="false" outlineLevel="0" collapsed="false">
      <c r="A7" s="31" t="n">
        <v>4</v>
      </c>
      <c r="B7" s="32" t="n">
        <f aca="false">EDATE(Dashboard!$C$5,A7-1)</f>
        <v>46113</v>
      </c>
      <c r="C7" s="18" t="n">
        <v>98000</v>
      </c>
      <c r="D7" s="33" t="n">
        <f aca="false">IF(C7="","",C7*Rates!$B$3)</f>
        <v>34300</v>
      </c>
      <c r="E7" s="33" t="n">
        <f aca="false">IF(C7="","",(C7+D7)*Rates!$B$4)</f>
        <v>72765</v>
      </c>
      <c r="F7" s="19" t="n">
        <f aca="false">IF(C7="","",C7+D7+E7)</f>
        <v>205065</v>
      </c>
    </row>
    <row r="8" customFormat="false" ht="15" hidden="false" customHeight="false" outlineLevel="0" collapsed="false">
      <c r="A8" s="26" t="n">
        <v>5</v>
      </c>
      <c r="B8" s="27" t="n">
        <f aca="false">EDATE(Dashboard!$C$5,A8-1)</f>
        <v>46143</v>
      </c>
      <c r="C8" s="14" t="n">
        <v>96000</v>
      </c>
      <c r="D8" s="28" t="n">
        <f aca="false">IF(C8="","",C8*Rates!$B$3)</f>
        <v>33600</v>
      </c>
      <c r="E8" s="28" t="n">
        <f aca="false">IF(C8="","",(C8+D8)*Rates!$B$4)</f>
        <v>71280</v>
      </c>
      <c r="F8" s="15" t="n">
        <f aca="false">IF(C8="","",C8+D8+E8)</f>
        <v>200880</v>
      </c>
    </row>
    <row r="9" customFormat="false" ht="15" hidden="false" customHeight="false" outlineLevel="0" collapsed="false">
      <c r="A9" s="31" t="n">
        <v>6</v>
      </c>
      <c r="B9" s="32" t="n">
        <f aca="false">EDATE(Dashboard!$C$5,A9-1)</f>
        <v>46174</v>
      </c>
      <c r="C9" s="18"/>
      <c r="D9" s="33" t="str">
        <f aca="false">IF(C9="","",C9*Rates!$B$3)</f>
        <v/>
      </c>
      <c r="E9" s="33" t="str">
        <f aca="false">IF(C9="","",(C9+D9)*Rates!$B$4)</f>
        <v/>
      </c>
      <c r="F9" s="19" t="str">
        <f aca="false">IF(C9="","",C9+D9+E9)</f>
        <v/>
      </c>
    </row>
    <row r="10" customFormat="false" ht="15" hidden="false" customHeight="false" outlineLevel="0" collapsed="false">
      <c r="A10" s="26" t="n">
        <v>7</v>
      </c>
      <c r="B10" s="27" t="n">
        <f aca="false">EDATE(Dashboard!$C$5,A10-1)</f>
        <v>46204</v>
      </c>
      <c r="C10" s="14"/>
      <c r="D10" s="28" t="str">
        <f aca="false">IF(C10="","",C10*Rates!$B$3)</f>
        <v/>
      </c>
      <c r="E10" s="28" t="str">
        <f aca="false">IF(C10="","",(C10+D10)*Rates!$B$4)</f>
        <v/>
      </c>
      <c r="F10" s="15" t="str">
        <f aca="false">IF(C10="","",C10+D10+E10)</f>
        <v/>
      </c>
    </row>
    <row r="11" customFormat="false" ht="15" hidden="false" customHeight="false" outlineLevel="0" collapsed="false">
      <c r="A11" s="31" t="n">
        <v>8</v>
      </c>
      <c r="B11" s="32" t="n">
        <f aca="false">EDATE(Dashboard!$C$5,A11-1)</f>
        <v>46235</v>
      </c>
      <c r="C11" s="18"/>
      <c r="D11" s="33" t="str">
        <f aca="false">IF(C11="","",C11*Rates!$B$3)</f>
        <v/>
      </c>
      <c r="E11" s="33" t="str">
        <f aca="false">IF(C11="","",(C11+D11)*Rates!$B$4)</f>
        <v/>
      </c>
      <c r="F11" s="19" t="str">
        <f aca="false">IF(C11="","",C11+D11+E11)</f>
        <v/>
      </c>
    </row>
    <row r="12" customFormat="false" ht="15" hidden="false" customHeight="false" outlineLevel="0" collapsed="false">
      <c r="A12" s="26" t="n">
        <v>9</v>
      </c>
      <c r="B12" s="27" t="n">
        <f aca="false">EDATE(Dashboard!$C$5,A12-1)</f>
        <v>46266</v>
      </c>
      <c r="C12" s="14"/>
      <c r="D12" s="28" t="str">
        <f aca="false">IF(C12="","",C12*Rates!$B$3)</f>
        <v/>
      </c>
      <c r="E12" s="28" t="str">
        <f aca="false">IF(C12="","",(C12+D12)*Rates!$B$4)</f>
        <v/>
      </c>
      <c r="F12" s="15" t="str">
        <f aca="false">IF(C12="","",C12+D12+E12)</f>
        <v/>
      </c>
    </row>
    <row r="13" customFormat="false" ht="15" hidden="false" customHeight="false" outlineLevel="0" collapsed="false">
      <c r="A13" s="31" t="n">
        <v>10</v>
      </c>
      <c r="B13" s="32" t="n">
        <f aca="false">EDATE(Dashboard!$C$5,A13-1)</f>
        <v>46296</v>
      </c>
      <c r="C13" s="18"/>
      <c r="D13" s="33" t="str">
        <f aca="false">IF(C13="","",C13*Rates!$B$3)</f>
        <v/>
      </c>
      <c r="E13" s="33" t="str">
        <f aca="false">IF(C13="","",(C13+D13)*Rates!$B$4)</f>
        <v/>
      </c>
      <c r="F13" s="19" t="str">
        <f aca="false">IF(C13="","",C13+D13+E13)</f>
        <v/>
      </c>
    </row>
    <row r="14" customFormat="false" ht="15" hidden="false" customHeight="false" outlineLevel="0" collapsed="false">
      <c r="A14" s="26" t="n">
        <v>11</v>
      </c>
      <c r="B14" s="27" t="n">
        <f aca="false">EDATE(Dashboard!$C$5,A14-1)</f>
        <v>46327</v>
      </c>
      <c r="C14" s="14"/>
      <c r="D14" s="28" t="str">
        <f aca="false">IF(C14="","",C14*Rates!$B$3)</f>
        <v/>
      </c>
      <c r="E14" s="28" t="str">
        <f aca="false">IF(C14="","",(C14+D14)*Rates!$B$4)</f>
        <v/>
      </c>
      <c r="F14" s="15" t="str">
        <f aca="false">IF(C14="","",C14+D14+E14)</f>
        <v/>
      </c>
    </row>
    <row r="15" customFormat="false" ht="15" hidden="false" customHeight="false" outlineLevel="0" collapsed="false">
      <c r="A15" s="31" t="n">
        <v>12</v>
      </c>
      <c r="B15" s="32" t="n">
        <f aca="false">EDATE(Dashboard!$C$5,A15-1)</f>
        <v>46357</v>
      </c>
      <c r="C15" s="18"/>
      <c r="D15" s="33" t="str">
        <f aca="false">IF(C15="","",C15*Rates!$B$3)</f>
        <v/>
      </c>
      <c r="E15" s="33" t="str">
        <f aca="false">IF(C15="","",(C15+D15)*Rates!$B$4)</f>
        <v/>
      </c>
      <c r="F15" s="19" t="str">
        <f aca="false">IF(C15="","",C15+D15+E15)</f>
        <v/>
      </c>
    </row>
    <row r="16" customFormat="false" ht="15" hidden="false" customHeight="false" outlineLevel="0" collapsed="false">
      <c r="B16" s="5" t="s">
        <v>110</v>
      </c>
      <c r="C16" s="36" t="n">
        <f aca="false">SUM(C4:C15)</f>
        <v>474500</v>
      </c>
      <c r="D16" s="36" t="n">
        <f aca="false">SUM(D4:D15)</f>
        <v>166075</v>
      </c>
      <c r="E16" s="36" t="n">
        <f aca="false">SUM(E4:E15)</f>
        <v>352316.25</v>
      </c>
      <c r="F16" s="36" t="n">
        <f aca="false">SUM(F4:F15)</f>
        <v>992891.25</v>
      </c>
    </row>
    <row r="18" customFormat="false" ht="15" hidden="false" customHeight="false" outlineLevel="0" collapsed="false">
      <c r="A18" s="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5" min="5" style="0" width="14"/>
  </cols>
  <sheetData>
    <row r="1" customFormat="false" ht="21.75" hidden="false" customHeight="true" outlineLevel="0" collapsed="false">
      <c r="B1" s="3" t="s">
        <v>111</v>
      </c>
      <c r="E1" s="6" t="s">
        <v>41</v>
      </c>
    </row>
    <row r="3" customFormat="false" ht="15" hidden="false" customHeight="false" outlineLevel="0" collapsed="false">
      <c r="A3" s="25" t="s">
        <v>112</v>
      </c>
    </row>
    <row r="4" customFormat="false" ht="15" hidden="false" customHeight="false" outlineLevel="0" collapsed="false">
      <c r="A4" s="37" t="s">
        <v>61</v>
      </c>
      <c r="B4" s="37" t="s">
        <v>113</v>
      </c>
      <c r="C4" s="37" t="s">
        <v>62</v>
      </c>
      <c r="D4" s="37" t="s">
        <v>90</v>
      </c>
      <c r="E4" s="37" t="s">
        <v>114</v>
      </c>
    </row>
    <row r="5" customFormat="false" ht="15" hidden="false" customHeight="false" outlineLevel="0" collapsed="false">
      <c r="A5" s="13" t="n">
        <v>46036</v>
      </c>
      <c r="B5" s="12" t="s">
        <v>115</v>
      </c>
      <c r="C5" s="12" t="s">
        <v>116</v>
      </c>
      <c r="D5" s="12" t="n">
        <v>1</v>
      </c>
      <c r="E5" s="14" t="n">
        <v>14200</v>
      </c>
    </row>
    <row r="6" customFormat="false" ht="15" hidden="false" customHeight="false" outlineLevel="0" collapsed="false">
      <c r="A6" s="17" t="n">
        <v>46056</v>
      </c>
      <c r="B6" s="16" t="s">
        <v>117</v>
      </c>
      <c r="C6" s="16" t="s">
        <v>118</v>
      </c>
      <c r="D6" s="16" t="n">
        <v>2</v>
      </c>
      <c r="E6" s="18" t="n">
        <v>3100</v>
      </c>
    </row>
    <row r="7" customFormat="false" ht="15" hidden="false" customHeight="false" outlineLevel="0" collapsed="false">
      <c r="A7" s="13" t="n">
        <v>46132</v>
      </c>
      <c r="B7" s="12" t="s">
        <v>115</v>
      </c>
      <c r="C7" s="12" t="s">
        <v>119</v>
      </c>
      <c r="D7" s="12" t="n">
        <v>4</v>
      </c>
      <c r="E7" s="14" t="n">
        <v>8600</v>
      </c>
    </row>
    <row r="8" customFormat="false" ht="15" hidden="false" customHeight="false" outlineLevel="0" collapsed="false">
      <c r="A8" s="17"/>
      <c r="B8" s="16"/>
      <c r="C8" s="16"/>
      <c r="D8" s="16"/>
      <c r="E8" s="18"/>
    </row>
    <row r="9" customFormat="false" ht="15" hidden="false" customHeight="false" outlineLevel="0" collapsed="false">
      <c r="A9" s="13"/>
      <c r="B9" s="12"/>
      <c r="C9" s="12"/>
      <c r="D9" s="12"/>
      <c r="E9" s="14"/>
    </row>
    <row r="10" customFormat="false" ht="15" hidden="false" customHeight="false" outlineLevel="0" collapsed="false">
      <c r="A10" s="17"/>
      <c r="B10" s="16"/>
      <c r="C10" s="16"/>
      <c r="D10" s="16"/>
      <c r="E10" s="18"/>
    </row>
    <row r="11" customFormat="false" ht="15" hidden="false" customHeight="false" outlineLevel="0" collapsed="false">
      <c r="A11" s="13"/>
      <c r="B11" s="12"/>
      <c r="C11" s="12"/>
      <c r="D11" s="12"/>
      <c r="E11" s="14"/>
    </row>
    <row r="12" customFormat="false" ht="15" hidden="false" customHeight="false" outlineLevel="0" collapsed="false">
      <c r="A12" s="17"/>
      <c r="B12" s="16"/>
      <c r="C12" s="16"/>
      <c r="D12" s="16"/>
      <c r="E12" s="18"/>
    </row>
    <row r="13" customFormat="false" ht="15" hidden="false" customHeight="false" outlineLevel="0" collapsed="false">
      <c r="A13" s="13"/>
      <c r="B13" s="12"/>
      <c r="C13" s="12"/>
      <c r="D13" s="12"/>
      <c r="E13" s="14"/>
    </row>
    <row r="14" customFormat="false" ht="15" hidden="false" customHeight="false" outlineLevel="0" collapsed="false">
      <c r="A14" s="17"/>
      <c r="B14" s="16"/>
      <c r="C14" s="16"/>
      <c r="D14" s="16"/>
      <c r="E14" s="18"/>
    </row>
    <row r="15" customFormat="false" ht="15" hidden="false" customHeight="false" outlineLevel="0" collapsed="false">
      <c r="A15" s="13"/>
      <c r="B15" s="12"/>
      <c r="C15" s="12"/>
      <c r="D15" s="12"/>
      <c r="E15" s="14"/>
    </row>
    <row r="16" customFormat="false" ht="15" hidden="false" customHeight="false" outlineLevel="0" collapsed="false">
      <c r="A16" s="17"/>
      <c r="B16" s="16"/>
      <c r="C16" s="16"/>
      <c r="D16" s="16"/>
      <c r="E16" s="18"/>
    </row>
    <row r="17" customFormat="false" ht="15" hidden="false" customHeight="false" outlineLevel="0" collapsed="false">
      <c r="A17" s="13"/>
      <c r="B17" s="12"/>
      <c r="C17" s="12"/>
      <c r="D17" s="12"/>
      <c r="E17" s="14"/>
    </row>
    <row r="18" customFormat="false" ht="15" hidden="false" customHeight="false" outlineLevel="0" collapsed="false">
      <c r="A18" s="17"/>
      <c r="B18" s="16"/>
      <c r="C18" s="16"/>
      <c r="D18" s="16"/>
      <c r="E18" s="18"/>
    </row>
    <row r="19" customFormat="false" ht="15" hidden="false" customHeight="false" outlineLevel="0" collapsed="false">
      <c r="A19" s="13"/>
      <c r="B19" s="12"/>
      <c r="C19" s="12"/>
      <c r="D19" s="12"/>
      <c r="E19" s="14"/>
    </row>
    <row r="20" customFormat="false" ht="15" hidden="false" customHeight="false" outlineLevel="0" collapsed="false">
      <c r="A20" s="17"/>
      <c r="B20" s="16"/>
      <c r="C20" s="16"/>
      <c r="D20" s="16"/>
      <c r="E20" s="18"/>
    </row>
    <row r="21" customFormat="false" ht="15" hidden="false" customHeight="false" outlineLevel="0" collapsed="false">
      <c r="A21" s="13"/>
      <c r="B21" s="12"/>
      <c r="C21" s="12"/>
      <c r="D21" s="12"/>
      <c r="E21" s="14"/>
    </row>
    <row r="22" customFormat="false" ht="15" hidden="false" customHeight="false" outlineLevel="0" collapsed="false">
      <c r="A22" s="17"/>
      <c r="B22" s="16"/>
      <c r="C22" s="16"/>
      <c r="D22" s="16"/>
      <c r="E22" s="18"/>
    </row>
    <row r="23" customFormat="false" ht="15" hidden="false" customHeight="false" outlineLevel="0" collapsed="false">
      <c r="B23" s="5" t="s">
        <v>120</v>
      </c>
      <c r="E23" s="36" t="n">
        <f aca="false">SUM(E5:E22)</f>
        <v>25900</v>
      </c>
    </row>
    <row r="25" customFormat="false" ht="15" hidden="false" customHeight="false" outlineLevel="0" collapsed="false">
      <c r="A25" s="25" t="s">
        <v>121</v>
      </c>
    </row>
    <row r="26" customFormat="false" ht="15" hidden="false" customHeight="false" outlineLevel="0" collapsed="false">
      <c r="A26" s="37" t="s">
        <v>90</v>
      </c>
      <c r="B26" s="37" t="s">
        <v>91</v>
      </c>
      <c r="C26" s="37" t="s">
        <v>122</v>
      </c>
    </row>
    <row r="27" customFormat="false" ht="15" hidden="false" customHeight="false" outlineLevel="0" collapsed="false">
      <c r="A27" s="26" t="n">
        <v>1</v>
      </c>
      <c r="B27" s="27" t="n">
        <f aca="false">EDATE(Dashboard!$C$5,A27-1)</f>
        <v>46023</v>
      </c>
      <c r="C27" s="15" t="n">
        <f aca="false">SUMIFS($E$5:$E$22,$D$5:$D$22,A27)</f>
        <v>14200</v>
      </c>
    </row>
    <row r="28" customFormat="false" ht="15" hidden="false" customHeight="false" outlineLevel="0" collapsed="false">
      <c r="A28" s="31" t="n">
        <v>2</v>
      </c>
      <c r="B28" s="32" t="n">
        <f aca="false">EDATE(Dashboard!$C$5,A28-1)</f>
        <v>46054</v>
      </c>
      <c r="C28" s="19" t="n">
        <f aca="false">SUMIFS($E$5:$E$22,$D$5:$D$22,A28)</f>
        <v>3100</v>
      </c>
    </row>
    <row r="29" customFormat="false" ht="15" hidden="false" customHeight="false" outlineLevel="0" collapsed="false">
      <c r="A29" s="26" t="n">
        <v>3</v>
      </c>
      <c r="B29" s="27" t="n">
        <f aca="false">EDATE(Dashboard!$C$5,A29-1)</f>
        <v>46082</v>
      </c>
      <c r="C29" s="15" t="n">
        <f aca="false">SUMIFS($E$5:$E$22,$D$5:$D$22,A29)</f>
        <v>0</v>
      </c>
    </row>
    <row r="30" customFormat="false" ht="15" hidden="false" customHeight="false" outlineLevel="0" collapsed="false">
      <c r="A30" s="31" t="n">
        <v>4</v>
      </c>
      <c r="B30" s="32" t="n">
        <f aca="false">EDATE(Dashboard!$C$5,A30-1)</f>
        <v>46113</v>
      </c>
      <c r="C30" s="19" t="n">
        <f aca="false">SUMIFS($E$5:$E$22,$D$5:$D$22,A30)</f>
        <v>8600</v>
      </c>
    </row>
    <row r="31" customFormat="false" ht="15" hidden="false" customHeight="false" outlineLevel="0" collapsed="false">
      <c r="A31" s="26" t="n">
        <v>5</v>
      </c>
      <c r="B31" s="27" t="n">
        <f aca="false">EDATE(Dashboard!$C$5,A31-1)</f>
        <v>46143</v>
      </c>
      <c r="C31" s="15" t="n">
        <f aca="false">SUMIFS($E$5:$E$22,$D$5:$D$22,A31)</f>
        <v>0</v>
      </c>
    </row>
    <row r="32" customFormat="false" ht="15" hidden="false" customHeight="false" outlineLevel="0" collapsed="false">
      <c r="A32" s="31" t="n">
        <v>6</v>
      </c>
      <c r="B32" s="32" t="n">
        <f aca="false">EDATE(Dashboard!$C$5,A32-1)</f>
        <v>46174</v>
      </c>
      <c r="C32" s="19" t="n">
        <f aca="false">SUMIFS($E$5:$E$22,$D$5:$D$22,A32)</f>
        <v>0</v>
      </c>
    </row>
    <row r="33" customFormat="false" ht="15" hidden="false" customHeight="false" outlineLevel="0" collapsed="false">
      <c r="A33" s="26" t="n">
        <v>7</v>
      </c>
      <c r="B33" s="27" t="n">
        <f aca="false">EDATE(Dashboard!$C$5,A33-1)</f>
        <v>46204</v>
      </c>
      <c r="C33" s="15" t="n">
        <f aca="false">SUMIFS($E$5:$E$22,$D$5:$D$22,A33)</f>
        <v>0</v>
      </c>
    </row>
    <row r="34" customFormat="false" ht="15" hidden="false" customHeight="false" outlineLevel="0" collapsed="false">
      <c r="A34" s="31" t="n">
        <v>8</v>
      </c>
      <c r="B34" s="32" t="n">
        <f aca="false">EDATE(Dashboard!$C$5,A34-1)</f>
        <v>46235</v>
      </c>
      <c r="C34" s="19" t="n">
        <f aca="false">SUMIFS($E$5:$E$22,$D$5:$D$22,A34)</f>
        <v>0</v>
      </c>
    </row>
    <row r="35" customFormat="false" ht="15" hidden="false" customHeight="false" outlineLevel="0" collapsed="false">
      <c r="A35" s="26" t="n">
        <v>9</v>
      </c>
      <c r="B35" s="27" t="n">
        <f aca="false">EDATE(Dashboard!$C$5,A35-1)</f>
        <v>46266</v>
      </c>
      <c r="C35" s="15" t="n">
        <f aca="false">SUMIFS($E$5:$E$22,$D$5:$D$22,A35)</f>
        <v>0</v>
      </c>
    </row>
    <row r="36" customFormat="false" ht="15" hidden="false" customHeight="false" outlineLevel="0" collapsed="false">
      <c r="A36" s="31" t="n">
        <v>10</v>
      </c>
      <c r="B36" s="32" t="n">
        <f aca="false">EDATE(Dashboard!$C$5,A36-1)</f>
        <v>46296</v>
      </c>
      <c r="C36" s="19" t="n">
        <f aca="false">SUMIFS($E$5:$E$22,$D$5:$D$22,A36)</f>
        <v>0</v>
      </c>
    </row>
    <row r="37" customFormat="false" ht="15" hidden="false" customHeight="false" outlineLevel="0" collapsed="false">
      <c r="A37" s="26" t="n">
        <v>11</v>
      </c>
      <c r="B37" s="27" t="n">
        <f aca="false">EDATE(Dashboard!$C$5,A37-1)</f>
        <v>46327</v>
      </c>
      <c r="C37" s="15" t="n">
        <f aca="false">SUMIFS($E$5:$E$22,$D$5:$D$22,A37)</f>
        <v>0</v>
      </c>
    </row>
    <row r="38" customFormat="false" ht="15" hidden="false" customHeight="false" outlineLevel="0" collapsed="false">
      <c r="A38" s="31" t="n">
        <v>12</v>
      </c>
      <c r="B38" s="32" t="n">
        <f aca="false">EDATE(Dashboard!$C$5,A38-1)</f>
        <v>46357</v>
      </c>
      <c r="C38" s="19" t="n">
        <f aca="false">SUMIFS($E$5:$E$22,$D$5:$D$22,A38)</f>
        <v>0</v>
      </c>
    </row>
    <row r="40" customFormat="false" ht="15" hidden="false" customHeight="false" outlineLevel="0" collapsed="false">
      <c r="A40" s="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5" min="5" style="0" width="14"/>
  </cols>
  <sheetData>
    <row r="1" customFormat="false" ht="21.75" hidden="false" customHeight="true" outlineLevel="0" collapsed="false">
      <c r="B1" s="3" t="s">
        <v>123</v>
      </c>
      <c r="E1" s="6" t="s">
        <v>41</v>
      </c>
    </row>
    <row r="3" customFormat="false" ht="15" hidden="false" customHeight="false" outlineLevel="0" collapsed="false">
      <c r="A3" s="25" t="s">
        <v>112</v>
      </c>
    </row>
    <row r="4" customFormat="false" ht="15" hidden="false" customHeight="false" outlineLevel="0" collapsed="false">
      <c r="A4" s="37" t="s">
        <v>61</v>
      </c>
      <c r="B4" s="37" t="s">
        <v>113</v>
      </c>
      <c r="C4" s="37" t="s">
        <v>62</v>
      </c>
      <c r="D4" s="37" t="s">
        <v>90</v>
      </c>
      <c r="E4" s="37" t="s">
        <v>114</v>
      </c>
    </row>
    <row r="5" customFormat="false" ht="15" hidden="false" customHeight="false" outlineLevel="0" collapsed="false">
      <c r="A5" s="13" t="n">
        <v>46042</v>
      </c>
      <c r="B5" s="12" t="s">
        <v>124</v>
      </c>
      <c r="C5" s="12" t="s">
        <v>125</v>
      </c>
      <c r="D5" s="12" t="n">
        <v>1</v>
      </c>
      <c r="E5" s="14" t="n">
        <v>480</v>
      </c>
    </row>
    <row r="6" customFormat="false" ht="15" hidden="false" customHeight="false" outlineLevel="0" collapsed="false">
      <c r="A6" s="17" t="n">
        <v>46042</v>
      </c>
      <c r="B6" s="16" t="s">
        <v>126</v>
      </c>
      <c r="C6" s="16" t="s">
        <v>127</v>
      </c>
      <c r="D6" s="16" t="n">
        <v>1</v>
      </c>
      <c r="E6" s="18" t="n">
        <v>610</v>
      </c>
    </row>
    <row r="7" customFormat="false" ht="15" hidden="false" customHeight="false" outlineLevel="0" collapsed="false">
      <c r="A7" s="13" t="n">
        <v>46091</v>
      </c>
      <c r="B7" s="12" t="s">
        <v>128</v>
      </c>
      <c r="C7" s="12" t="s">
        <v>129</v>
      </c>
      <c r="D7" s="12" t="n">
        <v>3</v>
      </c>
      <c r="E7" s="14" t="n">
        <v>1150</v>
      </c>
    </row>
    <row r="8" customFormat="false" ht="15" hidden="false" customHeight="false" outlineLevel="0" collapsed="false">
      <c r="A8" s="17"/>
      <c r="B8" s="16"/>
      <c r="C8" s="16"/>
      <c r="D8" s="16"/>
      <c r="E8" s="18"/>
    </row>
    <row r="9" customFormat="false" ht="15" hidden="false" customHeight="false" outlineLevel="0" collapsed="false">
      <c r="A9" s="13"/>
      <c r="B9" s="12"/>
      <c r="C9" s="12"/>
      <c r="D9" s="12"/>
      <c r="E9" s="14"/>
    </row>
    <row r="10" customFormat="false" ht="15" hidden="false" customHeight="false" outlineLevel="0" collapsed="false">
      <c r="A10" s="17"/>
      <c r="B10" s="16"/>
      <c r="C10" s="16"/>
      <c r="D10" s="16"/>
      <c r="E10" s="18"/>
    </row>
    <row r="11" customFormat="false" ht="15" hidden="false" customHeight="false" outlineLevel="0" collapsed="false">
      <c r="A11" s="13"/>
      <c r="B11" s="12"/>
      <c r="C11" s="12"/>
      <c r="D11" s="12"/>
      <c r="E11" s="14"/>
    </row>
    <row r="12" customFormat="false" ht="15" hidden="false" customHeight="false" outlineLevel="0" collapsed="false">
      <c r="A12" s="17"/>
      <c r="B12" s="16"/>
      <c r="C12" s="16"/>
      <c r="D12" s="16"/>
      <c r="E12" s="18"/>
    </row>
    <row r="13" customFormat="false" ht="15" hidden="false" customHeight="false" outlineLevel="0" collapsed="false">
      <c r="A13" s="13"/>
      <c r="B13" s="12"/>
      <c r="C13" s="12"/>
      <c r="D13" s="12"/>
      <c r="E13" s="14"/>
    </row>
    <row r="14" customFormat="false" ht="15" hidden="false" customHeight="false" outlineLevel="0" collapsed="false">
      <c r="A14" s="17"/>
      <c r="B14" s="16"/>
      <c r="C14" s="16"/>
      <c r="D14" s="16"/>
      <c r="E14" s="18"/>
    </row>
    <row r="15" customFormat="false" ht="15" hidden="false" customHeight="false" outlineLevel="0" collapsed="false">
      <c r="A15" s="13"/>
      <c r="B15" s="12"/>
      <c r="C15" s="12"/>
      <c r="D15" s="12"/>
      <c r="E15" s="14"/>
    </row>
    <row r="16" customFormat="false" ht="15" hidden="false" customHeight="false" outlineLevel="0" collapsed="false">
      <c r="A16" s="17"/>
      <c r="B16" s="16"/>
      <c r="C16" s="16"/>
      <c r="D16" s="16"/>
      <c r="E16" s="18"/>
    </row>
    <row r="17" customFormat="false" ht="15" hidden="false" customHeight="false" outlineLevel="0" collapsed="false">
      <c r="A17" s="13"/>
      <c r="B17" s="12"/>
      <c r="C17" s="12"/>
      <c r="D17" s="12"/>
      <c r="E17" s="14"/>
    </row>
    <row r="18" customFormat="false" ht="15" hidden="false" customHeight="false" outlineLevel="0" collapsed="false">
      <c r="A18" s="17"/>
      <c r="B18" s="16"/>
      <c r="C18" s="16"/>
      <c r="D18" s="16"/>
      <c r="E18" s="18"/>
    </row>
    <row r="19" customFormat="false" ht="15" hidden="false" customHeight="false" outlineLevel="0" collapsed="false">
      <c r="A19" s="13"/>
      <c r="B19" s="12"/>
      <c r="C19" s="12"/>
      <c r="D19" s="12"/>
      <c r="E19" s="14"/>
    </row>
    <row r="20" customFormat="false" ht="15" hidden="false" customHeight="false" outlineLevel="0" collapsed="false">
      <c r="A20" s="17"/>
      <c r="B20" s="16"/>
      <c r="C20" s="16"/>
      <c r="D20" s="16"/>
      <c r="E20" s="18"/>
    </row>
    <row r="21" customFormat="false" ht="15" hidden="false" customHeight="false" outlineLevel="0" collapsed="false">
      <c r="A21" s="13"/>
      <c r="B21" s="12"/>
      <c r="C21" s="12"/>
      <c r="D21" s="12"/>
      <c r="E21" s="14"/>
    </row>
    <row r="22" customFormat="false" ht="15" hidden="false" customHeight="false" outlineLevel="0" collapsed="false">
      <c r="A22" s="17"/>
      <c r="B22" s="16"/>
      <c r="C22" s="16"/>
      <c r="D22" s="16"/>
      <c r="E22" s="18"/>
    </row>
    <row r="23" customFormat="false" ht="15" hidden="false" customHeight="false" outlineLevel="0" collapsed="false">
      <c r="B23" s="5" t="s">
        <v>120</v>
      </c>
      <c r="E23" s="36" t="n">
        <f aca="false">SUM(E5:E22)</f>
        <v>2240</v>
      </c>
    </row>
    <row r="25" customFormat="false" ht="15" hidden="false" customHeight="false" outlineLevel="0" collapsed="false">
      <c r="A25" s="25" t="s">
        <v>121</v>
      </c>
    </row>
    <row r="26" customFormat="false" ht="15" hidden="false" customHeight="false" outlineLevel="0" collapsed="false">
      <c r="A26" s="37" t="s">
        <v>90</v>
      </c>
      <c r="B26" s="37" t="s">
        <v>91</v>
      </c>
      <c r="C26" s="37" t="s">
        <v>130</v>
      </c>
    </row>
    <row r="27" customFormat="false" ht="15" hidden="false" customHeight="false" outlineLevel="0" collapsed="false">
      <c r="A27" s="26" t="n">
        <v>1</v>
      </c>
      <c r="B27" s="27" t="n">
        <f aca="false">EDATE(Dashboard!$C$5,A27-1)</f>
        <v>46023</v>
      </c>
      <c r="C27" s="15" t="n">
        <f aca="false">SUMIFS($E$5:$E$22,$D$5:$D$22,A27)</f>
        <v>1090</v>
      </c>
    </row>
    <row r="28" customFormat="false" ht="15" hidden="false" customHeight="false" outlineLevel="0" collapsed="false">
      <c r="A28" s="31" t="n">
        <v>2</v>
      </c>
      <c r="B28" s="32" t="n">
        <f aca="false">EDATE(Dashboard!$C$5,A28-1)</f>
        <v>46054</v>
      </c>
      <c r="C28" s="19" t="n">
        <f aca="false">SUMIFS($E$5:$E$22,$D$5:$D$22,A28)</f>
        <v>0</v>
      </c>
    </row>
    <row r="29" customFormat="false" ht="15" hidden="false" customHeight="false" outlineLevel="0" collapsed="false">
      <c r="A29" s="26" t="n">
        <v>3</v>
      </c>
      <c r="B29" s="27" t="n">
        <f aca="false">EDATE(Dashboard!$C$5,A29-1)</f>
        <v>46082</v>
      </c>
      <c r="C29" s="15" t="n">
        <f aca="false">SUMIFS($E$5:$E$22,$D$5:$D$22,A29)</f>
        <v>1150</v>
      </c>
    </row>
    <row r="30" customFormat="false" ht="15" hidden="false" customHeight="false" outlineLevel="0" collapsed="false">
      <c r="A30" s="31" t="n">
        <v>4</v>
      </c>
      <c r="B30" s="32" t="n">
        <f aca="false">EDATE(Dashboard!$C$5,A30-1)</f>
        <v>46113</v>
      </c>
      <c r="C30" s="19" t="n">
        <f aca="false">SUMIFS($E$5:$E$22,$D$5:$D$22,A30)</f>
        <v>0</v>
      </c>
    </row>
    <row r="31" customFormat="false" ht="15" hidden="false" customHeight="false" outlineLevel="0" collapsed="false">
      <c r="A31" s="26" t="n">
        <v>5</v>
      </c>
      <c r="B31" s="27" t="n">
        <f aca="false">EDATE(Dashboard!$C$5,A31-1)</f>
        <v>46143</v>
      </c>
      <c r="C31" s="15" t="n">
        <f aca="false">SUMIFS($E$5:$E$22,$D$5:$D$22,A31)</f>
        <v>0</v>
      </c>
    </row>
    <row r="32" customFormat="false" ht="15" hidden="false" customHeight="false" outlineLevel="0" collapsed="false">
      <c r="A32" s="31" t="n">
        <v>6</v>
      </c>
      <c r="B32" s="32" t="n">
        <f aca="false">EDATE(Dashboard!$C$5,A32-1)</f>
        <v>46174</v>
      </c>
      <c r="C32" s="19" t="n">
        <f aca="false">SUMIFS($E$5:$E$22,$D$5:$D$22,A32)</f>
        <v>0</v>
      </c>
    </row>
    <row r="33" customFormat="false" ht="15" hidden="false" customHeight="false" outlineLevel="0" collapsed="false">
      <c r="A33" s="26" t="n">
        <v>7</v>
      </c>
      <c r="B33" s="27" t="n">
        <f aca="false">EDATE(Dashboard!$C$5,A33-1)</f>
        <v>46204</v>
      </c>
      <c r="C33" s="15" t="n">
        <f aca="false">SUMIFS($E$5:$E$22,$D$5:$D$22,A33)</f>
        <v>0</v>
      </c>
    </row>
    <row r="34" customFormat="false" ht="15" hidden="false" customHeight="false" outlineLevel="0" collapsed="false">
      <c r="A34" s="31" t="n">
        <v>8</v>
      </c>
      <c r="B34" s="32" t="n">
        <f aca="false">EDATE(Dashboard!$C$5,A34-1)</f>
        <v>46235</v>
      </c>
      <c r="C34" s="19" t="n">
        <f aca="false">SUMIFS($E$5:$E$22,$D$5:$D$22,A34)</f>
        <v>0</v>
      </c>
    </row>
    <row r="35" customFormat="false" ht="15" hidden="false" customHeight="false" outlineLevel="0" collapsed="false">
      <c r="A35" s="26" t="n">
        <v>9</v>
      </c>
      <c r="B35" s="27" t="n">
        <f aca="false">EDATE(Dashboard!$C$5,A35-1)</f>
        <v>46266</v>
      </c>
      <c r="C35" s="15" t="n">
        <f aca="false">SUMIFS($E$5:$E$22,$D$5:$D$22,A35)</f>
        <v>0</v>
      </c>
    </row>
    <row r="36" customFormat="false" ht="15" hidden="false" customHeight="false" outlineLevel="0" collapsed="false">
      <c r="A36" s="31" t="n">
        <v>10</v>
      </c>
      <c r="B36" s="32" t="n">
        <f aca="false">EDATE(Dashboard!$C$5,A36-1)</f>
        <v>46296</v>
      </c>
      <c r="C36" s="19" t="n">
        <f aca="false">SUMIFS($E$5:$E$22,$D$5:$D$22,A36)</f>
        <v>0</v>
      </c>
    </row>
    <row r="37" customFormat="false" ht="15" hidden="false" customHeight="false" outlineLevel="0" collapsed="false">
      <c r="A37" s="26" t="n">
        <v>11</v>
      </c>
      <c r="B37" s="27" t="n">
        <f aca="false">EDATE(Dashboard!$C$5,A37-1)</f>
        <v>46327</v>
      </c>
      <c r="C37" s="15" t="n">
        <f aca="false">SUMIFS($E$5:$E$22,$D$5:$D$22,A37)</f>
        <v>0</v>
      </c>
    </row>
    <row r="38" customFormat="false" ht="15" hidden="false" customHeight="false" outlineLevel="0" collapsed="false">
      <c r="A38" s="31" t="n">
        <v>12</v>
      </c>
      <c r="B38" s="32" t="n">
        <f aca="false">EDATE(Dashboard!$C$5,A38-1)</f>
        <v>46357</v>
      </c>
      <c r="C38" s="19" t="n">
        <f aca="false">SUMIFS($E$5:$E$22,$D$5:$D$22,A38)</f>
        <v>0</v>
      </c>
    </row>
    <row r="40" customFormat="false" ht="15" hidden="false" customHeight="false" outlineLevel="0" collapsed="false">
      <c r="A40" s="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2026-08-12T09:22:12Z</dcterms:created>
  <dc:creator>openpyxl</dc:creator>
  <dc:description/>
  <dc:language>en-US</dc:language>
  <cp:lastModifiedBy/>
  <dcterms:modified xsi:type="dcterms:W3CDTF">2026-08-12T09:22:13Z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