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tes" sheetId="2" state="visible" r:id="rId4"/>
    <sheet name="FundingMods" sheetId="3" state="visible" r:id="rId5"/>
    <sheet name="Dashboard" sheetId="4" state="visible" r:id="rId6"/>
    <sheet name="Personnel" sheetId="5" state="visible" r:id="rId7"/>
    <sheet name="Labor" sheetId="6" state="visible" r:id="rId8"/>
    <sheet name="ODCs" sheetId="7" state="visible" r:id="rId9"/>
    <sheet name="Trave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<sst xmlns="http://schemas.openxmlformats.org/spreadsheetml/2006/main" count="220" uniqueCount="185">
  <si>
    <t xml:space="preserve">Acqlerate</t>
  </si>
  <si>
    <t xml:space="preserve">DoD Acquisition Training  ·  acqlerate.com</t>
  </si>
  <si>
    <t xml:space="preserve">Cost &amp; Burn Rate Tracker — How to Use This</t>
  </si>
  <si>
    <t xml:space="preserve">What this is:</t>
  </si>
  <si>
    <t xml:space="preserve">A working cost model for a contractor PM: enter your negotiated rates once, log labor, ODCs, and</t>
  </si>
  <si>
    <t xml:space="preserve">travel as they happen, and the Dashboard tab builds up your fully burdened cost, applies G&amp;A and fee,</t>
  </si>
  <si>
    <t xml:space="preserve">and tracks it against your funded ceiling month by month — the same buildup your finance team runs,</t>
  </si>
  <si>
    <t xml:space="preserve">just visible to you instead of buried in a system you don't have access to.</t>
  </si>
  <si>
    <t xml:space="preserve">Tab order — fill these in first, in this order:</t>
  </si>
  <si>
    <t xml:space="preserve">1. Rates — your negotiated Fringe, Overhead, G&amp;A, and Fee rates. Everything else depends on these.</t>
  </si>
  <si>
    <t xml:space="preserve">2. FundingMods — log your original award and every funding modification since. This is what sets</t>
  </si>
  <si>
    <t xml:space="preserve">   your current TOA (Total Obligated Amount) — it is NOT a single static number anymore, it's the</t>
  </si>
  <si>
    <t xml:space="preserve">   running total of your funding log, which is how it actually works on a real contract.</t>
  </si>
  <si>
    <t xml:space="preserve">3. Dashboard — enter Program Name, Contract #, and Period of Performance dates near the top.</t>
  </si>
  <si>
    <t xml:space="preserve">4. Personnel — one row per person on the program: Employee #, name, LCAT, Exempt or Non-Exempt,</t>
  </si>
  <si>
    <t xml:space="preserve">   salary (exempt) or hourly rate (non-exempt), standard annual hours (2080 is the usual default),</t>
  </si>
  <si>
    <t xml:space="preserve">   start/end date, and PTO accrual rate. This is the roster the Labor tab looks people up from —</t>
  </si>
  <si>
    <t xml:space="preserve">   set it up before you start logging hours.</t>
  </si>
  <si>
    <t xml:space="preserve">Then, log costs as they happen:</t>
  </si>
  <si>
    <t xml:space="preserve">5. Labor — one row per person, per month. Type the Employee # and the Month #; name, LCAT, and</t>
  </si>
  <si>
    <t xml:space="preserve">   both hourly rates fill in automatically from Personnel. You only type Regular Hours, OT Hours</t>
  </si>
  <si>
    <t xml:space="preserve">   (non-exempt only), and PTO Hours. Fringe, OH, and Fully Burdened $ calculate automatically.</t>
  </si>
  <si>
    <t xml:space="preserve">   Permissible Hours prorates each person's standard capacity for the month — full for a normal</t>
  </si>
  <si>
    <t xml:space="preserve">   month, partial if they started or left mid-month — so Hours Variance shows over/under at a</t>
  </si>
  <si>
    <t xml:space="preserve">   glance. OT pays at 1.5x straight time and only applies to Non-Exempt people. PTO Balance on the</t>
  </si>
  <si>
    <t xml:space="preserve">   Personnel tab updates automatically as you log PTO Hours here.</t>
  </si>
  <si>
    <t xml:space="preserve">6. ODCs — log each purchase as a line item (date, category, description, month #, amount). The</t>
  </si>
  <si>
    <t xml:space="preserve">   Monthly Rollup section at the bottom totals them automatically by month.</t>
  </si>
  <si>
    <t xml:space="preserve">7. Travel — same idea as ODCs: log each trip/expense as a line item, it rolls up by month.</t>
  </si>
  <si>
    <t xml:space="preserve">The Dashboard tab does the rest automatically:</t>
  </si>
  <si>
    <t xml:space="preserve">Labor + ODCs + Travel → Subtotal → + G&amp;A → Total Cost → + Fee → Total Billed for the month. That</t>
  </si>
  <si>
    <t xml:space="preserve">rolls into cumulative spend, variance against your straight-line plan, a 3-month rolling burn rate,</t>
  </si>
  <si>
    <t xml:space="preserve">a projected fund-exhaustion date, and a plain-language status flag.</t>
  </si>
  <si>
    <t xml:space="preserve">One thing to know about "Planned Cumulative $":</t>
  </si>
  <si>
    <t xml:space="preserve">It's a simple straight-line split of your TOA across the months in your period (TOA ÷ months). It</t>
  </si>
  <si>
    <t xml:space="preserve">does NOT itself apply your rates. So if your spend is more labor-heavy some months and more ODC/</t>
  </si>
  <si>
    <t xml:space="preserve">travel-heavy in others, or your burdened rate is high, your actual Total Billed will naturally run</t>
  </si>
  <si>
    <t xml:space="preserve">above or below that flat line even when you're executing exactly to your real program plan. Use the</t>
  </si>
  <si>
    <t xml:space="preserve">variance and burn rate as a trend to watch, not a hard pass/fail on any single month.</t>
  </si>
  <si>
    <t xml:space="preserve">Color legend:</t>
  </si>
  <si>
    <t xml:space="preserve">  Blue text   = your inputs. Edit these.</t>
  </si>
  <si>
    <t xml:space="preserve">  Green text  = formulas that pull from another tab.</t>
  </si>
  <si>
    <t xml:space="preserve">  Black text  = formulas within the same tab. Don't overwrite these.</t>
  </si>
  <si>
    <t xml:space="preserve">  Yellow fill = key assumptions that drive the whole workbook (rates, TOA inputs).</t>
  </si>
  <si>
    <t xml:space="preserve">A note on Permissible Hours and PTO:</t>
  </si>
  <si>
    <t xml:space="preserve">Permissible Hours is a simple day-in-month proration of a person's standard annual hours ÷ 12 —</t>
  </si>
  <si>
    <t xml:space="preserve">it's an approximation for spotting under/over-recorded time at a glance, not a payroll-grade</t>
  </si>
  <si>
    <t xml:space="preserve">calendar. PTO Accrued YTD is just accrual rate × months with logged hours; it doesn't model accrual</t>
  </si>
  <si>
    <t xml:space="preserve">caps, waiting periods, or your company's specific PTO policy. Treat both as early-warning signals —</t>
  </si>
  <si>
    <t xml:space="preserve">your actual timekeeping and HR systems are always the system of record.</t>
  </si>
  <si>
    <t xml:space="preserve">This is a planning and early-warning tool, not your official cost report.</t>
  </si>
  <si>
    <t xml:space="preserve">It doesn't replace your contract's EVM reporting, your cost analyst's numbers, or a certified</t>
  </si>
  <si>
    <t xml:space="preserve">Incurred Cost Submission. Reconcile it against your actual accounting system — this is only as</t>
  </si>
  <si>
    <t xml:space="preserve">accurate as what you type in. And double-check your fee base and G&amp;A base against your own</t>
  </si>
  <si>
    <t xml:space="preserve">company's DCAA-approved rate structure — the defaults here are common conventions, not universal ones.</t>
  </si>
  <si>
    <t xml:space="preserve">Negotiated Rates</t>
  </si>
  <si>
    <t xml:space="preserve">Acqlerate  ·  acqlerate.com</t>
  </si>
  <si>
    <t xml:space="preserve">Fringe Rate (%)</t>
  </si>
  <si>
    <t xml:space="preserve">Applied to Direct Labor. Covers benefits (health, retirement, PTO).</t>
  </si>
  <si>
    <t xml:space="preserve">Overhead (OH) Rate (%)</t>
  </si>
  <si>
    <t xml:space="preserve">Applied to (Direct Labor + Fringe). Covers indirect labor, facilities, and fringe on indirect staff. Base varies by company — check your DCAA-approved rate agreement.</t>
  </si>
  <si>
    <t xml:space="preserve">G&amp;A Rate (%)</t>
  </si>
  <si>
    <t xml:space="preserve">Applied to Total Cost Input (fully burdened labor + ODCs + Travel). Covers company-wide G&amp;A: executive, finance, HR, business development.</t>
  </si>
  <si>
    <t xml:space="preserve">Fee Type in Use</t>
  </si>
  <si>
    <t xml:space="preserve">Fixed</t>
  </si>
  <si>
    <t xml:space="preserve">Type exactly "Fixed" or "Award" (case-sensitive) to switch which fee rate below is used.</t>
  </si>
  <si>
    <t xml:space="preserve">Fixed Fee Rate (%)</t>
  </si>
  <si>
    <t xml:space="preserve">Used if Fee Type = "Fixed". A flat % of Total Cost that doesn't vary with performance (CPFF).</t>
  </si>
  <si>
    <t xml:space="preserve">Target Award Fee Rate (%)</t>
  </si>
  <si>
    <t xml:space="preserve">Used if Fee Type = "Award". This is the MAX pool rate — actual earned fee depends on your award fee score (see the CPAF lesson). This tracker assumes 100% earned for planning; adjust down if you have a current-period score.</t>
  </si>
  <si>
    <t xml:space="preserve">Applicable Fee Rate (auto)</t>
  </si>
  <si>
    <t xml:space="preserve">Picked automatically from the Fee Type cell above. This is what the Dashboard tab actually uses.</t>
  </si>
  <si>
    <t xml:space="preserve">Fee base note:</t>
  </si>
  <si>
    <t xml:space="preserve">This tracker applies fee to Total Cost (burdened labor + ODCs + Travel + G&amp;A). Some contracts exclude ODCs, travel, or facilities capital cost of money from the fee base — check your specific contract's fee clause (FAR 52.216 series) before relying on this for real billing.</t>
  </si>
  <si>
    <t xml:space="preserve">Funding Modification Log</t>
  </si>
  <si>
    <t xml:space="preserve">Mod #</t>
  </si>
  <si>
    <t xml:space="preserve">Date</t>
  </si>
  <si>
    <t xml:space="preserve">Description</t>
  </si>
  <si>
    <t xml:space="preserve">Funding Added / (Removed) $</t>
  </si>
  <si>
    <t xml:space="preserve">Cumulative TOA $</t>
  </si>
  <si>
    <t xml:space="preserve">P00000 (Award)</t>
  </si>
  <si>
    <t xml:space="preserve">Original award — base period</t>
  </si>
  <si>
    <t xml:space="preserve">P00001</t>
  </si>
  <si>
    <t xml:space="preserve">Incremental funding — added scope</t>
  </si>
  <si>
    <t xml:space="preserve">Current TOA (auto)</t>
  </si>
  <si>
    <t xml:space="preserve">The cumulative total as of the last modification entered above.</t>
  </si>
  <si>
    <t xml:space="preserve">Acqlerate  ·  DoD Acquisition Training  ·  acqlerate.com</t>
  </si>
  <si>
    <t xml:space="preserve">Cost &amp; Burn Rate Dashboard</t>
  </si>
  <si>
    <t xml:space="preserve">Program / Contract Name</t>
  </si>
  <si>
    <t xml:space="preserve">Example: Fleet Sustainment Support Services</t>
  </si>
  <si>
    <t xml:space="preserve">Contract / Task Order #</t>
  </si>
  <si>
    <t xml:space="preserve">N00019-25-F-0142</t>
  </si>
  <si>
    <t xml:space="preserve">Period of Performance — Start</t>
  </si>
  <si>
    <t xml:space="preserve">Period of Performance — End</t>
  </si>
  <si>
    <t xml:space="preserve">Months in Period</t>
  </si>
  <si>
    <t xml:space="preserve">Current TOA (from FundingMods tab)</t>
  </si>
  <si>
    <t xml:space="preserve">Straight-Line Monthly Plan</t>
  </si>
  <si>
    <t xml:space="preserve">SUMMARY</t>
  </si>
  <si>
    <t xml:space="preserve">Months of Actuals Entered</t>
  </si>
  <si>
    <t xml:space="preserve">Spent to Date</t>
  </si>
  <si>
    <t xml:space="preserve">Remaining Funds</t>
  </si>
  <si>
    <t xml:space="preserve">% of TOA Spent</t>
  </si>
  <si>
    <t xml:space="preserve">Current Monthly Burn Rate (3-mo avg)</t>
  </si>
  <si>
    <t xml:space="preserve">Projected Months to Exhaustion</t>
  </si>
  <si>
    <t xml:space="preserve">Status</t>
  </si>
  <si>
    <t xml:space="preserve">Month #</t>
  </si>
  <si>
    <t xml:space="preserve">Month</t>
  </si>
  <si>
    <t xml:space="preserve">Planned
Cumulative $</t>
  </si>
  <si>
    <t xml:space="preserve">Labor $</t>
  </si>
  <si>
    <t xml:space="preserve">ODCs $</t>
  </si>
  <si>
    <t xml:space="preserve">Travel $</t>
  </si>
  <si>
    <t xml:space="preserve">Subtotal
(L+O+T)</t>
  </si>
  <si>
    <t xml:space="preserve">G&amp;A $</t>
  </si>
  <si>
    <t xml:space="preserve">Total
Cost</t>
  </si>
  <si>
    <t xml:space="preserve">Fee $</t>
  </si>
  <si>
    <t xml:space="preserve">Total Billed
(This Month)</t>
  </si>
  <si>
    <t xml:space="preserve">Actual
Cumulative $</t>
  </si>
  <si>
    <t xml:space="preserve">Variance $</t>
  </si>
  <si>
    <t xml:space="preserve">Variance %</t>
  </si>
  <si>
    <t xml:space="preserve">Remaining
Funds $</t>
  </si>
  <si>
    <t xml:space="preserve">Personnel</t>
  </si>
  <si>
    <t xml:space="preserve">One row per person. Enter Employee Type as exactly "Exempt" (salaried) or "Non-Exempt" (hourly, OT-eligible).</t>
  </si>
  <si>
    <t xml:space="preserve">Employee #</t>
  </si>
  <si>
    <t xml:space="preserve">Employee Name</t>
  </si>
  <si>
    <t xml:space="preserve">LCAT</t>
  </si>
  <si>
    <t xml:space="preserve">Employee Type</t>
  </si>
  <si>
    <t xml:space="preserve">Annual Salary
(Exempt only)</t>
  </si>
  <si>
    <t xml:space="preserve">Direct Hourly Rate
(Non-Exempt only)</t>
  </si>
  <si>
    <t xml:space="preserve">Standard
Annual Hours</t>
  </si>
  <si>
    <t xml:space="preserve">Straight-Time
Rate $/hr</t>
  </si>
  <si>
    <t xml:space="preserve">OT Rate
$/hr (1.5x)</t>
  </si>
  <si>
    <t xml:space="preserve">Start Date</t>
  </si>
  <si>
    <t xml:space="preserve">End Date
(optional)</t>
  </si>
  <si>
    <t xml:space="preserve">PTO Accrual
(hrs/mo)</t>
  </si>
  <si>
    <t xml:space="preserve">PTO Beginning
Balance (hrs)</t>
  </si>
  <si>
    <t xml:space="preserve">Months
Worked YTD</t>
  </si>
  <si>
    <t xml:space="preserve">PTO Accrued
YTD</t>
  </si>
  <si>
    <t xml:space="preserve">PTO Used
YTD</t>
  </si>
  <si>
    <t xml:space="preserve">PTO Balance
(hrs)</t>
  </si>
  <si>
    <t xml:space="preserve">John Smith</t>
  </si>
  <si>
    <t xml:space="preserve">Engineer 4</t>
  </si>
  <si>
    <t xml:space="preserve">Exempt</t>
  </si>
  <si>
    <t xml:space="preserve">Maria Alvarez</t>
  </si>
  <si>
    <t xml:space="preserve">Program Manager</t>
  </si>
  <si>
    <t xml:space="preserve">Dave Chen</t>
  </si>
  <si>
    <t xml:space="preserve">Admin Support</t>
  </si>
  <si>
    <t xml:space="preserve">Non-Exempt</t>
  </si>
  <si>
    <t xml:space="preserve">Labor</t>
  </si>
  <si>
    <t xml:space="preserve">Itemized Timesheet Log — one row per person, per month worked</t>
  </si>
  <si>
    <t xml:space="preserve">Employee
Name</t>
  </si>
  <si>
    <t xml:space="preserve">Regular
Hours</t>
  </si>
  <si>
    <t xml:space="preserve">OT
Hours</t>
  </si>
  <si>
    <t xml:space="preserve">PTO
Hours</t>
  </si>
  <si>
    <t xml:space="preserve">Permissible
Hours</t>
  </si>
  <si>
    <t xml:space="preserve">Hours
Variance</t>
  </si>
  <si>
    <t xml:space="preserve">Straight
Rate $/hr</t>
  </si>
  <si>
    <t xml:space="preserve">OT Rate
$/hr</t>
  </si>
  <si>
    <t xml:space="preserve">Regular $</t>
  </si>
  <si>
    <t xml:space="preserve">OT $</t>
  </si>
  <si>
    <t xml:space="preserve">PTO $</t>
  </si>
  <si>
    <t xml:space="preserve">Direct
Labor $</t>
  </si>
  <si>
    <t xml:space="preserve">Fringe $</t>
  </si>
  <si>
    <t xml:space="preserve">OH $</t>
  </si>
  <si>
    <t xml:space="preserve">Fully Burdened
Labor $</t>
  </si>
  <si>
    <t xml:space="preserve">Monthly Rollup (auto)</t>
  </si>
  <si>
    <t xml:space="preserve">Total Fully Burdened Labor $</t>
  </si>
  <si>
    <t xml:space="preserve">ODCs</t>
  </si>
  <si>
    <t xml:space="preserve">Itemized Log</t>
  </si>
  <si>
    <t xml:space="preserve">Category</t>
  </si>
  <si>
    <t xml:space="preserve">Amount $</t>
  </si>
  <si>
    <t xml:space="preserve">Materials</t>
  </si>
  <si>
    <t xml:space="preserve">Replacement network switches (5)</t>
  </si>
  <si>
    <t xml:space="preserve">Equipment</t>
  </si>
  <si>
    <t xml:space="preserve">Test bench calibration</t>
  </si>
  <si>
    <t xml:space="preserve">Spare parts kit</t>
  </si>
  <si>
    <t xml:space="preserve">LOG TOTAL</t>
  </si>
  <si>
    <t xml:space="preserve">Total ODCs $</t>
  </si>
  <si>
    <t xml:space="preserve">Travel</t>
  </si>
  <si>
    <t xml:space="preserve">Airfare</t>
  </si>
  <si>
    <t xml:space="preserve">PM — kickoff meeting, NAS Norfolk</t>
  </si>
  <si>
    <t xml:space="preserve">Lodging</t>
  </si>
  <si>
    <t xml:space="preserve">PM — kickoff meeting, 3 nights</t>
  </si>
  <si>
    <t xml:space="preserve">Airfare + Per Diem</t>
  </si>
  <si>
    <t xml:space="preserve">Lead Engineer — site visit</t>
  </si>
  <si>
    <t xml:space="preserve">Total Travel $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</si>
</sst>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mm/dd/yyyy"/>
    <numFmt numFmtId="167" formatCode="\$#,##0"/>
    <numFmt numFmtId="168" formatCode="mmm\-yy"/>
    <numFmt numFmtId="169" formatCode="\$#,##0;&quot;($&quot;#,##0\);\-"/>
    <numFmt numFmtId="170" formatCode="\$#,##0.00"/>
    <numFmt numFmtId="171" formatCode="0.0"/>
    <numFmt numFmtId="172" formatCode="0.0;[RED]\-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1696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5"/>
      <color rgb="FF0F172A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380520</xdr:colOff>
      <xdr:row>1</xdr:row>
      <xdr:rowOff>104400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380520" cy="380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247320</xdr:colOff>
      <xdr:row>0</xdr:row>
      <xdr:rowOff>247320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247320" cy="247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247320</xdr:colOff>
      <xdr:row>0</xdr:row>
      <xdr:rowOff>247320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247320" cy="247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247320</xdr:colOff>
      <xdr:row>0</xdr:row>
      <xdr:rowOff>247320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247320" cy="247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247320</xdr:colOff>
      <xdr:row>0</xdr:row>
      <xdr:rowOff>247320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0"/>
          <a:ext cx="247320" cy="247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247320</xdr:colOff>
      <xdr:row>0</xdr:row>
      <xdr:rowOff>247320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0"/>
          <a:ext cx="247320" cy="247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247320</xdr:colOff>
      <xdr:row>0</xdr:row>
      <xdr:rowOff>247320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0" y="0"/>
          <a:ext cx="247320" cy="247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247320</xdr:colOff>
      <xdr:row>0</xdr:row>
      <xdr:rowOff>247320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0" y="0"/>
          <a:ext cx="247320" cy="247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B1" s="1" t="s">
        <v>0</v>
      </c>
    </row>
    <row r="2" customFormat="false" ht="15.75" hidden="false" customHeight="true" outlineLevel="0" collapsed="false">
      <c r="B2" s="2" t="s">
        <v>1</v>
      </c>
    </row>
    <row r="4" customFormat="false" ht="18.5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/>
    </row>
    <row r="6" customFormat="false" ht="15" hidden="false" customHeight="false" outlineLevel="0" collapsed="false">
      <c r="A6" s="5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8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18</v>
      </c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4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4" t="s">
        <v>22</v>
      </c>
    </row>
    <row r="28" customFormat="false" ht="15" hidden="false" customHeight="false" outlineLevel="0" collapsed="false">
      <c r="A28" s="4" t="s">
        <v>23</v>
      </c>
    </row>
    <row r="29" customFormat="false" ht="15" hidden="false" customHeight="false" outlineLevel="0" collapsed="false">
      <c r="A29" s="4" t="s">
        <v>24</v>
      </c>
    </row>
    <row r="30" customFormat="false" ht="15" hidden="false" customHeight="false" outlineLevel="0" collapsed="false">
      <c r="A30" s="4" t="s">
        <v>25</v>
      </c>
    </row>
    <row r="31" customFormat="false" ht="15" hidden="false" customHeight="false" outlineLevel="0" collapsed="false">
      <c r="A31" s="4" t="s">
        <v>26</v>
      </c>
    </row>
    <row r="32" customFormat="false" ht="15" hidden="false" customHeight="false" outlineLevel="0" collapsed="false">
      <c r="A32" s="4" t="s">
        <v>27</v>
      </c>
    </row>
    <row r="33" customFormat="false" ht="15" hidden="false" customHeight="false" outlineLevel="0" collapsed="false">
      <c r="A33" s="4" t="s">
        <v>28</v>
      </c>
    </row>
    <row r="34" customFormat="false" ht="15" hidden="false" customHeight="false" outlineLevel="0" collapsed="false">
      <c r="A34" s="4"/>
    </row>
    <row r="35" customFormat="false" ht="15" hidden="false" customHeight="false" outlineLevel="0" collapsed="false">
      <c r="A35" s="5" t="s">
        <v>29</v>
      </c>
    </row>
    <row r="36" customFormat="false" ht="15" hidden="false" customHeight="false" outlineLevel="0" collapsed="false">
      <c r="A36" s="4" t="s">
        <v>30</v>
      </c>
    </row>
    <row r="37" customFormat="false" ht="15" hidden="false" customHeight="false" outlineLevel="0" collapsed="false">
      <c r="A37" s="4" t="s">
        <v>31</v>
      </c>
    </row>
    <row r="38" customFormat="false" ht="15" hidden="false" customHeight="false" outlineLevel="0" collapsed="false">
      <c r="A38" s="4" t="s">
        <v>32</v>
      </c>
    </row>
    <row r="39" customFormat="false" ht="15" hidden="false" customHeight="false" outlineLevel="0" collapsed="false">
      <c r="A39" s="4"/>
    </row>
    <row r="40" customFormat="false" ht="15" hidden="false" customHeight="false" outlineLevel="0" collapsed="false">
      <c r="A40" s="5" t="s">
        <v>33</v>
      </c>
    </row>
    <row r="41" customFormat="false" ht="15" hidden="false" customHeight="false" outlineLevel="0" collapsed="false">
      <c r="A41" s="4" t="s">
        <v>34</v>
      </c>
    </row>
    <row r="42" customFormat="false" ht="15" hidden="false" customHeight="false" outlineLevel="0" collapsed="false">
      <c r="A42" s="4" t="s">
        <v>35</v>
      </c>
    </row>
    <row r="43" customFormat="false" ht="15" hidden="false" customHeight="false" outlineLevel="0" collapsed="false">
      <c r="A43" s="4" t="s">
        <v>36</v>
      </c>
    </row>
    <row r="44" customFormat="false" ht="15" hidden="false" customHeight="false" outlineLevel="0" collapsed="false">
      <c r="A44" s="4" t="s">
        <v>37</v>
      </c>
    </row>
    <row r="45" customFormat="false" ht="15" hidden="false" customHeight="false" outlineLevel="0" collapsed="false">
      <c r="A45" s="4" t="s">
        <v>38</v>
      </c>
    </row>
    <row r="46" customFormat="false" ht="15" hidden="false" customHeight="false" outlineLevel="0" collapsed="false">
      <c r="A46" s="4"/>
    </row>
    <row r="47" customFormat="false" ht="15" hidden="false" customHeight="false" outlineLevel="0" collapsed="false">
      <c r="A47" s="5" t="s">
        <v>39</v>
      </c>
    </row>
    <row r="48" customFormat="false" ht="15" hidden="false" customHeight="false" outlineLevel="0" collapsed="false">
      <c r="A48" s="4" t="s">
        <v>40</v>
      </c>
    </row>
    <row r="49" customFormat="false" ht="15" hidden="false" customHeight="false" outlineLevel="0" collapsed="false">
      <c r="A49" s="4" t="s">
        <v>41</v>
      </c>
    </row>
    <row r="50" customFormat="false" ht="15" hidden="false" customHeight="false" outlineLevel="0" collapsed="false">
      <c r="A50" s="4" t="s">
        <v>42</v>
      </c>
    </row>
    <row r="51" customFormat="false" ht="15" hidden="false" customHeight="false" outlineLevel="0" collapsed="false">
      <c r="A51" s="4" t="s">
        <v>43</v>
      </c>
    </row>
    <row r="52" customFormat="false" ht="15" hidden="false" customHeight="false" outlineLevel="0" collapsed="false">
      <c r="A52" s="4"/>
    </row>
    <row r="53" customFormat="false" ht="15" hidden="false" customHeight="false" outlineLevel="0" collapsed="false">
      <c r="A53" s="5" t="s">
        <v>44</v>
      </c>
    </row>
    <row r="54" customFormat="false" ht="15" hidden="false" customHeight="false" outlineLevel="0" collapsed="false">
      <c r="A54" s="4" t="s">
        <v>45</v>
      </c>
    </row>
    <row r="55" customFormat="false" ht="15" hidden="false" customHeight="false" outlineLevel="0" collapsed="false">
      <c r="A55" s="4" t="s">
        <v>46</v>
      </c>
    </row>
    <row r="56" customFormat="false" ht="15" hidden="false" customHeight="false" outlineLevel="0" collapsed="false">
      <c r="A56" s="4" t="s">
        <v>47</v>
      </c>
    </row>
    <row r="57" customFormat="false" ht="15" hidden="false" customHeight="false" outlineLevel="0" collapsed="false">
      <c r="A57" s="4" t="s">
        <v>48</v>
      </c>
    </row>
    <row r="58" customFormat="false" ht="15" hidden="false" customHeight="false" outlineLevel="0" collapsed="false">
      <c r="A58" s="4" t="s">
        <v>49</v>
      </c>
    </row>
    <row r="59" customFormat="false" ht="15" hidden="false" customHeight="false" outlineLevel="0" collapsed="false">
      <c r="A59" s="4"/>
    </row>
    <row r="60" customFormat="false" ht="15" hidden="false" customHeight="false" outlineLevel="0" collapsed="false">
      <c r="A60" s="5" t="s">
        <v>50</v>
      </c>
    </row>
    <row r="61" customFormat="false" ht="15" hidden="false" customHeight="false" outlineLevel="0" collapsed="false">
      <c r="A61" s="4" t="s">
        <v>51</v>
      </c>
    </row>
    <row r="62" customFormat="false" ht="15" hidden="false" customHeight="false" outlineLevel="0" collapsed="false">
      <c r="A62" s="4" t="s">
        <v>52</v>
      </c>
    </row>
    <row r="63" customFormat="false" ht="15" hidden="false" customHeight="false" outlineLevel="0" collapsed="false">
      <c r="A63" s="4" t="s">
        <v>53</v>
      </c>
    </row>
    <row r="64" customFormat="false" ht="15" hidden="false" customHeight="false" outlineLevel="0" collapsed="false">
      <c r="A64" s="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75"/>
  </cols>
  <sheetData>
    <row r="1" customFormat="false" ht="21.75" hidden="false" customHeight="true" outlineLevel="0" collapsed="false">
      <c r="B1" s="3" t="s">
        <v>55</v>
      </c>
      <c r="C1" s="6" t="s">
        <v>56</v>
      </c>
    </row>
    <row r="3" customFormat="false" ht="30" hidden="false" customHeight="true" outlineLevel="0" collapsed="false">
      <c r="A3" s="5" t="s">
        <v>57</v>
      </c>
      <c r="B3" s="7" t="n">
        <v>0.35</v>
      </c>
      <c r="C3" s="8" t="s">
        <v>58</v>
      </c>
    </row>
    <row r="4" customFormat="false" ht="30" hidden="false" customHeight="true" outlineLevel="0" collapsed="false">
      <c r="A4" s="5" t="s">
        <v>59</v>
      </c>
      <c r="B4" s="7" t="n">
        <v>0.55</v>
      </c>
      <c r="C4" s="8" t="s">
        <v>60</v>
      </c>
    </row>
    <row r="5" customFormat="false" ht="30" hidden="false" customHeight="true" outlineLevel="0" collapsed="false">
      <c r="A5" s="5" t="s">
        <v>61</v>
      </c>
      <c r="B5" s="7" t="n">
        <v>0.12</v>
      </c>
      <c r="C5" s="8" t="s">
        <v>62</v>
      </c>
    </row>
    <row r="7" customFormat="false" ht="30" hidden="false" customHeight="true" outlineLevel="0" collapsed="false">
      <c r="A7" s="5" t="s">
        <v>63</v>
      </c>
      <c r="B7" s="9" t="s">
        <v>64</v>
      </c>
      <c r="C7" s="8" t="s">
        <v>65</v>
      </c>
    </row>
    <row r="8" customFormat="false" ht="30" hidden="false" customHeight="true" outlineLevel="0" collapsed="false">
      <c r="A8" s="5" t="s">
        <v>66</v>
      </c>
      <c r="B8" s="7" t="n">
        <v>0.07</v>
      </c>
      <c r="C8" s="8" t="s">
        <v>67</v>
      </c>
    </row>
    <row r="9" customFormat="false" ht="30" hidden="false" customHeight="true" outlineLevel="0" collapsed="false">
      <c r="A9" s="5" t="s">
        <v>68</v>
      </c>
      <c r="B9" s="7" t="n">
        <v>0.1</v>
      </c>
      <c r="C9" s="8" t="s">
        <v>69</v>
      </c>
    </row>
    <row r="11" customFormat="false" ht="19.5" hidden="false" customHeight="true" outlineLevel="0" collapsed="false">
      <c r="A11" s="5" t="s">
        <v>70</v>
      </c>
      <c r="B11" s="10" t="n">
        <f aca="false">IF(B7="Fixed",B8,IF(B7="Award",B9,NA()))</f>
        <v>0.07</v>
      </c>
      <c r="C11" s="2" t="s">
        <v>71</v>
      </c>
    </row>
    <row r="13" customFormat="false" ht="39.75" hidden="false" customHeight="true" outlineLevel="0" collapsed="false">
      <c r="A13" s="5" t="s">
        <v>72</v>
      </c>
      <c r="C13" s="8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5" min="4" style="0" width="20"/>
  </cols>
  <sheetData>
    <row r="1" customFormat="false" ht="21.75" hidden="false" customHeight="true" outlineLevel="0" collapsed="false">
      <c r="B1" s="3" t="s">
        <v>74</v>
      </c>
      <c r="E1" s="6" t="s">
        <v>56</v>
      </c>
    </row>
    <row r="3" customFormat="false" ht="30" hidden="false" customHeight="true" outlineLevel="0" collapsed="false">
      <c r="A3" s="11" t="s">
        <v>75</v>
      </c>
      <c r="B3" s="11" t="s">
        <v>76</v>
      </c>
      <c r="C3" s="11" t="s">
        <v>77</v>
      </c>
      <c r="D3" s="11" t="s">
        <v>78</v>
      </c>
      <c r="E3" s="11" t="s">
        <v>79</v>
      </c>
    </row>
    <row r="4" customFormat="false" ht="15" hidden="false" customHeight="false" outlineLevel="0" collapsed="false">
      <c r="A4" s="12" t="s">
        <v>80</v>
      </c>
      <c r="B4" s="13" t="n">
        <v>46023</v>
      </c>
      <c r="C4" s="12" t="s">
        <v>81</v>
      </c>
      <c r="D4" s="14" t="n">
        <v>2000000</v>
      </c>
      <c r="E4" s="15" t="n">
        <f aca="false">IF(D4="","",D4)</f>
        <v>2000000</v>
      </c>
    </row>
    <row r="5" customFormat="false" ht="15" hidden="false" customHeight="false" outlineLevel="0" collapsed="false">
      <c r="A5" s="16" t="s">
        <v>82</v>
      </c>
      <c r="B5" s="17" t="n">
        <v>46143</v>
      </c>
      <c r="C5" s="16" t="s">
        <v>83</v>
      </c>
      <c r="D5" s="18" t="n">
        <v>400000</v>
      </c>
      <c r="E5" s="19" t="n">
        <f aca="false">IF(D5="","",SUM($D$4:D5))</f>
        <v>2400000</v>
      </c>
    </row>
    <row r="6" customFormat="false" ht="15" hidden="false" customHeight="false" outlineLevel="0" collapsed="false">
      <c r="A6" s="12"/>
      <c r="B6" s="13"/>
      <c r="C6" s="12"/>
      <c r="D6" s="14"/>
      <c r="E6" s="15" t="str">
        <f aca="false">IF(D6="","",SUM($D$4:D6))</f>
        <v/>
      </c>
    </row>
    <row r="7" customFormat="false" ht="15" hidden="false" customHeight="false" outlineLevel="0" collapsed="false">
      <c r="A7" s="16"/>
      <c r="B7" s="17"/>
      <c r="C7" s="16"/>
      <c r="D7" s="18"/>
      <c r="E7" s="19" t="str">
        <f aca="false">IF(D7="","",SUM($D$4:D7))</f>
        <v/>
      </c>
    </row>
    <row r="8" customFormat="false" ht="15" hidden="false" customHeight="false" outlineLevel="0" collapsed="false">
      <c r="A8" s="12"/>
      <c r="B8" s="13"/>
      <c r="C8" s="12"/>
      <c r="D8" s="14"/>
      <c r="E8" s="15" t="str">
        <f aca="false">IF(D8="","",SUM($D$4:D8))</f>
        <v/>
      </c>
    </row>
    <row r="9" customFormat="false" ht="15" hidden="false" customHeight="false" outlineLevel="0" collapsed="false">
      <c r="A9" s="16"/>
      <c r="B9" s="17"/>
      <c r="C9" s="16"/>
      <c r="D9" s="18"/>
      <c r="E9" s="19" t="str">
        <f aca="false">IF(D9="","",SUM($D$4:D9))</f>
        <v/>
      </c>
    </row>
    <row r="10" customFormat="false" ht="15" hidden="false" customHeight="false" outlineLevel="0" collapsed="false">
      <c r="A10" s="12"/>
      <c r="B10" s="13"/>
      <c r="C10" s="12"/>
      <c r="D10" s="14"/>
      <c r="E10" s="15" t="str">
        <f aca="false">IF(D10="","",SUM($D$4:D10))</f>
        <v/>
      </c>
    </row>
    <row r="11" customFormat="false" ht="15" hidden="false" customHeight="false" outlineLevel="0" collapsed="false">
      <c r="A11" s="16"/>
      <c r="B11" s="17"/>
      <c r="C11" s="16"/>
      <c r="D11" s="18"/>
      <c r="E11" s="19" t="str">
        <f aca="false">IF(D11="","",SUM($D$4:D11))</f>
        <v/>
      </c>
    </row>
    <row r="12" customFormat="false" ht="15" hidden="false" customHeight="false" outlineLevel="0" collapsed="false">
      <c r="A12" s="12"/>
      <c r="B12" s="13"/>
      <c r="C12" s="12"/>
      <c r="D12" s="14"/>
      <c r="E12" s="15" t="str">
        <f aca="false">IF(D12="","",SUM($D$4:D12))</f>
        <v/>
      </c>
    </row>
    <row r="13" customFormat="false" ht="15" hidden="false" customHeight="false" outlineLevel="0" collapsed="false">
      <c r="A13" s="16"/>
      <c r="B13" s="17"/>
      <c r="C13" s="16"/>
      <c r="D13" s="18"/>
      <c r="E13" s="19" t="str">
        <f aca="false">IF(D13="","",SUM($D$4:D13))</f>
        <v/>
      </c>
    </row>
    <row r="15" customFormat="false" ht="15" hidden="false" customHeight="false" outlineLevel="0" collapsed="false">
      <c r="A15" s="5" t="s">
        <v>84</v>
      </c>
      <c r="B15" s="20" t="n">
        <f aca="false">IFERROR(INDEX(E4:E13,COUNT(D4:D13)),0)</f>
        <v>2400000</v>
      </c>
      <c r="C15" s="2" t="s">
        <v>85</v>
      </c>
    </row>
    <row r="17" customFormat="false" ht="15" hidden="false" customHeight="false" outlineLevel="0" collapsed="false">
      <c r="A17" s="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0" topLeftCell="A2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6" min="4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7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1"/>
    <col collapsed="false" customWidth="true" hidden="false" outlineLevel="0" max="15" min="15" style="0" width="15"/>
  </cols>
  <sheetData>
    <row r="1" customFormat="false" ht="21.75" hidden="false" customHeight="true" outlineLevel="0" collapsed="false">
      <c r="B1" s="3" t="s">
        <v>87</v>
      </c>
      <c r="O1" s="6" t="s">
        <v>56</v>
      </c>
    </row>
    <row r="3" customFormat="false" ht="15" hidden="false" customHeight="false" outlineLevel="0" collapsed="false">
      <c r="A3" s="21" t="s">
        <v>88</v>
      </c>
      <c r="B3" s="21"/>
      <c r="C3" s="9" t="s">
        <v>89</v>
      </c>
    </row>
    <row r="4" customFormat="false" ht="15" hidden="false" customHeight="false" outlineLevel="0" collapsed="false">
      <c r="A4" s="21" t="s">
        <v>90</v>
      </c>
      <c r="B4" s="21"/>
      <c r="C4" s="9" t="s">
        <v>91</v>
      </c>
    </row>
    <row r="5" customFormat="false" ht="15" hidden="false" customHeight="false" outlineLevel="0" collapsed="false">
      <c r="A5" s="21" t="s">
        <v>92</v>
      </c>
      <c r="B5" s="21"/>
      <c r="C5" s="22" t="n">
        <v>46023</v>
      </c>
    </row>
    <row r="6" customFormat="false" ht="15" hidden="false" customHeight="false" outlineLevel="0" collapsed="false">
      <c r="A6" s="21" t="s">
        <v>93</v>
      </c>
      <c r="B6" s="21"/>
      <c r="C6" s="22" t="n">
        <v>46387</v>
      </c>
    </row>
    <row r="7" customFormat="false" ht="15" hidden="false" customHeight="false" outlineLevel="0" collapsed="false">
      <c r="A7" s="21" t="s">
        <v>94</v>
      </c>
      <c r="B7" s="21"/>
      <c r="C7" s="23" t="n">
        <f aca="false">DATEDIF(C5,C6,"m")+1</f>
        <v>12</v>
      </c>
    </row>
    <row r="8" customFormat="false" ht="15" hidden="false" customHeight="false" outlineLevel="0" collapsed="false">
      <c r="A8" s="21" t="s">
        <v>95</v>
      </c>
      <c r="B8" s="21"/>
      <c r="C8" s="24" t="n">
        <f aca="false">FundingMods!$B$15</f>
        <v>2400000</v>
      </c>
    </row>
    <row r="9" customFormat="false" ht="15" hidden="false" customHeight="false" outlineLevel="0" collapsed="false">
      <c r="A9" s="21" t="s">
        <v>96</v>
      </c>
      <c r="B9" s="21"/>
      <c r="C9" s="20" t="n">
        <f aca="false">C8/C7</f>
        <v>200000</v>
      </c>
    </row>
    <row r="11" customFormat="false" ht="15" hidden="false" customHeight="false" outlineLevel="0" collapsed="false">
      <c r="A11" s="25" t="s">
        <v>97</v>
      </c>
    </row>
    <row r="12" customFormat="false" ht="15" hidden="false" customHeight="false" outlineLevel="0" collapsed="false">
      <c r="A12" s="21" t="s">
        <v>98</v>
      </c>
      <c r="B12" s="21"/>
      <c r="C12" s="23" t="n">
        <f aca="false">COUNT(D21:D32)</f>
        <v>12</v>
      </c>
    </row>
    <row r="13" customFormat="false" ht="15" hidden="false" customHeight="false" outlineLevel="0" collapsed="false">
      <c r="A13" s="21" t="s">
        <v>99</v>
      </c>
      <c r="B13" s="21"/>
      <c r="C13" s="20" t="n">
        <f aca="false">IF(C12=0,0,INDEX(L21:L32,C12))</f>
        <v>158475.576659077</v>
      </c>
    </row>
    <row r="14" customFormat="false" ht="15" hidden="false" customHeight="false" outlineLevel="0" collapsed="false">
      <c r="A14" s="21" t="s">
        <v>100</v>
      </c>
      <c r="B14" s="21"/>
      <c r="C14" s="20" t="n">
        <f aca="false">C8-C13</f>
        <v>2241524.42334092</v>
      </c>
    </row>
    <row r="15" customFormat="false" ht="15" hidden="false" customHeight="false" outlineLevel="0" collapsed="false">
      <c r="A15" s="21" t="s">
        <v>101</v>
      </c>
      <c r="B15" s="21"/>
      <c r="C15" s="10" t="n">
        <f aca="false">IFERROR(C13/C8,0)</f>
        <v>0.0660314902746154</v>
      </c>
    </row>
    <row r="16" customFormat="false" ht="15" hidden="false" customHeight="false" outlineLevel="0" collapsed="false">
      <c r="A16" s="21" t="s">
        <v>102</v>
      </c>
      <c r="B16" s="21"/>
      <c r="C16" s="20" t="n">
        <f aca="true">IFERROR(AVERAGE(OFFSET(K21,MAX(C12-3,0),0,MIN(C12,3),1)),0)</f>
        <v>0</v>
      </c>
    </row>
    <row r="17" customFormat="false" ht="15" hidden="false" customHeight="false" outlineLevel="0" collapsed="false">
      <c r="A17" s="21" t="s">
        <v>103</v>
      </c>
      <c r="B17" s="21"/>
      <c r="C17" s="23" t="str">
        <f aca="false">IFERROR(C14/C16,"—")</f>
        <v>—</v>
      </c>
    </row>
    <row r="18" customFormat="false" ht="15" hidden="false" customHeight="false" outlineLevel="0" collapsed="false">
      <c r="A18" s="21" t="s">
        <v>104</v>
      </c>
      <c r="B18" s="21"/>
      <c r="C18" s="23" t="str">
        <f aca="false">IF(C12=0,"NO DATA YET",IF(C15&gt;(C12/C7)*1.1,"AT RISK — OVERRUNNING",IF(C15&lt;(C12/C7)*0.7,"AT RISK — UNDERRUNNING (option year risk)","ON TRACK")))</f>
        <v>AT RISK — UNDERRUNNING (option year risk)</v>
      </c>
    </row>
    <row r="20" customFormat="false" ht="33.75" hidden="false" customHeight="true" outlineLevel="0" collapsed="false">
      <c r="A20" s="11" t="s">
        <v>105</v>
      </c>
      <c r="B20" s="11" t="s">
        <v>106</v>
      </c>
      <c r="C20" s="11" t="s">
        <v>107</v>
      </c>
      <c r="D20" s="11" t="s">
        <v>108</v>
      </c>
      <c r="E20" s="11" t="s">
        <v>109</v>
      </c>
      <c r="F20" s="11" t="s">
        <v>110</v>
      </c>
      <c r="G20" s="11" t="s">
        <v>111</v>
      </c>
      <c r="H20" s="11" t="s">
        <v>112</v>
      </c>
      <c r="I20" s="11" t="s">
        <v>113</v>
      </c>
      <c r="J20" s="11" t="s">
        <v>114</v>
      </c>
      <c r="K20" s="11" t="s">
        <v>115</v>
      </c>
      <c r="L20" s="11" t="s">
        <v>116</v>
      </c>
      <c r="M20" s="11" t="s">
        <v>117</v>
      </c>
      <c r="N20" s="11" t="s">
        <v>118</v>
      </c>
      <c r="O20" s="11" t="s">
        <v>119</v>
      </c>
    </row>
    <row r="21" customFormat="false" ht="15" hidden="false" customHeight="false" outlineLevel="0" collapsed="false">
      <c r="A21" s="26" t="n">
        <v>1</v>
      </c>
      <c r="B21" s="27" t="n">
        <f aca="false">EDATE($C$5,A21-1)</f>
        <v>46023</v>
      </c>
      <c r="C21" s="15" t="n">
        <f aca="false">$C$9*A21</f>
        <v>200000</v>
      </c>
      <c r="D21" s="28" t="n">
        <f aca="false">Labor!C129</f>
        <v>40118.1443870192</v>
      </c>
      <c r="E21" s="28" t="n">
        <f aca="false">IF(D21="","",ODCs!C27)</f>
        <v>14200</v>
      </c>
      <c r="F21" s="28" t="n">
        <f aca="false">IF(D21="","",Travel!C27)</f>
        <v>1090</v>
      </c>
      <c r="G21" s="15" t="n">
        <f aca="false">IF(D21="","",D21+E21+F21)</f>
        <v>55408.1443870192</v>
      </c>
      <c r="H21" s="28" t="n">
        <f aca="false">IF(G21="","",G21*Rates!$B$5)</f>
        <v>6648.97732644231</v>
      </c>
      <c r="I21" s="15" t="n">
        <f aca="false">IF(G21="","",G21+H21)</f>
        <v>62057.1217134615</v>
      </c>
      <c r="J21" s="28" t="n">
        <f aca="false">IF(I21="","",I21*Rates!$B$11)</f>
        <v>4343.99851994231</v>
      </c>
      <c r="K21" s="15" t="n">
        <f aca="false">IF(I21="","",I21+J21)</f>
        <v>66401.1202334039</v>
      </c>
      <c r="L21" s="15" t="n">
        <f aca="false">IF(SUM($K$21:K21)=0,"",SUM($K$21:K21))</f>
        <v>66401.1202334039</v>
      </c>
      <c r="M21" s="29" t="n">
        <f aca="false">IF(OR(L21="",C21=""),"",L21-C21)</f>
        <v>-133598.879766596</v>
      </c>
      <c r="N21" s="30" t="n">
        <f aca="false">IF(OR(L21="",C21="",C21=0),"",M21/C21)</f>
        <v>-0.667994398832981</v>
      </c>
      <c r="O21" s="15" t="n">
        <f aca="false">IF(L21="","",$C$8-L21)</f>
        <v>2333598.8797666</v>
      </c>
    </row>
    <row r="22" customFormat="false" ht="15" hidden="false" customHeight="false" outlineLevel="0" collapsed="false">
      <c r="A22" s="31" t="n">
        <v>2</v>
      </c>
      <c r="B22" s="32" t="n">
        <f aca="false">EDATE($C$5,A22-1)</f>
        <v>46054</v>
      </c>
      <c r="C22" s="19" t="n">
        <f aca="false">$C$9*A22</f>
        <v>400000</v>
      </c>
      <c r="D22" s="33" t="n">
        <f aca="false">Labor!C130</f>
        <v>28771.3216947115</v>
      </c>
      <c r="E22" s="33" t="n">
        <f aca="false">IF(D22="","",ODCs!C28)</f>
        <v>3100</v>
      </c>
      <c r="F22" s="33" t="n">
        <f aca="false">IF(D22="","",Travel!C28)</f>
        <v>0</v>
      </c>
      <c r="G22" s="19" t="n">
        <f aca="false">IF(D22="","",D22+E22+F22)</f>
        <v>31871.3216947115</v>
      </c>
      <c r="H22" s="33" t="n">
        <f aca="false">IF(G22="","",G22*Rates!$B$5)</f>
        <v>3824.55860336539</v>
      </c>
      <c r="I22" s="19" t="n">
        <f aca="false">IF(G22="","",G22+H22)</f>
        <v>35695.8802980769</v>
      </c>
      <c r="J22" s="33" t="n">
        <f aca="false">IF(I22="","",I22*Rates!$B$11)</f>
        <v>2498.71162086539</v>
      </c>
      <c r="K22" s="19" t="n">
        <f aca="false">IF(I22="","",I22+J22)</f>
        <v>38194.5919189423</v>
      </c>
      <c r="L22" s="19" t="n">
        <f aca="false">IF(SUM($K$21:K22)=0,"",SUM($K$21:K22))</f>
        <v>104595.712152346</v>
      </c>
      <c r="M22" s="34" t="n">
        <f aca="false">IF(OR(L22="",C22=""),"",L22-C22)</f>
        <v>-295404.287847654</v>
      </c>
      <c r="N22" s="35" t="n">
        <f aca="false">IF(OR(L22="",C22="",C22=0),"",M22/C22)</f>
        <v>-0.738510719619135</v>
      </c>
      <c r="O22" s="19" t="n">
        <f aca="false">IF(L22="","",$C$8-L22)</f>
        <v>2295404.28784765</v>
      </c>
    </row>
    <row r="23" customFormat="false" ht="15" hidden="false" customHeight="false" outlineLevel="0" collapsed="false">
      <c r="A23" s="26" t="n">
        <v>3</v>
      </c>
      <c r="B23" s="27" t="n">
        <f aca="false">EDATE($C$5,A23-1)</f>
        <v>46082</v>
      </c>
      <c r="C23" s="15" t="n">
        <f aca="false">$C$9*A23</f>
        <v>600000</v>
      </c>
      <c r="D23" s="28" t="n">
        <f aca="false">Labor!C131</f>
        <v>0</v>
      </c>
      <c r="E23" s="28" t="n">
        <f aca="false">IF(D23="","",ODCs!C29)</f>
        <v>0</v>
      </c>
      <c r="F23" s="28" t="n">
        <f aca="false">IF(D23="","",Travel!C29)</f>
        <v>1150</v>
      </c>
      <c r="G23" s="15" t="n">
        <f aca="false">IF(D23="","",D23+E23+F23)</f>
        <v>1150</v>
      </c>
      <c r="H23" s="28" t="n">
        <f aca="false">IF(G23="","",G23*Rates!$B$5)</f>
        <v>138</v>
      </c>
      <c r="I23" s="15" t="n">
        <f aca="false">IF(G23="","",G23+H23)</f>
        <v>1288</v>
      </c>
      <c r="J23" s="28" t="n">
        <f aca="false">IF(I23="","",I23*Rates!$B$11)</f>
        <v>90.16</v>
      </c>
      <c r="K23" s="15" t="n">
        <f aca="false">IF(I23="","",I23+J23)</f>
        <v>1378.16</v>
      </c>
      <c r="L23" s="15" t="n">
        <f aca="false">IF(SUM($K$21:K23)=0,"",SUM($K$21:K23))</f>
        <v>105973.872152346</v>
      </c>
      <c r="M23" s="29" t="n">
        <f aca="false">IF(OR(L23="",C23=""),"",L23-C23)</f>
        <v>-494026.127847654</v>
      </c>
      <c r="N23" s="30" t="n">
        <f aca="false">IF(OR(L23="",C23="",C23=0),"",M23/C23)</f>
        <v>-0.82337687974609</v>
      </c>
      <c r="O23" s="15" t="n">
        <f aca="false">IF(L23="","",$C$8-L23)</f>
        <v>2294026.12784765</v>
      </c>
    </row>
    <row r="24" customFormat="false" ht="15" hidden="false" customHeight="false" outlineLevel="0" collapsed="false">
      <c r="A24" s="31" t="n">
        <v>4</v>
      </c>
      <c r="B24" s="32" t="n">
        <f aca="false">EDATE($C$5,A24-1)</f>
        <v>46113</v>
      </c>
      <c r="C24" s="19" t="n">
        <f aca="false">$C$9*A24</f>
        <v>800000</v>
      </c>
      <c r="D24" s="33" t="n">
        <f aca="false">Labor!C132</f>
        <v>0</v>
      </c>
      <c r="E24" s="33" t="n">
        <f aca="false">IF(D24="","",ODCs!C30)</f>
        <v>8600</v>
      </c>
      <c r="F24" s="33" t="n">
        <f aca="false">IF(D24="","",Travel!C30)</f>
        <v>0</v>
      </c>
      <c r="G24" s="19" t="n">
        <f aca="false">IF(D24="","",D24+E24+F24)</f>
        <v>8600</v>
      </c>
      <c r="H24" s="33" t="n">
        <f aca="false">IF(G24="","",G24*Rates!$B$5)</f>
        <v>1032</v>
      </c>
      <c r="I24" s="19" t="n">
        <f aca="false">IF(G24="","",G24+H24)</f>
        <v>9632</v>
      </c>
      <c r="J24" s="33" t="n">
        <f aca="false">IF(I24="","",I24*Rates!$B$11)</f>
        <v>674.24</v>
      </c>
      <c r="K24" s="19" t="n">
        <f aca="false">IF(I24="","",I24+J24)</f>
        <v>10306.24</v>
      </c>
      <c r="L24" s="19" t="n">
        <f aca="false">IF(SUM($K$21:K24)=0,"",SUM($K$21:K24))</f>
        <v>116280.112152346</v>
      </c>
      <c r="M24" s="34" t="n">
        <f aca="false">IF(OR(L24="",C24=""),"",L24-C24)</f>
        <v>-683719.887847654</v>
      </c>
      <c r="N24" s="35" t="n">
        <f aca="false">IF(OR(L24="",C24="",C24=0),"",M24/C24)</f>
        <v>-0.854649859809567</v>
      </c>
      <c r="O24" s="19" t="n">
        <f aca="false">IF(L24="","",$C$8-L24)</f>
        <v>2283719.88784765</v>
      </c>
    </row>
    <row r="25" customFormat="false" ht="15" hidden="false" customHeight="false" outlineLevel="0" collapsed="false">
      <c r="A25" s="26" t="n">
        <v>5</v>
      </c>
      <c r="B25" s="27" t="n">
        <f aca="false">EDATE($C$5,A25-1)</f>
        <v>46143</v>
      </c>
      <c r="C25" s="15" t="n">
        <f aca="false">$C$9*A25</f>
        <v>1000000</v>
      </c>
      <c r="D25" s="28" t="n">
        <f aca="false">Labor!C133</f>
        <v>0</v>
      </c>
      <c r="E25" s="28" t="n">
        <f aca="false">IF(D25="","",ODCs!C31)</f>
        <v>0</v>
      </c>
      <c r="F25" s="28" t="n">
        <f aca="false">IF(D25="","",Travel!C31)</f>
        <v>0</v>
      </c>
      <c r="G25" s="15" t="n">
        <f aca="false">IF(D25="","",D25+E25+F25)</f>
        <v>0</v>
      </c>
      <c r="H25" s="28" t="n">
        <f aca="false">IF(G25="","",G25*Rates!$B$5)</f>
        <v>0</v>
      </c>
      <c r="I25" s="15" t="n">
        <f aca="false">IF(G25="","",G25+H25)</f>
        <v>0</v>
      </c>
      <c r="J25" s="28" t="n">
        <f aca="false">IF(I25="","",I25*Rates!$B$11)</f>
        <v>0</v>
      </c>
      <c r="K25" s="15" t="n">
        <f aca="false">IF(I25="","",I25+J25)</f>
        <v>0</v>
      </c>
      <c r="L25" s="15" t="n">
        <f aca="false">IF(SUM($K$21:K25)=0,"",SUM($K$21:K25))</f>
        <v>116280.112152346</v>
      </c>
      <c r="M25" s="29" t="n">
        <f aca="false">IF(OR(L25="",C25=""),"",L25-C25)</f>
        <v>-883719.887847654</v>
      </c>
      <c r="N25" s="30" t="n">
        <f aca="false">IF(OR(L25="",C25="",C25=0),"",M25/C25)</f>
        <v>-0.883719887847654</v>
      </c>
      <c r="O25" s="15" t="n">
        <f aca="false">IF(L25="","",$C$8-L25)</f>
        <v>2283719.88784765</v>
      </c>
    </row>
    <row r="26" customFormat="false" ht="15" hidden="false" customHeight="false" outlineLevel="0" collapsed="false">
      <c r="A26" s="31" t="n">
        <v>6</v>
      </c>
      <c r="B26" s="32" t="n">
        <f aca="false">EDATE($C$5,A26-1)</f>
        <v>46174</v>
      </c>
      <c r="C26" s="19" t="n">
        <f aca="false">$C$9*A26</f>
        <v>1200000</v>
      </c>
      <c r="D26" s="33" t="n">
        <f aca="false">Labor!C134</f>
        <v>0</v>
      </c>
      <c r="E26" s="33" t="n">
        <f aca="false">IF(D26="","",ODCs!C32)</f>
        <v>0</v>
      </c>
      <c r="F26" s="33" t="n">
        <f aca="false">IF(D26="","",Travel!C32)</f>
        <v>0</v>
      </c>
      <c r="G26" s="19" t="n">
        <f aca="false">IF(D26="","",D26+E26+F26)</f>
        <v>0</v>
      </c>
      <c r="H26" s="33" t="n">
        <f aca="false">IF(G26="","",G26*Rates!$B$5)</f>
        <v>0</v>
      </c>
      <c r="I26" s="19" t="n">
        <f aca="false">IF(G26="","",G26+H26)</f>
        <v>0</v>
      </c>
      <c r="J26" s="33" t="n">
        <f aca="false">IF(I26="","",I26*Rates!$B$11)</f>
        <v>0</v>
      </c>
      <c r="K26" s="19" t="n">
        <f aca="false">IF(I26="","",I26+J26)</f>
        <v>0</v>
      </c>
      <c r="L26" s="19" t="n">
        <f aca="false">IF(SUM($K$21:K26)=0,"",SUM($K$21:K26))</f>
        <v>116280.112152346</v>
      </c>
      <c r="M26" s="34" t="n">
        <f aca="false">IF(OR(L26="",C26=""),"",L26-C26)</f>
        <v>-1083719.88784765</v>
      </c>
      <c r="N26" s="35" t="n">
        <f aca="false">IF(OR(L26="",C26="",C26=0),"",M26/C26)</f>
        <v>-0.903099906539712</v>
      </c>
      <c r="O26" s="19" t="n">
        <f aca="false">IF(L26="","",$C$8-L26)</f>
        <v>2283719.88784765</v>
      </c>
    </row>
    <row r="27" customFormat="false" ht="15" hidden="false" customHeight="false" outlineLevel="0" collapsed="false">
      <c r="A27" s="26" t="n">
        <v>7</v>
      </c>
      <c r="B27" s="27" t="n">
        <f aca="false">EDATE($C$5,A27-1)</f>
        <v>46204</v>
      </c>
      <c r="C27" s="15" t="n">
        <f aca="false">$C$9*A27</f>
        <v>1400000</v>
      </c>
      <c r="D27" s="28" t="n">
        <f aca="false">Labor!C135</f>
        <v>9054.08653846154</v>
      </c>
      <c r="E27" s="28" t="n">
        <f aca="false">IF(D27="","",ODCs!C33)</f>
        <v>0</v>
      </c>
      <c r="F27" s="28" t="n">
        <f aca="false">IF(D27="","",Travel!C33)</f>
        <v>0</v>
      </c>
      <c r="G27" s="15" t="n">
        <f aca="false">IF(D27="","",D27+E27+F27)</f>
        <v>9054.08653846154</v>
      </c>
      <c r="H27" s="28" t="n">
        <f aca="false">IF(G27="","",G27*Rates!$B$5)</f>
        <v>1086.49038461538</v>
      </c>
      <c r="I27" s="15" t="n">
        <f aca="false">IF(G27="","",G27+H27)</f>
        <v>10140.5769230769</v>
      </c>
      <c r="J27" s="28" t="n">
        <f aca="false">IF(I27="","",I27*Rates!$B$11)</f>
        <v>709.840384615385</v>
      </c>
      <c r="K27" s="15" t="n">
        <f aca="false">IF(I27="","",I27+J27)</f>
        <v>10850.4173076923</v>
      </c>
      <c r="L27" s="15" t="n">
        <f aca="false">IF(SUM($K$21:K27)=0,"",SUM($K$21:K27))</f>
        <v>127130.529460038</v>
      </c>
      <c r="M27" s="29" t="n">
        <f aca="false">IF(OR(L27="",C27=""),"",L27-C27)</f>
        <v>-1272869.47053996</v>
      </c>
      <c r="N27" s="30" t="n">
        <f aca="false">IF(OR(L27="",C27="",C27=0),"",M27/C27)</f>
        <v>-0.909192478957115</v>
      </c>
      <c r="O27" s="15" t="n">
        <f aca="false">IF(L27="","",$C$8-L27)</f>
        <v>2272869.47053996</v>
      </c>
    </row>
    <row r="28" customFormat="false" ht="15" hidden="false" customHeight="false" outlineLevel="0" collapsed="false">
      <c r="A28" s="31" t="n">
        <v>8</v>
      </c>
      <c r="B28" s="32" t="n">
        <f aca="false">EDATE($C$5,A28-1)</f>
        <v>46235</v>
      </c>
      <c r="C28" s="19" t="n">
        <f aca="false">$C$9*A28</f>
        <v>1600000</v>
      </c>
      <c r="D28" s="33" t="n">
        <f aca="false">Labor!C136</f>
        <v>26155.7469951923</v>
      </c>
      <c r="E28" s="33" t="n">
        <f aca="false">IF(D28="","",ODCs!C34)</f>
        <v>0</v>
      </c>
      <c r="F28" s="33" t="n">
        <f aca="false">IF(D28="","",Travel!C34)</f>
        <v>0</v>
      </c>
      <c r="G28" s="19" t="n">
        <f aca="false">IF(D28="","",D28+E28+F28)</f>
        <v>26155.7469951923</v>
      </c>
      <c r="H28" s="33" t="n">
        <f aca="false">IF(G28="","",G28*Rates!$B$5)</f>
        <v>3138.68963942308</v>
      </c>
      <c r="I28" s="19" t="n">
        <f aca="false">IF(G28="","",G28+H28)</f>
        <v>29294.4366346154</v>
      </c>
      <c r="J28" s="33" t="n">
        <f aca="false">IF(I28="","",I28*Rates!$B$11)</f>
        <v>2050.61056442308</v>
      </c>
      <c r="K28" s="19" t="n">
        <f aca="false">IF(I28="","",I28+J28)</f>
        <v>31345.0471990385</v>
      </c>
      <c r="L28" s="19" t="n">
        <f aca="false">IF(SUM($K$21:K28)=0,"",SUM($K$21:K28))</f>
        <v>158475.576659077</v>
      </c>
      <c r="M28" s="34" t="n">
        <f aca="false">IF(OR(L28="",C28=""),"",L28-C28)</f>
        <v>-1441524.42334092</v>
      </c>
      <c r="N28" s="35" t="n">
        <f aca="false">IF(OR(L28="",C28="",C28=0),"",M28/C28)</f>
        <v>-0.900952764588077</v>
      </c>
      <c r="O28" s="19" t="n">
        <f aca="false">IF(L28="","",$C$8-L28)</f>
        <v>2241524.42334092</v>
      </c>
    </row>
    <row r="29" customFormat="false" ht="15" hidden="false" customHeight="false" outlineLevel="0" collapsed="false">
      <c r="A29" s="26" t="n">
        <v>9</v>
      </c>
      <c r="B29" s="27" t="n">
        <f aca="false">EDATE($C$5,A29-1)</f>
        <v>46266</v>
      </c>
      <c r="C29" s="15" t="n">
        <f aca="false">$C$9*A29</f>
        <v>1800000</v>
      </c>
      <c r="D29" s="28" t="n">
        <f aca="false">Labor!C137</f>
        <v>0</v>
      </c>
      <c r="E29" s="28" t="n">
        <f aca="false">IF(D29="","",ODCs!C35)</f>
        <v>0</v>
      </c>
      <c r="F29" s="28" t="n">
        <f aca="false">IF(D29="","",Travel!C35)</f>
        <v>0</v>
      </c>
      <c r="G29" s="15" t="n">
        <f aca="false">IF(D29="","",D29+E29+F29)</f>
        <v>0</v>
      </c>
      <c r="H29" s="28" t="n">
        <f aca="false">IF(G29="","",G29*Rates!$B$5)</f>
        <v>0</v>
      </c>
      <c r="I29" s="15" t="n">
        <f aca="false">IF(G29="","",G29+H29)</f>
        <v>0</v>
      </c>
      <c r="J29" s="28" t="n">
        <f aca="false">IF(I29="","",I29*Rates!$B$11)</f>
        <v>0</v>
      </c>
      <c r="K29" s="15" t="n">
        <f aca="false">IF(I29="","",I29+J29)</f>
        <v>0</v>
      </c>
      <c r="L29" s="15" t="n">
        <f aca="false">IF(SUM($K$21:K29)=0,"",SUM($K$21:K29))</f>
        <v>158475.576659077</v>
      </c>
      <c r="M29" s="29" t="n">
        <f aca="false">IF(OR(L29="",C29=""),"",L29-C29)</f>
        <v>-1641524.42334092</v>
      </c>
      <c r="N29" s="30" t="n">
        <f aca="false">IF(OR(L29="",C29="",C29=0),"",M29/C29)</f>
        <v>-0.91195801296718</v>
      </c>
      <c r="O29" s="15" t="n">
        <f aca="false">IF(L29="","",$C$8-L29)</f>
        <v>2241524.42334092</v>
      </c>
    </row>
    <row r="30" customFormat="false" ht="15" hidden="false" customHeight="false" outlineLevel="0" collapsed="false">
      <c r="A30" s="31" t="n">
        <v>10</v>
      </c>
      <c r="B30" s="32" t="n">
        <f aca="false">EDATE($C$5,A30-1)</f>
        <v>46296</v>
      </c>
      <c r="C30" s="19" t="n">
        <f aca="false">$C$9*A30</f>
        <v>2000000</v>
      </c>
      <c r="D30" s="33" t="n">
        <f aca="false">Labor!C138</f>
        <v>0</v>
      </c>
      <c r="E30" s="33" t="n">
        <f aca="false">IF(D30="","",ODCs!C36)</f>
        <v>0</v>
      </c>
      <c r="F30" s="33" t="n">
        <f aca="false">IF(D30="","",Travel!C36)</f>
        <v>0</v>
      </c>
      <c r="G30" s="19" t="n">
        <f aca="false">IF(D30="","",D30+E30+F30)</f>
        <v>0</v>
      </c>
      <c r="H30" s="33" t="n">
        <f aca="false">IF(G30="","",G30*Rates!$B$5)</f>
        <v>0</v>
      </c>
      <c r="I30" s="19" t="n">
        <f aca="false">IF(G30="","",G30+H30)</f>
        <v>0</v>
      </c>
      <c r="J30" s="33" t="n">
        <f aca="false">IF(I30="","",I30*Rates!$B$11)</f>
        <v>0</v>
      </c>
      <c r="K30" s="19" t="n">
        <f aca="false">IF(I30="","",I30+J30)</f>
        <v>0</v>
      </c>
      <c r="L30" s="19" t="n">
        <f aca="false">IF(SUM($K$21:K30)=0,"",SUM($K$21:K30))</f>
        <v>158475.576659077</v>
      </c>
      <c r="M30" s="34" t="n">
        <f aca="false">IF(OR(L30="",C30=""),"",L30-C30)</f>
        <v>-1841524.42334092</v>
      </c>
      <c r="N30" s="35" t="n">
        <f aca="false">IF(OR(L30="",C30="",C30=0),"",M30/C30)</f>
        <v>-0.920762211670462</v>
      </c>
      <c r="O30" s="19" t="n">
        <f aca="false">IF(L30="","",$C$8-L30)</f>
        <v>2241524.42334092</v>
      </c>
    </row>
    <row r="31" customFormat="false" ht="15" hidden="false" customHeight="false" outlineLevel="0" collapsed="false">
      <c r="A31" s="26" t="n">
        <v>11</v>
      </c>
      <c r="B31" s="27" t="n">
        <f aca="false">EDATE($C$5,A31-1)</f>
        <v>46327</v>
      </c>
      <c r="C31" s="15" t="n">
        <f aca="false">$C$9*A31</f>
        <v>2200000</v>
      </c>
      <c r="D31" s="28" t="n">
        <f aca="false">Labor!C139</f>
        <v>0</v>
      </c>
      <c r="E31" s="28" t="n">
        <f aca="false">IF(D31="","",ODCs!C37)</f>
        <v>0</v>
      </c>
      <c r="F31" s="28" t="n">
        <f aca="false">IF(D31="","",Travel!C37)</f>
        <v>0</v>
      </c>
      <c r="G31" s="15" t="n">
        <f aca="false">IF(D31="","",D31+E31+F31)</f>
        <v>0</v>
      </c>
      <c r="H31" s="28" t="n">
        <f aca="false">IF(G31="","",G31*Rates!$B$5)</f>
        <v>0</v>
      </c>
      <c r="I31" s="15" t="n">
        <f aca="false">IF(G31="","",G31+H31)</f>
        <v>0</v>
      </c>
      <c r="J31" s="28" t="n">
        <f aca="false">IF(I31="","",I31*Rates!$B$11)</f>
        <v>0</v>
      </c>
      <c r="K31" s="15" t="n">
        <f aca="false">IF(I31="","",I31+J31)</f>
        <v>0</v>
      </c>
      <c r="L31" s="15" t="n">
        <f aca="false">IF(SUM($K$21:K31)=0,"",SUM($K$21:K31))</f>
        <v>158475.576659077</v>
      </c>
      <c r="M31" s="29" t="n">
        <f aca="false">IF(OR(L31="",C31=""),"",L31-C31)</f>
        <v>-2041524.42334092</v>
      </c>
      <c r="N31" s="30" t="n">
        <f aca="false">IF(OR(L31="",C31="",C31=0),"",M31/C31)</f>
        <v>-0.927965646973147</v>
      </c>
      <c r="O31" s="15" t="n">
        <f aca="false">IF(L31="","",$C$8-L31)</f>
        <v>2241524.42334092</v>
      </c>
    </row>
    <row r="32" customFormat="false" ht="15" hidden="false" customHeight="false" outlineLevel="0" collapsed="false">
      <c r="A32" s="31" t="n">
        <v>12</v>
      </c>
      <c r="B32" s="32" t="n">
        <f aca="false">EDATE($C$5,A32-1)</f>
        <v>46357</v>
      </c>
      <c r="C32" s="19" t="n">
        <f aca="false">$C$9*A32</f>
        <v>2400000</v>
      </c>
      <c r="D32" s="33" t="n">
        <f aca="false">Labor!C140</f>
        <v>0</v>
      </c>
      <c r="E32" s="33" t="n">
        <f aca="false">IF(D32="","",ODCs!C38)</f>
        <v>0</v>
      </c>
      <c r="F32" s="33" t="n">
        <f aca="false">IF(D32="","",Travel!C38)</f>
        <v>0</v>
      </c>
      <c r="G32" s="19" t="n">
        <f aca="false">IF(D32="","",D32+E32+F32)</f>
        <v>0</v>
      </c>
      <c r="H32" s="33" t="n">
        <f aca="false">IF(G32="","",G32*Rates!$B$5)</f>
        <v>0</v>
      </c>
      <c r="I32" s="19" t="n">
        <f aca="false">IF(G32="","",G32+H32)</f>
        <v>0</v>
      </c>
      <c r="J32" s="33" t="n">
        <f aca="false">IF(I32="","",I32*Rates!$B$11)</f>
        <v>0</v>
      </c>
      <c r="K32" s="19" t="n">
        <f aca="false">IF(I32="","",I32+J32)</f>
        <v>0</v>
      </c>
      <c r="L32" s="19" t="n">
        <f aca="false">IF(SUM($K$21:K32)=0,"",SUM($K$21:K32))</f>
        <v>158475.576659077</v>
      </c>
      <c r="M32" s="34" t="n">
        <f aca="false">IF(OR(L32="",C32=""),"",L32-C32)</f>
        <v>-2241524.42334092</v>
      </c>
      <c r="N32" s="35" t="n">
        <f aca="false">IF(OR(L32="",C32="",C32=0),"",M32/C32)</f>
        <v>-0.933968509725385</v>
      </c>
      <c r="O32" s="19" t="n">
        <f aca="false">IF(L32="","",$C$8-L32)</f>
        <v>2241524.42334092</v>
      </c>
    </row>
    <row r="34" customFormat="false" ht="15" hidden="false" customHeight="false" outlineLevel="0" collapsed="false">
      <c r="A34" s="2" t="s">
        <v>86</v>
      </c>
    </row>
  </sheetData>
  <mergeCells count="14">
    <mergeCell ref="A3:B3"/>
    <mergeCell ref="A4:B4"/>
    <mergeCell ref="A5:B5"/>
    <mergeCell ref="A6:B6"/>
    <mergeCell ref="A7:B7"/>
    <mergeCell ref="A8:B8"/>
    <mergeCell ref="A9:B9"/>
    <mergeCell ref="A12:B12"/>
    <mergeCell ref="A13:B13"/>
    <mergeCell ref="A14:B14"/>
    <mergeCell ref="A15:B15"/>
    <mergeCell ref="A16:B16"/>
    <mergeCell ref="A17:B17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6"/>
    <col collapsed="false" customWidth="true" hidden="false" outlineLevel="0" max="6" min="4" style="0" width="13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1" min="10" style="0" width="12"/>
    <col collapsed="false" customWidth="true" hidden="false" outlineLevel="0" max="13" min="12" style="0" width="10"/>
    <col collapsed="false" customWidth="true" hidden="false" outlineLevel="0" max="17" min="14" style="0" width="9"/>
  </cols>
  <sheetData>
    <row r="1" customFormat="false" ht="21.75" hidden="false" customHeight="true" outlineLevel="0" collapsed="false">
      <c r="B1" s="3" t="s">
        <v>120</v>
      </c>
      <c r="Q1" s="6" t="s">
        <v>56</v>
      </c>
    </row>
    <row r="3" customFormat="false" ht="15" hidden="false" customHeight="false" outlineLevel="0" collapsed="false">
      <c r="A3" s="2" t="s">
        <v>121</v>
      </c>
    </row>
    <row r="4" customFormat="false" ht="42" hidden="false" customHeight="true" outlineLevel="0" collapsed="false">
      <c r="A4" s="11" t="s">
        <v>122</v>
      </c>
      <c r="B4" s="11" t="s">
        <v>123</v>
      </c>
      <c r="C4" s="11" t="s">
        <v>124</v>
      </c>
      <c r="D4" s="11" t="s">
        <v>125</v>
      </c>
      <c r="E4" s="11" t="s">
        <v>126</v>
      </c>
      <c r="F4" s="11" t="s">
        <v>127</v>
      </c>
      <c r="G4" s="11" t="s">
        <v>128</v>
      </c>
      <c r="H4" s="11" t="s">
        <v>129</v>
      </c>
      <c r="I4" s="11" t="s">
        <v>130</v>
      </c>
      <c r="J4" s="11" t="s">
        <v>131</v>
      </c>
      <c r="K4" s="11" t="s">
        <v>132</v>
      </c>
      <c r="L4" s="11" t="s">
        <v>133</v>
      </c>
      <c r="M4" s="11" t="s">
        <v>134</v>
      </c>
      <c r="N4" s="11" t="s">
        <v>135</v>
      </c>
      <c r="O4" s="11" t="s">
        <v>136</v>
      </c>
      <c r="P4" s="11" t="s">
        <v>137</v>
      </c>
      <c r="Q4" s="11" t="s">
        <v>138</v>
      </c>
    </row>
    <row r="5" customFormat="false" ht="15" hidden="false" customHeight="false" outlineLevel="0" collapsed="false">
      <c r="A5" s="12" t="n">
        <v>123456</v>
      </c>
      <c r="B5" s="12" t="s">
        <v>139</v>
      </c>
      <c r="C5" s="12" t="s">
        <v>140</v>
      </c>
      <c r="D5" s="12" t="s">
        <v>141</v>
      </c>
      <c r="E5" s="14" t="n">
        <v>150000</v>
      </c>
      <c r="F5" s="36"/>
      <c r="G5" s="12" t="n">
        <v>2080</v>
      </c>
      <c r="H5" s="37" t="n">
        <f aca="false">IF(A5="","",IF(D5="Exempt",IF(G5=0,"",E5/G5),F5))</f>
        <v>72.1153846153846</v>
      </c>
      <c r="I5" s="26" t="str">
        <f aca="false">IF(A5="","",IF(D5="Non-Exempt",H5*1.5,"N/A"))</f>
        <v>N/A</v>
      </c>
      <c r="J5" s="13" t="n">
        <v>46213</v>
      </c>
      <c r="K5" s="13"/>
      <c r="L5" s="12" t="n">
        <v>8</v>
      </c>
      <c r="M5" s="12" t="n">
        <v>0</v>
      </c>
      <c r="N5" s="38" t="n">
        <f aca="false">IF(A5="","",COUNTIFS(Labor!$A$5:$A$124,A5,Labor!$F$5:$F$124,"&lt;&gt;"))</f>
        <v>2</v>
      </c>
      <c r="O5" s="26" t="n">
        <f aca="false">IF(A5="","",L5*N5)</f>
        <v>16</v>
      </c>
      <c r="P5" s="38" t="n">
        <f aca="false">IF(A5="","",SUMIFS(Labor!$H$5:$H$124,Labor!$A$5:$A$124,A5))</f>
        <v>0</v>
      </c>
      <c r="Q5" s="26" t="n">
        <f aca="false">IF(A5="","",M5+O5-P5)</f>
        <v>16</v>
      </c>
    </row>
    <row r="6" customFormat="false" ht="15" hidden="false" customHeight="false" outlineLevel="0" collapsed="false">
      <c r="A6" s="16" t="n">
        <v>123457</v>
      </c>
      <c r="B6" s="16" t="s">
        <v>142</v>
      </c>
      <c r="C6" s="16" t="s">
        <v>143</v>
      </c>
      <c r="D6" s="16" t="s">
        <v>141</v>
      </c>
      <c r="E6" s="18" t="n">
        <v>165000</v>
      </c>
      <c r="F6" s="39"/>
      <c r="G6" s="16" t="n">
        <v>2080</v>
      </c>
      <c r="H6" s="40" t="n">
        <f aca="false">IF(A6="","",IF(D6="Exempt",IF(G6=0,"",E6/G6),F6))</f>
        <v>79.3269230769231</v>
      </c>
      <c r="I6" s="31" t="str">
        <f aca="false">IF(A6="","",IF(D6="Non-Exempt",H6*1.5,"N/A"))</f>
        <v>N/A</v>
      </c>
      <c r="J6" s="17" t="n">
        <v>46023</v>
      </c>
      <c r="K6" s="17"/>
      <c r="L6" s="16" t="n">
        <v>8</v>
      </c>
      <c r="M6" s="16" t="n">
        <v>12</v>
      </c>
      <c r="N6" s="41" t="n">
        <f aca="false">IF(A6="","",COUNTIFS(Labor!$A$5:$A$124,A6,Labor!$F$5:$F$124,"&lt;&gt;"))</f>
        <v>2</v>
      </c>
      <c r="O6" s="31" t="n">
        <f aca="false">IF(A6="","",L6*N6)</f>
        <v>16</v>
      </c>
      <c r="P6" s="41" t="n">
        <f aca="false">IF(A6="","",SUMIFS(Labor!$H$5:$H$124,Labor!$A$5:$A$124,A6))</f>
        <v>8</v>
      </c>
      <c r="Q6" s="31" t="n">
        <f aca="false">IF(A6="","",M6+O6-P6)</f>
        <v>20</v>
      </c>
    </row>
    <row r="7" customFormat="false" ht="15" hidden="false" customHeight="false" outlineLevel="0" collapsed="false">
      <c r="A7" s="12" t="n">
        <v>123458</v>
      </c>
      <c r="B7" s="12" t="s">
        <v>144</v>
      </c>
      <c r="C7" s="12" t="s">
        <v>145</v>
      </c>
      <c r="D7" s="12" t="s">
        <v>146</v>
      </c>
      <c r="E7" s="14"/>
      <c r="F7" s="36" t="n">
        <v>28.5</v>
      </c>
      <c r="G7" s="12" t="n">
        <v>2080</v>
      </c>
      <c r="H7" s="37" t="n">
        <f aca="false">IF(A7="","",IF(D7="Exempt",IF(G7=0,"",E7/G7),F7))</f>
        <v>28.5</v>
      </c>
      <c r="I7" s="37" t="n">
        <f aca="false">IF(A7="","",IF(D7="Non-Exempt",H7*1.5,"N/A"))</f>
        <v>42.75</v>
      </c>
      <c r="J7" s="13" t="n">
        <v>46023</v>
      </c>
      <c r="K7" s="13"/>
      <c r="L7" s="12" t="n">
        <v>6.67</v>
      </c>
      <c r="M7" s="12" t="n">
        <v>5</v>
      </c>
      <c r="N7" s="38" t="n">
        <f aca="false">IF(A7="","",COUNTIFS(Labor!$A$5:$A$124,A7,Labor!$F$5:$F$124,"&lt;&gt;"))</f>
        <v>1</v>
      </c>
      <c r="O7" s="26" t="n">
        <f aca="false">IF(A7="","",L7*N7)</f>
        <v>6.67</v>
      </c>
      <c r="P7" s="38" t="n">
        <f aca="false">IF(A7="","",SUMIFS(Labor!$H$5:$H$124,Labor!$A$5:$A$124,A7))</f>
        <v>0</v>
      </c>
      <c r="Q7" s="26" t="n">
        <f aca="false">IF(A7="","",M7+O7-P7)</f>
        <v>11.67</v>
      </c>
    </row>
    <row r="8" customFormat="false" ht="15" hidden="false" customHeight="false" outlineLevel="0" collapsed="false">
      <c r="A8" s="16"/>
      <c r="B8" s="16"/>
      <c r="C8" s="16"/>
      <c r="D8" s="16"/>
      <c r="E8" s="18"/>
      <c r="F8" s="39"/>
      <c r="G8" s="16" t="n">
        <v>2080</v>
      </c>
      <c r="H8" s="40" t="str">
        <f aca="false">IF(A8="","",IF(D8="Exempt",IF(G8=0,"",E8/G8),F8))</f>
        <v/>
      </c>
      <c r="I8" s="31" t="str">
        <f aca="false">IF(A8="","",IF(D8="Non-Exempt",H8*1.5,"N/A"))</f>
        <v/>
      </c>
      <c r="J8" s="17"/>
      <c r="K8" s="17"/>
      <c r="L8" s="16"/>
      <c r="M8" s="16"/>
      <c r="N8" s="41" t="str">
        <f aca="false">IF(A8="","",COUNTIFS(Labor!$A$5:$A$124,A8,Labor!$F$5:$F$124,"&lt;&gt;"))</f>
        <v/>
      </c>
      <c r="O8" s="31" t="str">
        <f aca="false">IF(A8="","",L8*N8)</f>
        <v/>
      </c>
      <c r="P8" s="41" t="str">
        <f aca="false">IF(A8="","",SUMIFS(Labor!$H$5:$H$124,Labor!$A$5:$A$124,A8))</f>
        <v/>
      </c>
      <c r="Q8" s="31" t="str">
        <f aca="false">IF(A8="","",M8+O8-P8)</f>
        <v/>
      </c>
    </row>
    <row r="9" customFormat="false" ht="15" hidden="false" customHeight="false" outlineLevel="0" collapsed="false">
      <c r="A9" s="12"/>
      <c r="B9" s="12"/>
      <c r="C9" s="12"/>
      <c r="D9" s="12"/>
      <c r="E9" s="14"/>
      <c r="F9" s="36"/>
      <c r="G9" s="12" t="n">
        <v>2080</v>
      </c>
      <c r="H9" s="37" t="str">
        <f aca="false">IF(A9="","",IF(D9="Exempt",IF(G9=0,"",E9/G9),F9))</f>
        <v/>
      </c>
      <c r="I9" s="26" t="str">
        <f aca="false">IF(A9="","",IF(D9="Non-Exempt",H9*1.5,"N/A"))</f>
        <v/>
      </c>
      <c r="J9" s="13"/>
      <c r="K9" s="13"/>
      <c r="L9" s="12"/>
      <c r="M9" s="12"/>
      <c r="N9" s="38" t="str">
        <f aca="false">IF(A9="","",COUNTIFS(Labor!$A$5:$A$124,A9,Labor!$F$5:$F$124,"&lt;&gt;"))</f>
        <v/>
      </c>
      <c r="O9" s="26" t="str">
        <f aca="false">IF(A9="","",L9*N9)</f>
        <v/>
      </c>
      <c r="P9" s="38" t="str">
        <f aca="false">IF(A9="","",SUMIFS(Labor!$H$5:$H$124,Labor!$A$5:$A$124,A9))</f>
        <v/>
      </c>
      <c r="Q9" s="26" t="str">
        <f aca="false">IF(A9="","",M9+O9-P9)</f>
        <v/>
      </c>
    </row>
    <row r="10" customFormat="false" ht="15" hidden="false" customHeight="false" outlineLevel="0" collapsed="false">
      <c r="A10" s="16"/>
      <c r="B10" s="16"/>
      <c r="C10" s="16"/>
      <c r="D10" s="16"/>
      <c r="E10" s="18"/>
      <c r="F10" s="39"/>
      <c r="G10" s="16" t="n">
        <v>2080</v>
      </c>
      <c r="H10" s="40" t="str">
        <f aca="false">IF(A10="","",IF(D10="Exempt",IF(G10=0,"",E10/G10),F10))</f>
        <v/>
      </c>
      <c r="I10" s="31" t="str">
        <f aca="false">IF(A10="","",IF(D10="Non-Exempt",H10*1.5,"N/A"))</f>
        <v/>
      </c>
      <c r="J10" s="17"/>
      <c r="K10" s="17"/>
      <c r="L10" s="16"/>
      <c r="M10" s="16"/>
      <c r="N10" s="41" t="str">
        <f aca="false">IF(A10="","",COUNTIFS(Labor!$A$5:$A$124,A10,Labor!$F$5:$F$124,"&lt;&gt;"))</f>
        <v/>
      </c>
      <c r="O10" s="31" t="str">
        <f aca="false">IF(A10="","",L10*N10)</f>
        <v/>
      </c>
      <c r="P10" s="41" t="str">
        <f aca="false">IF(A10="","",SUMIFS(Labor!$H$5:$H$124,Labor!$A$5:$A$124,A10))</f>
        <v/>
      </c>
      <c r="Q10" s="31" t="str">
        <f aca="false">IF(A10="","",M10+O10-P10)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4"/>
      <c r="F11" s="36"/>
      <c r="G11" s="12" t="n">
        <v>2080</v>
      </c>
      <c r="H11" s="37" t="str">
        <f aca="false">IF(A11="","",IF(D11="Exempt",IF(G11=0,"",E11/G11),F11))</f>
        <v/>
      </c>
      <c r="I11" s="26" t="str">
        <f aca="false">IF(A11="","",IF(D11="Non-Exempt",H11*1.5,"N/A"))</f>
        <v/>
      </c>
      <c r="J11" s="13"/>
      <c r="K11" s="13"/>
      <c r="L11" s="12"/>
      <c r="M11" s="12"/>
      <c r="N11" s="38" t="str">
        <f aca="false">IF(A11="","",COUNTIFS(Labor!$A$5:$A$124,A11,Labor!$F$5:$F$124,"&lt;&gt;"))</f>
        <v/>
      </c>
      <c r="O11" s="26" t="str">
        <f aca="false">IF(A11="","",L11*N11)</f>
        <v/>
      </c>
      <c r="P11" s="38" t="str">
        <f aca="false">IF(A11="","",SUMIFS(Labor!$H$5:$H$124,Labor!$A$5:$A$124,A11))</f>
        <v/>
      </c>
      <c r="Q11" s="26" t="str">
        <f aca="false">IF(A11="","",M11+O11-P11)</f>
        <v/>
      </c>
    </row>
    <row r="12" customFormat="false" ht="15" hidden="false" customHeight="false" outlineLevel="0" collapsed="false">
      <c r="A12" s="16"/>
      <c r="B12" s="16"/>
      <c r="C12" s="16"/>
      <c r="D12" s="16"/>
      <c r="E12" s="18"/>
      <c r="F12" s="39"/>
      <c r="G12" s="16" t="n">
        <v>2080</v>
      </c>
      <c r="H12" s="40" t="str">
        <f aca="false">IF(A12="","",IF(D12="Exempt",IF(G12=0,"",E12/G12),F12))</f>
        <v/>
      </c>
      <c r="I12" s="31" t="str">
        <f aca="false">IF(A12="","",IF(D12="Non-Exempt",H12*1.5,"N/A"))</f>
        <v/>
      </c>
      <c r="J12" s="17"/>
      <c r="K12" s="17"/>
      <c r="L12" s="16"/>
      <c r="M12" s="16"/>
      <c r="N12" s="41" t="str">
        <f aca="false">IF(A12="","",COUNTIFS(Labor!$A$5:$A$124,A12,Labor!$F$5:$F$124,"&lt;&gt;"))</f>
        <v/>
      </c>
      <c r="O12" s="31" t="str">
        <f aca="false">IF(A12="","",L12*N12)</f>
        <v/>
      </c>
      <c r="P12" s="41" t="str">
        <f aca="false">IF(A12="","",SUMIFS(Labor!$H$5:$H$124,Labor!$A$5:$A$124,A12))</f>
        <v/>
      </c>
      <c r="Q12" s="31" t="str">
        <f aca="false">IF(A12="","",M12+O12-P12)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4"/>
      <c r="F13" s="36"/>
      <c r="G13" s="12" t="n">
        <v>2080</v>
      </c>
      <c r="H13" s="37" t="str">
        <f aca="false">IF(A13="","",IF(D13="Exempt",IF(G13=0,"",E13/G13),F13))</f>
        <v/>
      </c>
      <c r="I13" s="26" t="str">
        <f aca="false">IF(A13="","",IF(D13="Non-Exempt",H13*1.5,"N/A"))</f>
        <v/>
      </c>
      <c r="J13" s="13"/>
      <c r="K13" s="13"/>
      <c r="L13" s="12"/>
      <c r="M13" s="12"/>
      <c r="N13" s="38" t="str">
        <f aca="false">IF(A13="","",COUNTIFS(Labor!$A$5:$A$124,A13,Labor!$F$5:$F$124,"&lt;&gt;"))</f>
        <v/>
      </c>
      <c r="O13" s="26" t="str">
        <f aca="false">IF(A13="","",L13*N13)</f>
        <v/>
      </c>
      <c r="P13" s="38" t="str">
        <f aca="false">IF(A13="","",SUMIFS(Labor!$H$5:$H$124,Labor!$A$5:$A$124,A13))</f>
        <v/>
      </c>
      <c r="Q13" s="26" t="str">
        <f aca="false">IF(A13="","",M13+O13-P13)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8"/>
      <c r="F14" s="39"/>
      <c r="G14" s="16" t="n">
        <v>2080</v>
      </c>
      <c r="H14" s="40" t="str">
        <f aca="false">IF(A14="","",IF(D14="Exempt",IF(G14=0,"",E14/G14),F14))</f>
        <v/>
      </c>
      <c r="I14" s="31" t="str">
        <f aca="false">IF(A14="","",IF(D14="Non-Exempt",H14*1.5,"N/A"))</f>
        <v/>
      </c>
      <c r="J14" s="17"/>
      <c r="K14" s="17"/>
      <c r="L14" s="16"/>
      <c r="M14" s="16"/>
      <c r="N14" s="41" t="str">
        <f aca="false">IF(A14="","",COUNTIFS(Labor!$A$5:$A$124,A14,Labor!$F$5:$F$124,"&lt;&gt;"))</f>
        <v/>
      </c>
      <c r="O14" s="31" t="str">
        <f aca="false">IF(A14="","",L14*N14)</f>
        <v/>
      </c>
      <c r="P14" s="41" t="str">
        <f aca="false">IF(A14="","",SUMIFS(Labor!$H$5:$H$124,Labor!$A$5:$A$124,A14))</f>
        <v/>
      </c>
      <c r="Q14" s="31" t="str">
        <f aca="false">IF(A14="","",M14+O14-P14)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4"/>
      <c r="F15" s="36"/>
      <c r="G15" s="12" t="n">
        <v>2080</v>
      </c>
      <c r="H15" s="37" t="str">
        <f aca="false">IF(A15="","",IF(D15="Exempt",IF(G15=0,"",E15/G15),F15))</f>
        <v/>
      </c>
      <c r="I15" s="26" t="str">
        <f aca="false">IF(A15="","",IF(D15="Non-Exempt",H15*1.5,"N/A"))</f>
        <v/>
      </c>
      <c r="J15" s="13"/>
      <c r="K15" s="13"/>
      <c r="L15" s="12"/>
      <c r="M15" s="12"/>
      <c r="N15" s="38" t="str">
        <f aca="false">IF(A15="","",COUNTIFS(Labor!$A$5:$A$124,A15,Labor!$F$5:$F$124,"&lt;&gt;"))</f>
        <v/>
      </c>
      <c r="O15" s="26" t="str">
        <f aca="false">IF(A15="","",L15*N15)</f>
        <v/>
      </c>
      <c r="P15" s="38" t="str">
        <f aca="false">IF(A15="","",SUMIFS(Labor!$H$5:$H$124,Labor!$A$5:$A$124,A15))</f>
        <v/>
      </c>
      <c r="Q15" s="26" t="str">
        <f aca="false">IF(A15="","",M15+O15-P15)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8"/>
      <c r="F16" s="39"/>
      <c r="G16" s="16" t="n">
        <v>2080</v>
      </c>
      <c r="H16" s="40" t="str">
        <f aca="false">IF(A16="","",IF(D16="Exempt",IF(G16=0,"",E16/G16),F16))</f>
        <v/>
      </c>
      <c r="I16" s="31" t="str">
        <f aca="false">IF(A16="","",IF(D16="Non-Exempt",H16*1.5,"N/A"))</f>
        <v/>
      </c>
      <c r="J16" s="17"/>
      <c r="K16" s="17"/>
      <c r="L16" s="16"/>
      <c r="M16" s="16"/>
      <c r="N16" s="41" t="str">
        <f aca="false">IF(A16="","",COUNTIFS(Labor!$A$5:$A$124,A16,Labor!$F$5:$F$124,"&lt;&gt;"))</f>
        <v/>
      </c>
      <c r="O16" s="31" t="str">
        <f aca="false">IF(A16="","",L16*N16)</f>
        <v/>
      </c>
      <c r="P16" s="41" t="str">
        <f aca="false">IF(A16="","",SUMIFS(Labor!$H$5:$H$124,Labor!$A$5:$A$124,A16))</f>
        <v/>
      </c>
      <c r="Q16" s="31" t="str">
        <f aca="false">IF(A16="","",M16+O16-P16)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4"/>
      <c r="F17" s="36"/>
      <c r="G17" s="12" t="n">
        <v>2080</v>
      </c>
      <c r="H17" s="37" t="str">
        <f aca="false">IF(A17="","",IF(D17="Exempt",IF(G17=0,"",E17/G17),F17))</f>
        <v/>
      </c>
      <c r="I17" s="26" t="str">
        <f aca="false">IF(A17="","",IF(D17="Non-Exempt",H17*1.5,"N/A"))</f>
        <v/>
      </c>
      <c r="J17" s="13"/>
      <c r="K17" s="13"/>
      <c r="L17" s="12"/>
      <c r="M17" s="12"/>
      <c r="N17" s="38" t="str">
        <f aca="false">IF(A17="","",COUNTIFS(Labor!$A$5:$A$124,A17,Labor!$F$5:$F$124,"&lt;&gt;"))</f>
        <v/>
      </c>
      <c r="O17" s="26" t="str">
        <f aca="false">IF(A17="","",L17*N17)</f>
        <v/>
      </c>
      <c r="P17" s="38" t="str">
        <f aca="false">IF(A17="","",SUMIFS(Labor!$H$5:$H$124,Labor!$A$5:$A$124,A17))</f>
        <v/>
      </c>
      <c r="Q17" s="26" t="str">
        <f aca="false">IF(A17="","",M17+O17-P17)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8"/>
      <c r="F18" s="39"/>
      <c r="G18" s="16" t="n">
        <v>2080</v>
      </c>
      <c r="H18" s="40" t="str">
        <f aca="false">IF(A18="","",IF(D18="Exempt",IF(G18=0,"",E18/G18),F18))</f>
        <v/>
      </c>
      <c r="I18" s="31" t="str">
        <f aca="false">IF(A18="","",IF(D18="Non-Exempt",H18*1.5,"N/A"))</f>
        <v/>
      </c>
      <c r="J18" s="17"/>
      <c r="K18" s="17"/>
      <c r="L18" s="16"/>
      <c r="M18" s="16"/>
      <c r="N18" s="41" t="str">
        <f aca="false">IF(A18="","",COUNTIFS(Labor!$A$5:$A$124,A18,Labor!$F$5:$F$124,"&lt;&gt;"))</f>
        <v/>
      </c>
      <c r="O18" s="31" t="str">
        <f aca="false">IF(A18="","",L18*N18)</f>
        <v/>
      </c>
      <c r="P18" s="41" t="str">
        <f aca="false">IF(A18="","",SUMIFS(Labor!$H$5:$H$124,Labor!$A$5:$A$124,A18))</f>
        <v/>
      </c>
      <c r="Q18" s="31" t="str">
        <f aca="false">IF(A18="","",M18+O18-P18)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4"/>
      <c r="F19" s="36"/>
      <c r="G19" s="12" t="n">
        <v>2080</v>
      </c>
      <c r="H19" s="37" t="str">
        <f aca="false">IF(A19="","",IF(D19="Exempt",IF(G19=0,"",E19/G19),F19))</f>
        <v/>
      </c>
      <c r="I19" s="26" t="str">
        <f aca="false">IF(A19="","",IF(D19="Non-Exempt",H19*1.5,"N/A"))</f>
        <v/>
      </c>
      <c r="J19" s="13"/>
      <c r="K19" s="13"/>
      <c r="L19" s="12"/>
      <c r="M19" s="12"/>
      <c r="N19" s="38" t="str">
        <f aca="false">IF(A19="","",COUNTIFS(Labor!$A$5:$A$124,A19,Labor!$F$5:$F$124,"&lt;&gt;"))</f>
        <v/>
      </c>
      <c r="O19" s="26" t="str">
        <f aca="false">IF(A19="","",L19*N19)</f>
        <v/>
      </c>
      <c r="P19" s="38" t="str">
        <f aca="false">IF(A19="","",SUMIFS(Labor!$H$5:$H$124,Labor!$A$5:$A$124,A19))</f>
        <v/>
      </c>
      <c r="Q19" s="26" t="str">
        <f aca="false">IF(A19="","",M19+O19-P19)</f>
        <v/>
      </c>
    </row>
    <row r="21" customFormat="false" ht="15" hidden="false" customHeight="false" outlineLevel="0" collapsed="false">
      <c r="A21" s="2" t="s">
        <v>86</v>
      </c>
    </row>
  </sheetData>
  <dataValidations count="1">
    <dataValidation allowBlank="true" errorStyle="stop" operator="between" showDropDown="false" showErrorMessage="false" showInputMessage="false" sqref="D5:D19" type="list">
      <formula1>"Exempt,Non-Exempt"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8"/>
    <col collapsed="false" customWidth="true" hidden="false" outlineLevel="0" max="14" min="13" style="0" width="9"/>
    <col collapsed="false" customWidth="true" hidden="false" outlineLevel="0" max="17" min="15" style="0" width="8"/>
    <col collapsed="false" customWidth="true" hidden="false" outlineLevel="0" max="18" min="18" style="0" width="9"/>
    <col collapsed="false" customWidth="true" hidden="false" outlineLevel="0" max="19" min="19" style="0" width="11"/>
  </cols>
  <sheetData>
    <row r="1" customFormat="false" ht="21.75" hidden="false" customHeight="true" outlineLevel="0" collapsed="false">
      <c r="B1" s="3" t="s">
        <v>147</v>
      </c>
      <c r="S1" s="6" t="s">
        <v>56</v>
      </c>
    </row>
    <row r="3" customFormat="false" ht="15" hidden="false" customHeight="false" outlineLevel="0" collapsed="false">
      <c r="A3" s="25" t="s">
        <v>148</v>
      </c>
    </row>
    <row r="4" customFormat="false" ht="39.75" hidden="false" customHeight="true" outlineLevel="0" collapsed="false">
      <c r="A4" s="11" t="s">
        <v>122</v>
      </c>
      <c r="B4" s="11" t="s">
        <v>149</v>
      </c>
      <c r="C4" s="11" t="s">
        <v>124</v>
      </c>
      <c r="D4" s="11" t="s">
        <v>105</v>
      </c>
      <c r="E4" s="11" t="s">
        <v>106</v>
      </c>
      <c r="F4" s="11" t="s">
        <v>150</v>
      </c>
      <c r="G4" s="11" t="s">
        <v>151</v>
      </c>
      <c r="H4" s="11" t="s">
        <v>152</v>
      </c>
      <c r="I4" s="11" t="s">
        <v>153</v>
      </c>
      <c r="J4" s="11" t="s">
        <v>154</v>
      </c>
      <c r="K4" s="11" t="s">
        <v>155</v>
      </c>
      <c r="L4" s="11" t="s">
        <v>156</v>
      </c>
      <c r="M4" s="11" t="s">
        <v>157</v>
      </c>
      <c r="N4" s="11" t="s">
        <v>158</v>
      </c>
      <c r="O4" s="11" t="s">
        <v>159</v>
      </c>
      <c r="P4" s="11" t="s">
        <v>160</v>
      </c>
      <c r="Q4" s="11" t="s">
        <v>161</v>
      </c>
      <c r="R4" s="11" t="s">
        <v>162</v>
      </c>
      <c r="S4" s="11" t="s">
        <v>163</v>
      </c>
    </row>
    <row r="5" customFormat="false" ht="15" hidden="false" customHeight="false" outlineLevel="0" collapsed="false">
      <c r="A5" s="12" t="n">
        <v>123456</v>
      </c>
      <c r="B5" s="38" t="str">
        <f aca="false">IF(A5="","",IFERROR(INDEX(Personnel!$B$5:$B$19,MATCH($A5,Personnel!$A$5:$A$19,0)),"-- not found --"))</f>
        <v>John Smith</v>
      </c>
      <c r="C5" s="38" t="str">
        <f aca="false">IF(A5="","",IFERROR(INDEX(Personnel!$C$5:$C$19,MATCH($A5,Personnel!$A$5:$A$19,0)),""))</f>
        <v>Engineer 4</v>
      </c>
      <c r="D5" s="12" t="n">
        <v>7</v>
      </c>
      <c r="E5" s="27" t="n">
        <f aca="false">IF(D5="","",EDATE(Dashboard!$C$5,D5-1))</f>
        <v>46204</v>
      </c>
      <c r="F5" s="12" t="n">
        <v>60</v>
      </c>
      <c r="G5" s="12" t="n">
        <v>0</v>
      </c>
      <c r="H5" s="12" t="n">
        <v>0</v>
      </c>
      <c r="I5" s="42" t="n">
        <f aca="false">IFERROR(IF(OR(A5="",D5=""),"",MAX(0,(INDEX(Personnel!$G$5:$G$19,MATCH($A5,Personnel!$A$5:$A$19,0))/12)*((MIN(EOMONTH(E5,0),IF(INDEX(Personnel!$K$5:$K$19,MATCH($A5,Personnel!$A$5:$A$19,0))="",EOMONTH(E5,0),INDEX(Personnel!$K$5:$K$19,MATCH($A5,Personnel!$A$5:$A$19,0))))-MAX(DATE(YEAR(E5),MONTH(E5),1),INDEX(Personnel!$J$5:$J$19,MATCH($A5,Personnel!$A$5:$A$19,0)))+1)/DAY(EOMONTH(E5,0))))),"")</f>
        <v>123.010752688172</v>
      </c>
      <c r="J5" s="43" t="n">
        <f aca="false">IF(OR(I5="",A5=""),"",(F5+G5+H5)-I5)</f>
        <v>-63.0107526881721</v>
      </c>
      <c r="K5" s="44" t="n">
        <f aca="false">IF(A5="","",IFERROR(INDEX(Personnel!$H$5:$H$19,MATCH($A5,Personnel!$A$5:$A$19,0)),""))</f>
        <v>72.1153846153846</v>
      </c>
      <c r="L5" s="38" t="str">
        <f aca="false">IF(A5="","",IFERROR(INDEX(Personnel!$I$5:$I$19,MATCH($A5,Personnel!$A$5:$A$19,0)),""))</f>
        <v>N/A</v>
      </c>
      <c r="M5" s="15" t="n">
        <f aca="false">IF(A5="","",F5*K5)</f>
        <v>4326.92307692308</v>
      </c>
      <c r="N5" s="15" t="n">
        <f aca="false">IF(A5="","",IFERROR(G5*L5,0))</f>
        <v>0</v>
      </c>
      <c r="O5" s="15" t="n">
        <f aca="false">IF(A5="","",H5*K5)</f>
        <v>0</v>
      </c>
      <c r="P5" s="15" t="n">
        <f aca="false">IF(A5="","",SUM(M5:O5))</f>
        <v>4326.92307692308</v>
      </c>
      <c r="Q5" s="28" t="n">
        <f aca="false">IF(P5="","",P5*Rates!$B$3)</f>
        <v>1514.42307692308</v>
      </c>
      <c r="R5" s="28" t="n">
        <f aca="false">IF(P5="","",(P5+Q5)*Rates!$B$4)</f>
        <v>3212.74038461539</v>
      </c>
      <c r="S5" s="15" t="n">
        <f aca="false">IF(P5="","",P5+Q5+R5)</f>
        <v>9054.08653846154</v>
      </c>
    </row>
    <row r="6" customFormat="false" ht="15" hidden="false" customHeight="false" outlineLevel="0" collapsed="false">
      <c r="A6" s="16" t="n">
        <v>123456</v>
      </c>
      <c r="B6" s="41" t="str">
        <f aca="false">IF(A6="","",IFERROR(INDEX(Personnel!$B$5:$B$19,MATCH($A6,Personnel!$A$5:$A$19,0)),"-- not found --"))</f>
        <v>John Smith</v>
      </c>
      <c r="C6" s="41" t="str">
        <f aca="false">IF(A6="","",IFERROR(INDEX(Personnel!$C$5:$C$19,MATCH($A6,Personnel!$A$5:$A$19,0)),""))</f>
        <v>Engineer 4</v>
      </c>
      <c r="D6" s="16" t="n">
        <v>8</v>
      </c>
      <c r="E6" s="32" t="n">
        <f aca="false">IF(D6="","",EDATE(Dashboard!$C$5,D6-1))</f>
        <v>46235</v>
      </c>
      <c r="F6" s="16" t="n">
        <v>173.33</v>
      </c>
      <c r="G6" s="16" t="n">
        <v>0</v>
      </c>
      <c r="H6" s="16" t="n">
        <v>0</v>
      </c>
      <c r="I6" s="45" t="n">
        <f aca="false">IFERROR(IF(OR(A6="",D6=""),"",MAX(0,(INDEX(Personnel!$G$5:$G$19,MATCH($A6,Personnel!$A$5:$A$19,0))/12)*((MIN(EOMONTH(E6,0),IF(INDEX(Personnel!$K$5:$K$19,MATCH($A6,Personnel!$A$5:$A$19,0))="",EOMONTH(E6,0),INDEX(Personnel!$K$5:$K$19,MATCH($A6,Personnel!$A$5:$A$19,0))))-MAX(DATE(YEAR(E6),MONTH(E6),1),INDEX(Personnel!$J$5:$J$19,MATCH($A6,Personnel!$A$5:$A$19,0)))+1)/DAY(EOMONTH(E6,0))))),"")</f>
        <v>173.333333333333</v>
      </c>
      <c r="J6" s="46" t="n">
        <f aca="false">IF(OR(I6="",A6=""),"",(F6+G6+H6)-I6)</f>
        <v>-0.0033333333333303</v>
      </c>
      <c r="K6" s="47" t="n">
        <f aca="false">IF(A6="","",IFERROR(INDEX(Personnel!$H$5:$H$19,MATCH($A6,Personnel!$A$5:$A$19,0)),""))</f>
        <v>72.1153846153846</v>
      </c>
      <c r="L6" s="41" t="str">
        <f aca="false">IF(A6="","",IFERROR(INDEX(Personnel!$I$5:$I$19,MATCH($A6,Personnel!$A$5:$A$19,0)),""))</f>
        <v>N/A</v>
      </c>
      <c r="M6" s="19" t="n">
        <f aca="false">IF(A6="","",F6*K6)</f>
        <v>12499.7596153846</v>
      </c>
      <c r="N6" s="19" t="n">
        <f aca="false">IF(A6="","",IFERROR(G6*L6,0))</f>
        <v>0</v>
      </c>
      <c r="O6" s="19" t="n">
        <f aca="false">IF(A6="","",H6*K6)</f>
        <v>0</v>
      </c>
      <c r="P6" s="19" t="n">
        <f aca="false">IF(A6="","",SUM(M6:O6))</f>
        <v>12499.7596153846</v>
      </c>
      <c r="Q6" s="33" t="n">
        <f aca="false">IF(P6="","",P6*Rates!$B$3)</f>
        <v>4374.91586538462</v>
      </c>
      <c r="R6" s="33" t="n">
        <f aca="false">IF(P6="","",(P6+Q6)*Rates!$B$4)</f>
        <v>9281.07151442308</v>
      </c>
      <c r="S6" s="19" t="n">
        <f aca="false">IF(P6="","",P6+Q6+R6)</f>
        <v>26155.7469951923</v>
      </c>
    </row>
    <row r="7" customFormat="false" ht="15" hidden="false" customHeight="false" outlineLevel="0" collapsed="false">
      <c r="A7" s="12" t="n">
        <v>123457</v>
      </c>
      <c r="B7" s="38" t="str">
        <f aca="false">IF(A7="","",IFERROR(INDEX(Personnel!$B$5:$B$19,MATCH($A7,Personnel!$A$5:$A$19,0)),"-- not found --"))</f>
        <v>Maria Alvarez</v>
      </c>
      <c r="C7" s="38" t="str">
        <f aca="false">IF(A7="","",IFERROR(INDEX(Personnel!$C$5:$C$19,MATCH($A7,Personnel!$A$5:$A$19,0)),""))</f>
        <v>Program Manager</v>
      </c>
      <c r="D7" s="12" t="n">
        <v>1</v>
      </c>
      <c r="E7" s="27" t="n">
        <f aca="false">IF(D7="","",EDATE(Dashboard!$C$5,D7-1))</f>
        <v>46023</v>
      </c>
      <c r="F7" s="12" t="n">
        <v>173.33</v>
      </c>
      <c r="G7" s="12" t="n">
        <v>0</v>
      </c>
      <c r="H7" s="12" t="n">
        <v>8</v>
      </c>
      <c r="I7" s="42" t="n">
        <f aca="false">IFERROR(IF(OR(A7="",D7=""),"",MAX(0,(INDEX(Personnel!$G$5:$G$19,MATCH($A7,Personnel!$A$5:$A$19,0))/12)*((MIN(EOMONTH(E7,0),IF(INDEX(Personnel!$K$5:$K$19,MATCH($A7,Personnel!$A$5:$A$19,0))="",EOMONTH(E7,0),INDEX(Personnel!$K$5:$K$19,MATCH($A7,Personnel!$A$5:$A$19,0))))-MAX(DATE(YEAR(E7),MONTH(E7),1),INDEX(Personnel!$J$5:$J$19,MATCH($A7,Personnel!$A$5:$A$19,0)))+1)/DAY(EOMONTH(E7,0))))),"")</f>
        <v>173.333333333333</v>
      </c>
      <c r="J7" s="43" t="n">
        <f aca="false">IF(OR(I7="",A7=""),"",(F7+G7+H7)-I7)</f>
        <v>7.99666666666667</v>
      </c>
      <c r="K7" s="44" t="n">
        <f aca="false">IF(A7="","",IFERROR(INDEX(Personnel!$H$5:$H$19,MATCH($A7,Personnel!$A$5:$A$19,0)),""))</f>
        <v>79.3269230769231</v>
      </c>
      <c r="L7" s="38" t="str">
        <f aca="false">IF(A7="","",IFERROR(INDEX(Personnel!$I$5:$I$19,MATCH($A7,Personnel!$A$5:$A$19,0)),""))</f>
        <v>N/A</v>
      </c>
      <c r="M7" s="15" t="n">
        <f aca="false">IF(A7="","",F7*K7)</f>
        <v>13749.7355769231</v>
      </c>
      <c r="N7" s="15" t="n">
        <f aca="false">IF(A7="","",IFERROR(G7*L7,0))</f>
        <v>0</v>
      </c>
      <c r="O7" s="15" t="n">
        <f aca="false">IF(A7="","",H7*K7)</f>
        <v>634.615384615385</v>
      </c>
      <c r="P7" s="15" t="n">
        <f aca="false">IF(A7="","",SUM(M7:O7))</f>
        <v>14384.3509615385</v>
      </c>
      <c r="Q7" s="28" t="n">
        <f aca="false">IF(P7="","",P7*Rates!$B$3)</f>
        <v>5034.52283653846</v>
      </c>
      <c r="R7" s="28" t="n">
        <f aca="false">IF(P7="","",(P7+Q7)*Rates!$B$4)</f>
        <v>10680.3805889423</v>
      </c>
      <c r="S7" s="15" t="n">
        <f aca="false">IF(P7="","",P7+Q7+R7)</f>
        <v>30099.2543870192</v>
      </c>
    </row>
    <row r="8" customFormat="false" ht="15" hidden="false" customHeight="false" outlineLevel="0" collapsed="false">
      <c r="A8" s="16" t="n">
        <v>123457</v>
      </c>
      <c r="B8" s="41" t="str">
        <f aca="false">IF(A8="","",IFERROR(INDEX(Personnel!$B$5:$B$19,MATCH($A8,Personnel!$A$5:$A$19,0)),"-- not found --"))</f>
        <v>Maria Alvarez</v>
      </c>
      <c r="C8" s="41" t="str">
        <f aca="false">IF(A8="","",IFERROR(INDEX(Personnel!$C$5:$C$19,MATCH($A8,Personnel!$A$5:$A$19,0)),""))</f>
        <v>Program Manager</v>
      </c>
      <c r="D8" s="16" t="n">
        <v>2</v>
      </c>
      <c r="E8" s="32" t="n">
        <f aca="false">IF(D8="","",EDATE(Dashboard!$C$5,D8-1))</f>
        <v>46054</v>
      </c>
      <c r="F8" s="16" t="n">
        <v>173.33</v>
      </c>
      <c r="G8" s="16" t="n">
        <v>0</v>
      </c>
      <c r="H8" s="16" t="n">
        <v>0</v>
      </c>
      <c r="I8" s="45" t="n">
        <f aca="false">IFERROR(IF(OR(A8="",D8=""),"",MAX(0,(INDEX(Personnel!$G$5:$G$19,MATCH($A8,Personnel!$A$5:$A$19,0))/12)*((MIN(EOMONTH(E8,0),IF(INDEX(Personnel!$K$5:$K$19,MATCH($A8,Personnel!$A$5:$A$19,0))="",EOMONTH(E8,0),INDEX(Personnel!$K$5:$K$19,MATCH($A8,Personnel!$A$5:$A$19,0))))-MAX(DATE(YEAR(E8),MONTH(E8),1),INDEX(Personnel!$J$5:$J$19,MATCH($A8,Personnel!$A$5:$A$19,0)))+1)/DAY(EOMONTH(E8,0))))),"")</f>
        <v>173.333333333333</v>
      </c>
      <c r="J8" s="46" t="n">
        <f aca="false">IF(OR(I8="",A8=""),"",(F8+G8+H8)-I8)</f>
        <v>-0.0033333333333303</v>
      </c>
      <c r="K8" s="47" t="n">
        <f aca="false">IF(A8="","",IFERROR(INDEX(Personnel!$H$5:$H$19,MATCH($A8,Personnel!$A$5:$A$19,0)),""))</f>
        <v>79.3269230769231</v>
      </c>
      <c r="L8" s="41" t="str">
        <f aca="false">IF(A8="","",IFERROR(INDEX(Personnel!$I$5:$I$19,MATCH($A8,Personnel!$A$5:$A$19,0)),""))</f>
        <v>N/A</v>
      </c>
      <c r="M8" s="19" t="n">
        <f aca="false">IF(A8="","",F8*K8)</f>
        <v>13749.7355769231</v>
      </c>
      <c r="N8" s="19" t="n">
        <f aca="false">IF(A8="","",IFERROR(G8*L8,0))</f>
        <v>0</v>
      </c>
      <c r="O8" s="19" t="n">
        <f aca="false">IF(A8="","",H8*K8)</f>
        <v>0</v>
      </c>
      <c r="P8" s="19" t="n">
        <f aca="false">IF(A8="","",SUM(M8:O8))</f>
        <v>13749.7355769231</v>
      </c>
      <c r="Q8" s="33" t="n">
        <f aca="false">IF(P8="","",P8*Rates!$B$3)</f>
        <v>4812.40745192308</v>
      </c>
      <c r="R8" s="33" t="n">
        <f aca="false">IF(P8="","",(P8+Q8)*Rates!$B$4)</f>
        <v>10209.1786658654</v>
      </c>
      <c r="S8" s="19" t="n">
        <f aca="false">IF(P8="","",P8+Q8+R8)</f>
        <v>28771.3216947115</v>
      </c>
    </row>
    <row r="9" customFormat="false" ht="15" hidden="false" customHeight="false" outlineLevel="0" collapsed="false">
      <c r="A9" s="12" t="n">
        <v>123458</v>
      </c>
      <c r="B9" s="38" t="str">
        <f aca="false">IF(A9="","",IFERROR(INDEX(Personnel!$B$5:$B$19,MATCH($A9,Personnel!$A$5:$A$19,0)),"-- not found --"))</f>
        <v>Dave Chen</v>
      </c>
      <c r="C9" s="38" t="str">
        <f aca="false">IF(A9="","",IFERROR(INDEX(Personnel!$C$5:$C$19,MATCH($A9,Personnel!$A$5:$A$19,0)),""))</f>
        <v>Admin Support</v>
      </c>
      <c r="D9" s="12" t="n">
        <v>1</v>
      </c>
      <c r="E9" s="27" t="n">
        <f aca="false">IF(D9="","",EDATE(Dashboard!$C$5,D9-1))</f>
        <v>46023</v>
      </c>
      <c r="F9" s="12" t="n">
        <v>150</v>
      </c>
      <c r="G9" s="12" t="n">
        <v>12</v>
      </c>
      <c r="H9" s="12" t="n">
        <v>0</v>
      </c>
      <c r="I9" s="42" t="n">
        <f aca="false">IFERROR(IF(OR(A9="",D9=""),"",MAX(0,(INDEX(Personnel!$G$5:$G$19,MATCH($A9,Personnel!$A$5:$A$19,0))/12)*((MIN(EOMONTH(E9,0),IF(INDEX(Personnel!$K$5:$K$19,MATCH($A9,Personnel!$A$5:$A$19,0))="",EOMONTH(E9,0),INDEX(Personnel!$K$5:$K$19,MATCH($A9,Personnel!$A$5:$A$19,0))))-MAX(DATE(YEAR(E9),MONTH(E9),1),INDEX(Personnel!$J$5:$J$19,MATCH($A9,Personnel!$A$5:$A$19,0)))+1)/DAY(EOMONTH(E9,0))))),"")</f>
        <v>173.333333333333</v>
      </c>
      <c r="J9" s="43" t="n">
        <f aca="false">IF(OR(I9="",A9=""),"",(F9+G9+H9)-I9)</f>
        <v>-11.3333333333333</v>
      </c>
      <c r="K9" s="44" t="n">
        <f aca="false">IF(A9="","",IFERROR(INDEX(Personnel!$H$5:$H$19,MATCH($A9,Personnel!$A$5:$A$19,0)),""))</f>
        <v>28.5</v>
      </c>
      <c r="L9" s="44" t="n">
        <f aca="false">IF(A9="","",IFERROR(INDEX(Personnel!$I$5:$I$19,MATCH($A9,Personnel!$A$5:$A$19,0)),""))</f>
        <v>42.75</v>
      </c>
      <c r="M9" s="15" t="n">
        <f aca="false">IF(A9="","",F9*K9)</f>
        <v>4275</v>
      </c>
      <c r="N9" s="15" t="n">
        <f aca="false">IF(A9="","",IFERROR(G9*L9,0))</f>
        <v>513</v>
      </c>
      <c r="O9" s="15" t="n">
        <f aca="false">IF(A9="","",H9*K9)</f>
        <v>0</v>
      </c>
      <c r="P9" s="15" t="n">
        <f aca="false">IF(A9="","",SUM(M9:O9))</f>
        <v>4788</v>
      </c>
      <c r="Q9" s="28" t="n">
        <f aca="false">IF(P9="","",P9*Rates!$B$3)</f>
        <v>1675.8</v>
      </c>
      <c r="R9" s="28" t="n">
        <f aca="false">IF(P9="","",(P9+Q9)*Rates!$B$4)</f>
        <v>3555.09</v>
      </c>
      <c r="S9" s="15" t="n">
        <f aca="false">IF(P9="","",P9+Q9+R9)</f>
        <v>10018.89</v>
      </c>
    </row>
    <row r="10" customFormat="false" ht="15" hidden="false" customHeight="false" outlineLevel="0" collapsed="false">
      <c r="A10" s="16"/>
      <c r="B10" s="41" t="str">
        <f aca="false">IF(A10="","",IFERROR(INDEX(Personnel!$B$5:$B$19,MATCH($A10,Personnel!$A$5:$A$19,0)),"-- not found --"))</f>
        <v/>
      </c>
      <c r="C10" s="41" t="str">
        <f aca="false">IF(A10="","",IFERROR(INDEX(Personnel!$C$5:$C$19,MATCH($A10,Personnel!$A$5:$A$19,0)),""))</f>
        <v/>
      </c>
      <c r="D10" s="16"/>
      <c r="E10" s="32" t="str">
        <f aca="false">IF(D10="","",EDATE(Dashboard!$C$5,D10-1))</f>
        <v/>
      </c>
      <c r="F10" s="16"/>
      <c r="G10" s="16"/>
      <c r="H10" s="16"/>
      <c r="I10" s="45" t="str">
        <f aca="false">IFERROR(IF(OR(A10="",D10=""),"",MAX(0,(INDEX(Personnel!$G$5:$G$19,MATCH($A10,Personnel!$A$5:$A$19,0))/12)*((MIN(EOMONTH(E10,0),IF(INDEX(Personnel!$K$5:$K$19,MATCH($A10,Personnel!$A$5:$A$19,0))="",EOMONTH(E10,0),INDEX(Personnel!$K$5:$K$19,MATCH($A10,Personnel!$A$5:$A$19,0))))-MAX(DATE(YEAR(E10),MONTH(E10),1),INDEX(Personnel!$J$5:$J$19,MATCH($A10,Personnel!$A$5:$A$19,0)))+1)/DAY(EOMONTH(E10,0))))),"")</f>
        <v/>
      </c>
      <c r="J10" s="46" t="str">
        <f aca="false">IF(OR(I10="",A10=""),"",(F10+G10+H10)-I10)</f>
        <v/>
      </c>
      <c r="K10" s="47" t="str">
        <f aca="false">IF(A10="","",IFERROR(INDEX(Personnel!$H$5:$H$19,MATCH($A10,Personnel!$A$5:$A$19,0)),""))</f>
        <v/>
      </c>
      <c r="L10" s="41" t="str">
        <f aca="false">IF(A10="","",IFERROR(INDEX(Personnel!$I$5:$I$19,MATCH($A10,Personnel!$A$5:$A$19,0)),""))</f>
        <v/>
      </c>
      <c r="M10" s="19" t="str">
        <f aca="false">IF(A10="","",F10*K10)</f>
        <v/>
      </c>
      <c r="N10" s="19" t="str">
        <f aca="false">IF(A10="","",IFERROR(G10*L10,0))</f>
        <v/>
      </c>
      <c r="O10" s="19" t="str">
        <f aca="false">IF(A10="","",H10*K10)</f>
        <v/>
      </c>
      <c r="P10" s="19" t="str">
        <f aca="false">IF(A10="","",SUM(M10:O10))</f>
        <v/>
      </c>
      <c r="Q10" s="33" t="str">
        <f aca="false">IF(P10="","",P10*Rates!$B$3)</f>
        <v/>
      </c>
      <c r="R10" s="33" t="str">
        <f aca="false">IF(P10="","",(P10+Q10)*Rates!$B$4)</f>
        <v/>
      </c>
      <c r="S10" s="19" t="str">
        <f aca="false">IF(P10="","",P10+Q10+R10)</f>
        <v/>
      </c>
    </row>
    <row r="11" customFormat="false" ht="15" hidden="false" customHeight="false" outlineLevel="0" collapsed="false">
      <c r="A11" s="12"/>
      <c r="B11" s="38" t="str">
        <f aca="false">IF(A11="","",IFERROR(INDEX(Personnel!$B$5:$B$19,MATCH($A11,Personnel!$A$5:$A$19,0)),"-- not found --"))</f>
        <v/>
      </c>
      <c r="C11" s="38" t="str">
        <f aca="false">IF(A11="","",IFERROR(INDEX(Personnel!$C$5:$C$19,MATCH($A11,Personnel!$A$5:$A$19,0)),""))</f>
        <v/>
      </c>
      <c r="D11" s="12"/>
      <c r="E11" s="27" t="str">
        <f aca="false">IF(D11="","",EDATE(Dashboard!$C$5,D11-1))</f>
        <v/>
      </c>
      <c r="F11" s="12"/>
      <c r="G11" s="12"/>
      <c r="H11" s="12"/>
      <c r="I11" s="42" t="str">
        <f aca="false">IFERROR(IF(OR(A11="",D11=""),"",MAX(0,(INDEX(Personnel!$G$5:$G$19,MATCH($A11,Personnel!$A$5:$A$19,0))/12)*((MIN(EOMONTH(E11,0),IF(INDEX(Personnel!$K$5:$K$19,MATCH($A11,Personnel!$A$5:$A$19,0))="",EOMONTH(E11,0),INDEX(Personnel!$K$5:$K$19,MATCH($A11,Personnel!$A$5:$A$19,0))))-MAX(DATE(YEAR(E11),MONTH(E11),1),INDEX(Personnel!$J$5:$J$19,MATCH($A11,Personnel!$A$5:$A$19,0)))+1)/DAY(EOMONTH(E11,0))))),"")</f>
        <v/>
      </c>
      <c r="J11" s="43" t="str">
        <f aca="false">IF(OR(I11="",A11=""),"",(F11+G11+H11)-I11)</f>
        <v/>
      </c>
      <c r="K11" s="44" t="str">
        <f aca="false">IF(A11="","",IFERROR(INDEX(Personnel!$H$5:$H$19,MATCH($A11,Personnel!$A$5:$A$19,0)),""))</f>
        <v/>
      </c>
      <c r="L11" s="38" t="str">
        <f aca="false">IF(A11="","",IFERROR(INDEX(Personnel!$I$5:$I$19,MATCH($A11,Personnel!$A$5:$A$19,0)),""))</f>
        <v/>
      </c>
      <c r="M11" s="15" t="str">
        <f aca="false">IF(A11="","",F11*K11)</f>
        <v/>
      </c>
      <c r="N11" s="15" t="str">
        <f aca="false">IF(A11="","",IFERROR(G11*L11,0))</f>
        <v/>
      </c>
      <c r="O11" s="15" t="str">
        <f aca="false">IF(A11="","",H11*K11)</f>
        <v/>
      </c>
      <c r="P11" s="15" t="str">
        <f aca="false">IF(A11="","",SUM(M11:O11))</f>
        <v/>
      </c>
      <c r="Q11" s="28" t="str">
        <f aca="false">IF(P11="","",P11*Rates!$B$3)</f>
        <v/>
      </c>
      <c r="R11" s="28" t="str">
        <f aca="false">IF(P11="","",(P11+Q11)*Rates!$B$4)</f>
        <v/>
      </c>
      <c r="S11" s="15" t="str">
        <f aca="false">IF(P11="","",P11+Q11+R11)</f>
        <v/>
      </c>
    </row>
    <row r="12" customFormat="false" ht="15" hidden="false" customHeight="false" outlineLevel="0" collapsed="false">
      <c r="A12" s="16"/>
      <c r="B12" s="41" t="str">
        <f aca="false">IF(A12="","",IFERROR(INDEX(Personnel!$B$5:$B$19,MATCH($A12,Personnel!$A$5:$A$19,0)),"-- not found --"))</f>
        <v/>
      </c>
      <c r="C12" s="41" t="str">
        <f aca="false">IF(A12="","",IFERROR(INDEX(Personnel!$C$5:$C$19,MATCH($A12,Personnel!$A$5:$A$19,0)),""))</f>
        <v/>
      </c>
      <c r="D12" s="16"/>
      <c r="E12" s="32" t="str">
        <f aca="false">IF(D12="","",EDATE(Dashboard!$C$5,D12-1))</f>
        <v/>
      </c>
      <c r="F12" s="16"/>
      <c r="G12" s="16"/>
      <c r="H12" s="16"/>
      <c r="I12" s="45" t="str">
        <f aca="false">IFERROR(IF(OR(A12="",D12=""),"",MAX(0,(INDEX(Personnel!$G$5:$G$19,MATCH($A12,Personnel!$A$5:$A$19,0))/12)*((MIN(EOMONTH(E12,0),IF(INDEX(Personnel!$K$5:$K$19,MATCH($A12,Personnel!$A$5:$A$19,0))="",EOMONTH(E12,0),INDEX(Personnel!$K$5:$K$19,MATCH($A12,Personnel!$A$5:$A$19,0))))-MAX(DATE(YEAR(E12),MONTH(E12),1),INDEX(Personnel!$J$5:$J$19,MATCH($A12,Personnel!$A$5:$A$19,0)))+1)/DAY(EOMONTH(E12,0))))),"")</f>
        <v/>
      </c>
      <c r="J12" s="46" t="str">
        <f aca="false">IF(OR(I12="",A12=""),"",(F12+G12+H12)-I12)</f>
        <v/>
      </c>
      <c r="K12" s="47" t="str">
        <f aca="false">IF(A12="","",IFERROR(INDEX(Personnel!$H$5:$H$19,MATCH($A12,Personnel!$A$5:$A$19,0)),""))</f>
        <v/>
      </c>
      <c r="L12" s="41" t="str">
        <f aca="false">IF(A12="","",IFERROR(INDEX(Personnel!$I$5:$I$19,MATCH($A12,Personnel!$A$5:$A$19,0)),""))</f>
        <v/>
      </c>
      <c r="M12" s="19" t="str">
        <f aca="false">IF(A12="","",F12*K12)</f>
        <v/>
      </c>
      <c r="N12" s="19" t="str">
        <f aca="false">IF(A12="","",IFERROR(G12*L12,0))</f>
        <v/>
      </c>
      <c r="O12" s="19" t="str">
        <f aca="false">IF(A12="","",H12*K12)</f>
        <v/>
      </c>
      <c r="P12" s="19" t="str">
        <f aca="false">IF(A12="","",SUM(M12:O12))</f>
        <v/>
      </c>
      <c r="Q12" s="33" t="str">
        <f aca="false">IF(P12="","",P12*Rates!$B$3)</f>
        <v/>
      </c>
      <c r="R12" s="33" t="str">
        <f aca="false">IF(P12="","",(P12+Q12)*Rates!$B$4)</f>
        <v/>
      </c>
      <c r="S12" s="19" t="str">
        <f aca="false">IF(P12="","",P12+Q12+R12)</f>
        <v/>
      </c>
    </row>
    <row r="13" customFormat="false" ht="15" hidden="false" customHeight="false" outlineLevel="0" collapsed="false">
      <c r="A13" s="12"/>
      <c r="B13" s="38" t="str">
        <f aca="false">IF(A13="","",IFERROR(INDEX(Personnel!$B$5:$B$19,MATCH($A13,Personnel!$A$5:$A$19,0)),"-- not found --"))</f>
        <v/>
      </c>
      <c r="C13" s="38" t="str">
        <f aca="false">IF(A13="","",IFERROR(INDEX(Personnel!$C$5:$C$19,MATCH($A13,Personnel!$A$5:$A$19,0)),""))</f>
        <v/>
      </c>
      <c r="D13" s="12"/>
      <c r="E13" s="27" t="str">
        <f aca="false">IF(D13="","",EDATE(Dashboard!$C$5,D13-1))</f>
        <v/>
      </c>
      <c r="F13" s="12"/>
      <c r="G13" s="12"/>
      <c r="H13" s="12"/>
      <c r="I13" s="42" t="str">
        <f aca="false">IFERROR(IF(OR(A13="",D13=""),"",MAX(0,(INDEX(Personnel!$G$5:$G$19,MATCH($A13,Personnel!$A$5:$A$19,0))/12)*((MIN(EOMONTH(E13,0),IF(INDEX(Personnel!$K$5:$K$19,MATCH($A13,Personnel!$A$5:$A$19,0))="",EOMONTH(E13,0),INDEX(Personnel!$K$5:$K$19,MATCH($A13,Personnel!$A$5:$A$19,0))))-MAX(DATE(YEAR(E13),MONTH(E13),1),INDEX(Personnel!$J$5:$J$19,MATCH($A13,Personnel!$A$5:$A$19,0)))+1)/DAY(EOMONTH(E13,0))))),"")</f>
        <v/>
      </c>
      <c r="J13" s="43" t="str">
        <f aca="false">IF(OR(I13="",A13=""),"",(F13+G13+H13)-I13)</f>
        <v/>
      </c>
      <c r="K13" s="44" t="str">
        <f aca="false">IF(A13="","",IFERROR(INDEX(Personnel!$H$5:$H$19,MATCH($A13,Personnel!$A$5:$A$19,0)),""))</f>
        <v/>
      </c>
      <c r="L13" s="38" t="str">
        <f aca="false">IF(A13="","",IFERROR(INDEX(Personnel!$I$5:$I$19,MATCH($A13,Personnel!$A$5:$A$19,0)),""))</f>
        <v/>
      </c>
      <c r="M13" s="15" t="str">
        <f aca="false">IF(A13="","",F13*K13)</f>
        <v/>
      </c>
      <c r="N13" s="15" t="str">
        <f aca="false">IF(A13="","",IFERROR(G13*L13,0))</f>
        <v/>
      </c>
      <c r="O13" s="15" t="str">
        <f aca="false">IF(A13="","",H13*K13)</f>
        <v/>
      </c>
      <c r="P13" s="15" t="str">
        <f aca="false">IF(A13="","",SUM(M13:O13))</f>
        <v/>
      </c>
      <c r="Q13" s="28" t="str">
        <f aca="false">IF(P13="","",P13*Rates!$B$3)</f>
        <v/>
      </c>
      <c r="R13" s="28" t="str">
        <f aca="false">IF(P13="","",(P13+Q13)*Rates!$B$4)</f>
        <v/>
      </c>
      <c r="S13" s="15" t="str">
        <f aca="false">IF(P13="","",P13+Q13+R13)</f>
        <v/>
      </c>
    </row>
    <row r="14" customFormat="false" ht="15" hidden="false" customHeight="false" outlineLevel="0" collapsed="false">
      <c r="A14" s="16"/>
      <c r="B14" s="41" t="str">
        <f aca="false">IF(A14="","",IFERROR(INDEX(Personnel!$B$5:$B$19,MATCH($A14,Personnel!$A$5:$A$19,0)),"-- not found --"))</f>
        <v/>
      </c>
      <c r="C14" s="41" t="str">
        <f aca="false">IF(A14="","",IFERROR(INDEX(Personnel!$C$5:$C$19,MATCH($A14,Personnel!$A$5:$A$19,0)),""))</f>
        <v/>
      </c>
      <c r="D14" s="16"/>
      <c r="E14" s="32" t="str">
        <f aca="false">IF(D14="","",EDATE(Dashboard!$C$5,D14-1))</f>
        <v/>
      </c>
      <c r="F14" s="16"/>
      <c r="G14" s="16"/>
      <c r="H14" s="16"/>
      <c r="I14" s="45" t="str">
        <f aca="false">IFERROR(IF(OR(A14="",D14=""),"",MAX(0,(INDEX(Personnel!$G$5:$G$19,MATCH($A14,Personnel!$A$5:$A$19,0))/12)*((MIN(EOMONTH(E14,0),IF(INDEX(Personnel!$K$5:$K$19,MATCH($A14,Personnel!$A$5:$A$19,0))="",EOMONTH(E14,0),INDEX(Personnel!$K$5:$K$19,MATCH($A14,Personnel!$A$5:$A$19,0))))-MAX(DATE(YEAR(E14),MONTH(E14),1),INDEX(Personnel!$J$5:$J$19,MATCH($A14,Personnel!$A$5:$A$19,0)))+1)/DAY(EOMONTH(E14,0))))),"")</f>
        <v/>
      </c>
      <c r="J14" s="46" t="str">
        <f aca="false">IF(OR(I14="",A14=""),"",(F14+G14+H14)-I14)</f>
        <v/>
      </c>
      <c r="K14" s="47" t="str">
        <f aca="false">IF(A14="","",IFERROR(INDEX(Personnel!$H$5:$H$19,MATCH($A14,Personnel!$A$5:$A$19,0)),""))</f>
        <v/>
      </c>
      <c r="L14" s="41" t="str">
        <f aca="false">IF(A14="","",IFERROR(INDEX(Personnel!$I$5:$I$19,MATCH($A14,Personnel!$A$5:$A$19,0)),""))</f>
        <v/>
      </c>
      <c r="M14" s="19" t="str">
        <f aca="false">IF(A14="","",F14*K14)</f>
        <v/>
      </c>
      <c r="N14" s="19" t="str">
        <f aca="false">IF(A14="","",IFERROR(G14*L14,0))</f>
        <v/>
      </c>
      <c r="O14" s="19" t="str">
        <f aca="false">IF(A14="","",H14*K14)</f>
        <v/>
      </c>
      <c r="P14" s="19" t="str">
        <f aca="false">IF(A14="","",SUM(M14:O14))</f>
        <v/>
      </c>
      <c r="Q14" s="33" t="str">
        <f aca="false">IF(P14="","",P14*Rates!$B$3)</f>
        <v/>
      </c>
      <c r="R14" s="33" t="str">
        <f aca="false">IF(P14="","",(P14+Q14)*Rates!$B$4)</f>
        <v/>
      </c>
      <c r="S14" s="19" t="str">
        <f aca="false">IF(P14="","",P14+Q14+R14)</f>
        <v/>
      </c>
    </row>
    <row r="15" customFormat="false" ht="15" hidden="false" customHeight="false" outlineLevel="0" collapsed="false">
      <c r="A15" s="12"/>
      <c r="B15" s="38" t="str">
        <f aca="false">IF(A15="","",IFERROR(INDEX(Personnel!$B$5:$B$19,MATCH($A15,Personnel!$A$5:$A$19,0)),"-- not found --"))</f>
        <v/>
      </c>
      <c r="C15" s="38" t="str">
        <f aca="false">IF(A15="","",IFERROR(INDEX(Personnel!$C$5:$C$19,MATCH($A15,Personnel!$A$5:$A$19,0)),""))</f>
        <v/>
      </c>
      <c r="D15" s="12"/>
      <c r="E15" s="27" t="str">
        <f aca="false">IF(D15="","",EDATE(Dashboard!$C$5,D15-1))</f>
        <v/>
      </c>
      <c r="F15" s="12"/>
      <c r="G15" s="12"/>
      <c r="H15" s="12"/>
      <c r="I15" s="42" t="str">
        <f aca="false">IFERROR(IF(OR(A15="",D15=""),"",MAX(0,(INDEX(Personnel!$G$5:$G$19,MATCH($A15,Personnel!$A$5:$A$19,0))/12)*((MIN(EOMONTH(E15,0),IF(INDEX(Personnel!$K$5:$K$19,MATCH($A15,Personnel!$A$5:$A$19,0))="",EOMONTH(E15,0),INDEX(Personnel!$K$5:$K$19,MATCH($A15,Personnel!$A$5:$A$19,0))))-MAX(DATE(YEAR(E15),MONTH(E15),1),INDEX(Personnel!$J$5:$J$19,MATCH($A15,Personnel!$A$5:$A$19,0)))+1)/DAY(EOMONTH(E15,0))))),"")</f>
        <v/>
      </c>
      <c r="J15" s="43" t="str">
        <f aca="false">IF(OR(I15="",A15=""),"",(F15+G15+H15)-I15)</f>
        <v/>
      </c>
      <c r="K15" s="44" t="str">
        <f aca="false">IF(A15="","",IFERROR(INDEX(Personnel!$H$5:$H$19,MATCH($A15,Personnel!$A$5:$A$19,0)),""))</f>
        <v/>
      </c>
      <c r="L15" s="38" t="str">
        <f aca="false">IF(A15="","",IFERROR(INDEX(Personnel!$I$5:$I$19,MATCH($A15,Personnel!$A$5:$A$19,0)),""))</f>
        <v/>
      </c>
      <c r="M15" s="15" t="str">
        <f aca="false">IF(A15="","",F15*K15)</f>
        <v/>
      </c>
      <c r="N15" s="15" t="str">
        <f aca="false">IF(A15="","",IFERROR(G15*L15,0))</f>
        <v/>
      </c>
      <c r="O15" s="15" t="str">
        <f aca="false">IF(A15="","",H15*K15)</f>
        <v/>
      </c>
      <c r="P15" s="15" t="str">
        <f aca="false">IF(A15="","",SUM(M15:O15))</f>
        <v/>
      </c>
      <c r="Q15" s="28" t="str">
        <f aca="false">IF(P15="","",P15*Rates!$B$3)</f>
        <v/>
      </c>
      <c r="R15" s="28" t="str">
        <f aca="false">IF(P15="","",(P15+Q15)*Rates!$B$4)</f>
        <v/>
      </c>
      <c r="S15" s="15" t="str">
        <f aca="false">IF(P15="","",P15+Q15+R15)</f>
        <v/>
      </c>
    </row>
    <row r="16" customFormat="false" ht="15" hidden="false" customHeight="false" outlineLevel="0" collapsed="false">
      <c r="A16" s="16"/>
      <c r="B16" s="41" t="str">
        <f aca="false">IF(A16="","",IFERROR(INDEX(Personnel!$B$5:$B$19,MATCH($A16,Personnel!$A$5:$A$19,0)),"-- not found --"))</f>
        <v/>
      </c>
      <c r="C16" s="41" t="str">
        <f aca="false">IF(A16="","",IFERROR(INDEX(Personnel!$C$5:$C$19,MATCH($A16,Personnel!$A$5:$A$19,0)),""))</f>
        <v/>
      </c>
      <c r="D16" s="16"/>
      <c r="E16" s="32" t="str">
        <f aca="false">IF(D16="","",EDATE(Dashboard!$C$5,D16-1))</f>
        <v/>
      </c>
      <c r="F16" s="16"/>
      <c r="G16" s="16"/>
      <c r="H16" s="16"/>
      <c r="I16" s="45" t="str">
        <f aca="false">IFERROR(IF(OR(A16="",D16=""),"",MAX(0,(INDEX(Personnel!$G$5:$G$19,MATCH($A16,Personnel!$A$5:$A$19,0))/12)*((MIN(EOMONTH(E16,0),IF(INDEX(Personnel!$K$5:$K$19,MATCH($A16,Personnel!$A$5:$A$19,0))="",EOMONTH(E16,0),INDEX(Personnel!$K$5:$K$19,MATCH($A16,Personnel!$A$5:$A$19,0))))-MAX(DATE(YEAR(E16),MONTH(E16),1),INDEX(Personnel!$J$5:$J$19,MATCH($A16,Personnel!$A$5:$A$19,0)))+1)/DAY(EOMONTH(E16,0))))),"")</f>
        <v/>
      </c>
      <c r="J16" s="46" t="str">
        <f aca="false">IF(OR(I16="",A16=""),"",(F16+G16+H16)-I16)</f>
        <v/>
      </c>
      <c r="K16" s="47" t="str">
        <f aca="false">IF(A16="","",IFERROR(INDEX(Personnel!$H$5:$H$19,MATCH($A16,Personnel!$A$5:$A$19,0)),""))</f>
        <v/>
      </c>
      <c r="L16" s="41" t="str">
        <f aca="false">IF(A16="","",IFERROR(INDEX(Personnel!$I$5:$I$19,MATCH($A16,Personnel!$A$5:$A$19,0)),""))</f>
        <v/>
      </c>
      <c r="M16" s="19" t="str">
        <f aca="false">IF(A16="","",F16*K16)</f>
        <v/>
      </c>
      <c r="N16" s="19" t="str">
        <f aca="false">IF(A16="","",IFERROR(G16*L16,0))</f>
        <v/>
      </c>
      <c r="O16" s="19" t="str">
        <f aca="false">IF(A16="","",H16*K16)</f>
        <v/>
      </c>
      <c r="P16" s="19" t="str">
        <f aca="false">IF(A16="","",SUM(M16:O16))</f>
        <v/>
      </c>
      <c r="Q16" s="33" t="str">
        <f aca="false">IF(P16="","",P16*Rates!$B$3)</f>
        <v/>
      </c>
      <c r="R16" s="33" t="str">
        <f aca="false">IF(P16="","",(P16+Q16)*Rates!$B$4)</f>
        <v/>
      </c>
      <c r="S16" s="19" t="str">
        <f aca="false">IF(P16="","",P16+Q16+R16)</f>
        <v/>
      </c>
    </row>
    <row r="17" customFormat="false" ht="15" hidden="false" customHeight="false" outlineLevel="0" collapsed="false">
      <c r="A17" s="12"/>
      <c r="B17" s="38" t="str">
        <f aca="false">IF(A17="","",IFERROR(INDEX(Personnel!$B$5:$B$19,MATCH($A17,Personnel!$A$5:$A$19,0)),"-- not found --"))</f>
        <v/>
      </c>
      <c r="C17" s="38" t="str">
        <f aca="false">IF(A17="","",IFERROR(INDEX(Personnel!$C$5:$C$19,MATCH($A17,Personnel!$A$5:$A$19,0)),""))</f>
        <v/>
      </c>
      <c r="D17" s="12"/>
      <c r="E17" s="27" t="str">
        <f aca="false">IF(D17="","",EDATE(Dashboard!$C$5,D17-1))</f>
        <v/>
      </c>
      <c r="F17" s="12"/>
      <c r="G17" s="12"/>
      <c r="H17" s="12"/>
      <c r="I17" s="42" t="str">
        <f aca="false">IFERROR(IF(OR(A17="",D17=""),"",MAX(0,(INDEX(Personnel!$G$5:$G$19,MATCH($A17,Personnel!$A$5:$A$19,0))/12)*((MIN(EOMONTH(E17,0),IF(INDEX(Personnel!$K$5:$K$19,MATCH($A17,Personnel!$A$5:$A$19,0))="",EOMONTH(E17,0),INDEX(Personnel!$K$5:$K$19,MATCH($A17,Personnel!$A$5:$A$19,0))))-MAX(DATE(YEAR(E17),MONTH(E17),1),INDEX(Personnel!$J$5:$J$19,MATCH($A17,Personnel!$A$5:$A$19,0)))+1)/DAY(EOMONTH(E17,0))))),"")</f>
        <v/>
      </c>
      <c r="J17" s="43" t="str">
        <f aca="false">IF(OR(I17="",A17=""),"",(F17+G17+H17)-I17)</f>
        <v/>
      </c>
      <c r="K17" s="44" t="str">
        <f aca="false">IF(A17="","",IFERROR(INDEX(Personnel!$H$5:$H$19,MATCH($A17,Personnel!$A$5:$A$19,0)),""))</f>
        <v/>
      </c>
      <c r="L17" s="38" t="str">
        <f aca="false">IF(A17="","",IFERROR(INDEX(Personnel!$I$5:$I$19,MATCH($A17,Personnel!$A$5:$A$19,0)),""))</f>
        <v/>
      </c>
      <c r="M17" s="15" t="str">
        <f aca="false">IF(A17="","",F17*K17)</f>
        <v/>
      </c>
      <c r="N17" s="15" t="str">
        <f aca="false">IF(A17="","",IFERROR(G17*L17,0))</f>
        <v/>
      </c>
      <c r="O17" s="15" t="str">
        <f aca="false">IF(A17="","",H17*K17)</f>
        <v/>
      </c>
      <c r="P17" s="15" t="str">
        <f aca="false">IF(A17="","",SUM(M17:O17))</f>
        <v/>
      </c>
      <c r="Q17" s="28" t="str">
        <f aca="false">IF(P17="","",P17*Rates!$B$3)</f>
        <v/>
      </c>
      <c r="R17" s="28" t="str">
        <f aca="false">IF(P17="","",(P17+Q17)*Rates!$B$4)</f>
        <v/>
      </c>
      <c r="S17" s="15" t="str">
        <f aca="false">IF(P17="","",P17+Q17+R17)</f>
        <v/>
      </c>
    </row>
    <row r="18" customFormat="false" ht="15" hidden="false" customHeight="false" outlineLevel="0" collapsed="false">
      <c r="A18" s="16"/>
      <c r="B18" s="41" t="str">
        <f aca="false">IF(A18="","",IFERROR(INDEX(Personnel!$B$5:$B$19,MATCH($A18,Personnel!$A$5:$A$19,0)),"-- not found --"))</f>
        <v/>
      </c>
      <c r="C18" s="41" t="str">
        <f aca="false">IF(A18="","",IFERROR(INDEX(Personnel!$C$5:$C$19,MATCH($A18,Personnel!$A$5:$A$19,0)),""))</f>
        <v/>
      </c>
      <c r="D18" s="16"/>
      <c r="E18" s="32" t="str">
        <f aca="false">IF(D18="","",EDATE(Dashboard!$C$5,D18-1))</f>
        <v/>
      </c>
      <c r="F18" s="16"/>
      <c r="G18" s="16"/>
      <c r="H18" s="16"/>
      <c r="I18" s="45" t="str">
        <f aca="false">IFERROR(IF(OR(A18="",D18=""),"",MAX(0,(INDEX(Personnel!$G$5:$G$19,MATCH($A18,Personnel!$A$5:$A$19,0))/12)*((MIN(EOMONTH(E18,0),IF(INDEX(Personnel!$K$5:$K$19,MATCH($A18,Personnel!$A$5:$A$19,0))="",EOMONTH(E18,0),INDEX(Personnel!$K$5:$K$19,MATCH($A18,Personnel!$A$5:$A$19,0))))-MAX(DATE(YEAR(E18),MONTH(E18),1),INDEX(Personnel!$J$5:$J$19,MATCH($A18,Personnel!$A$5:$A$19,0)))+1)/DAY(EOMONTH(E18,0))))),"")</f>
        <v/>
      </c>
      <c r="J18" s="46" t="str">
        <f aca="false">IF(OR(I18="",A18=""),"",(F18+G18+H18)-I18)</f>
        <v/>
      </c>
      <c r="K18" s="47" t="str">
        <f aca="false">IF(A18="","",IFERROR(INDEX(Personnel!$H$5:$H$19,MATCH($A18,Personnel!$A$5:$A$19,0)),""))</f>
        <v/>
      </c>
      <c r="L18" s="41" t="str">
        <f aca="false">IF(A18="","",IFERROR(INDEX(Personnel!$I$5:$I$19,MATCH($A18,Personnel!$A$5:$A$19,0)),""))</f>
        <v/>
      </c>
      <c r="M18" s="19" t="str">
        <f aca="false">IF(A18="","",F18*K18)</f>
        <v/>
      </c>
      <c r="N18" s="19" t="str">
        <f aca="false">IF(A18="","",IFERROR(G18*L18,0))</f>
        <v/>
      </c>
      <c r="O18" s="19" t="str">
        <f aca="false">IF(A18="","",H18*K18)</f>
        <v/>
      </c>
      <c r="P18" s="19" t="str">
        <f aca="false">IF(A18="","",SUM(M18:O18))</f>
        <v/>
      </c>
      <c r="Q18" s="33" t="str">
        <f aca="false">IF(P18="","",P18*Rates!$B$3)</f>
        <v/>
      </c>
      <c r="R18" s="33" t="str">
        <f aca="false">IF(P18="","",(P18+Q18)*Rates!$B$4)</f>
        <v/>
      </c>
      <c r="S18" s="19" t="str">
        <f aca="false">IF(P18="","",P18+Q18+R18)</f>
        <v/>
      </c>
    </row>
    <row r="19" customFormat="false" ht="15" hidden="false" customHeight="false" outlineLevel="0" collapsed="false">
      <c r="A19" s="12"/>
      <c r="B19" s="38" t="str">
        <f aca="false">IF(A19="","",IFERROR(INDEX(Personnel!$B$5:$B$19,MATCH($A19,Personnel!$A$5:$A$19,0)),"-- not found --"))</f>
        <v/>
      </c>
      <c r="C19" s="38" t="str">
        <f aca="false">IF(A19="","",IFERROR(INDEX(Personnel!$C$5:$C$19,MATCH($A19,Personnel!$A$5:$A$19,0)),""))</f>
        <v/>
      </c>
      <c r="D19" s="12"/>
      <c r="E19" s="27" t="str">
        <f aca="false">IF(D19="","",EDATE(Dashboard!$C$5,D19-1))</f>
        <v/>
      </c>
      <c r="F19" s="12"/>
      <c r="G19" s="12"/>
      <c r="H19" s="12"/>
      <c r="I19" s="42" t="str">
        <f aca="false">IFERROR(IF(OR(A19="",D19=""),"",MAX(0,(INDEX(Personnel!$G$5:$G$19,MATCH($A19,Personnel!$A$5:$A$19,0))/12)*((MIN(EOMONTH(E19,0),IF(INDEX(Personnel!$K$5:$K$19,MATCH($A19,Personnel!$A$5:$A$19,0))="",EOMONTH(E19,0),INDEX(Personnel!$K$5:$K$19,MATCH($A19,Personnel!$A$5:$A$19,0))))-MAX(DATE(YEAR(E19),MONTH(E19),1),INDEX(Personnel!$J$5:$J$19,MATCH($A19,Personnel!$A$5:$A$19,0)))+1)/DAY(EOMONTH(E19,0))))),"")</f>
        <v/>
      </c>
      <c r="J19" s="43" t="str">
        <f aca="false">IF(OR(I19="",A19=""),"",(F19+G19+H19)-I19)</f>
        <v/>
      </c>
      <c r="K19" s="44" t="str">
        <f aca="false">IF(A19="","",IFERROR(INDEX(Personnel!$H$5:$H$19,MATCH($A19,Personnel!$A$5:$A$19,0)),""))</f>
        <v/>
      </c>
      <c r="L19" s="38" t="str">
        <f aca="false">IF(A19="","",IFERROR(INDEX(Personnel!$I$5:$I$19,MATCH($A19,Personnel!$A$5:$A$19,0)),""))</f>
        <v/>
      </c>
      <c r="M19" s="15" t="str">
        <f aca="false">IF(A19="","",F19*K19)</f>
        <v/>
      </c>
      <c r="N19" s="15" t="str">
        <f aca="false">IF(A19="","",IFERROR(G19*L19,0))</f>
        <v/>
      </c>
      <c r="O19" s="15" t="str">
        <f aca="false">IF(A19="","",H19*K19)</f>
        <v/>
      </c>
      <c r="P19" s="15" t="str">
        <f aca="false">IF(A19="","",SUM(M19:O19))</f>
        <v/>
      </c>
      <c r="Q19" s="28" t="str">
        <f aca="false">IF(P19="","",P19*Rates!$B$3)</f>
        <v/>
      </c>
      <c r="R19" s="28" t="str">
        <f aca="false">IF(P19="","",(P19+Q19)*Rates!$B$4)</f>
        <v/>
      </c>
      <c r="S19" s="15" t="str">
        <f aca="false">IF(P19="","",P19+Q19+R19)</f>
        <v/>
      </c>
    </row>
    <row r="20" customFormat="false" ht="15" hidden="false" customHeight="false" outlineLevel="0" collapsed="false">
      <c r="A20" s="16"/>
      <c r="B20" s="41" t="str">
        <f aca="false">IF(A20="","",IFERROR(INDEX(Personnel!$B$5:$B$19,MATCH($A20,Personnel!$A$5:$A$19,0)),"-- not found --"))</f>
        <v/>
      </c>
      <c r="C20" s="41" t="str">
        <f aca="false">IF(A20="","",IFERROR(INDEX(Personnel!$C$5:$C$19,MATCH($A20,Personnel!$A$5:$A$19,0)),""))</f>
        <v/>
      </c>
      <c r="D20" s="16"/>
      <c r="E20" s="32" t="str">
        <f aca="false">IF(D20="","",EDATE(Dashboard!$C$5,D20-1))</f>
        <v/>
      </c>
      <c r="F20" s="16"/>
      <c r="G20" s="16"/>
      <c r="H20" s="16"/>
      <c r="I20" s="45" t="str">
        <f aca="false">IFERROR(IF(OR(A20="",D20=""),"",MAX(0,(INDEX(Personnel!$G$5:$G$19,MATCH($A20,Personnel!$A$5:$A$19,0))/12)*((MIN(EOMONTH(E20,0),IF(INDEX(Personnel!$K$5:$K$19,MATCH($A20,Personnel!$A$5:$A$19,0))="",EOMONTH(E20,0),INDEX(Personnel!$K$5:$K$19,MATCH($A20,Personnel!$A$5:$A$19,0))))-MAX(DATE(YEAR(E20),MONTH(E20),1),INDEX(Personnel!$J$5:$J$19,MATCH($A20,Personnel!$A$5:$A$19,0)))+1)/DAY(EOMONTH(E20,0))))),"")</f>
        <v/>
      </c>
      <c r="J20" s="46" t="str">
        <f aca="false">IF(OR(I20="",A20=""),"",(F20+G20+H20)-I20)</f>
        <v/>
      </c>
      <c r="K20" s="47" t="str">
        <f aca="false">IF(A20="","",IFERROR(INDEX(Personnel!$H$5:$H$19,MATCH($A20,Personnel!$A$5:$A$19,0)),""))</f>
        <v/>
      </c>
      <c r="L20" s="41" t="str">
        <f aca="false">IF(A20="","",IFERROR(INDEX(Personnel!$I$5:$I$19,MATCH($A20,Personnel!$A$5:$A$19,0)),""))</f>
        <v/>
      </c>
      <c r="M20" s="19" t="str">
        <f aca="false">IF(A20="","",F20*K20)</f>
        <v/>
      </c>
      <c r="N20" s="19" t="str">
        <f aca="false">IF(A20="","",IFERROR(G20*L20,0))</f>
        <v/>
      </c>
      <c r="O20" s="19" t="str">
        <f aca="false">IF(A20="","",H20*K20)</f>
        <v/>
      </c>
      <c r="P20" s="19" t="str">
        <f aca="false">IF(A20="","",SUM(M20:O20))</f>
        <v/>
      </c>
      <c r="Q20" s="33" t="str">
        <f aca="false">IF(P20="","",P20*Rates!$B$3)</f>
        <v/>
      </c>
      <c r="R20" s="33" t="str">
        <f aca="false">IF(P20="","",(P20+Q20)*Rates!$B$4)</f>
        <v/>
      </c>
      <c r="S20" s="19" t="str">
        <f aca="false">IF(P20="","",P20+Q20+R20)</f>
        <v/>
      </c>
    </row>
    <row r="21" customFormat="false" ht="15" hidden="false" customHeight="false" outlineLevel="0" collapsed="false">
      <c r="A21" s="12"/>
      <c r="B21" s="38" t="str">
        <f aca="false">IF(A21="","",IFERROR(INDEX(Personnel!$B$5:$B$19,MATCH($A21,Personnel!$A$5:$A$19,0)),"-- not found --"))</f>
        <v/>
      </c>
      <c r="C21" s="38" t="str">
        <f aca="false">IF(A21="","",IFERROR(INDEX(Personnel!$C$5:$C$19,MATCH($A21,Personnel!$A$5:$A$19,0)),""))</f>
        <v/>
      </c>
      <c r="D21" s="12"/>
      <c r="E21" s="27" t="str">
        <f aca="false">IF(D21="","",EDATE(Dashboard!$C$5,D21-1))</f>
        <v/>
      </c>
      <c r="F21" s="12"/>
      <c r="G21" s="12"/>
      <c r="H21" s="12"/>
      <c r="I21" s="42" t="str">
        <f aca="false">IFERROR(IF(OR(A21="",D21=""),"",MAX(0,(INDEX(Personnel!$G$5:$G$19,MATCH($A21,Personnel!$A$5:$A$19,0))/12)*((MIN(EOMONTH(E21,0),IF(INDEX(Personnel!$K$5:$K$19,MATCH($A21,Personnel!$A$5:$A$19,0))="",EOMONTH(E21,0),INDEX(Personnel!$K$5:$K$19,MATCH($A21,Personnel!$A$5:$A$19,0))))-MAX(DATE(YEAR(E21),MONTH(E21),1),INDEX(Personnel!$J$5:$J$19,MATCH($A21,Personnel!$A$5:$A$19,0)))+1)/DAY(EOMONTH(E21,0))))),"")</f>
        <v/>
      </c>
      <c r="J21" s="43" t="str">
        <f aca="false">IF(OR(I21="",A21=""),"",(F21+G21+H21)-I21)</f>
        <v/>
      </c>
      <c r="K21" s="44" t="str">
        <f aca="false">IF(A21="","",IFERROR(INDEX(Personnel!$H$5:$H$19,MATCH($A21,Personnel!$A$5:$A$19,0)),""))</f>
        <v/>
      </c>
      <c r="L21" s="38" t="str">
        <f aca="false">IF(A21="","",IFERROR(INDEX(Personnel!$I$5:$I$19,MATCH($A21,Personnel!$A$5:$A$19,0)),""))</f>
        <v/>
      </c>
      <c r="M21" s="15" t="str">
        <f aca="false">IF(A21="","",F21*K21)</f>
        <v/>
      </c>
      <c r="N21" s="15" t="str">
        <f aca="false">IF(A21="","",IFERROR(G21*L21,0))</f>
        <v/>
      </c>
      <c r="O21" s="15" t="str">
        <f aca="false">IF(A21="","",H21*K21)</f>
        <v/>
      </c>
      <c r="P21" s="15" t="str">
        <f aca="false">IF(A21="","",SUM(M21:O21))</f>
        <v/>
      </c>
      <c r="Q21" s="28" t="str">
        <f aca="false">IF(P21="","",P21*Rates!$B$3)</f>
        <v/>
      </c>
      <c r="R21" s="28" t="str">
        <f aca="false">IF(P21="","",(P21+Q21)*Rates!$B$4)</f>
        <v/>
      </c>
      <c r="S21" s="15" t="str">
        <f aca="false">IF(P21="","",P21+Q21+R21)</f>
        <v/>
      </c>
    </row>
    <row r="22" customFormat="false" ht="15" hidden="false" customHeight="false" outlineLevel="0" collapsed="false">
      <c r="A22" s="16"/>
      <c r="B22" s="41" t="str">
        <f aca="false">IF(A22="","",IFERROR(INDEX(Personnel!$B$5:$B$19,MATCH($A22,Personnel!$A$5:$A$19,0)),"-- not found --"))</f>
        <v/>
      </c>
      <c r="C22" s="41" t="str">
        <f aca="false">IF(A22="","",IFERROR(INDEX(Personnel!$C$5:$C$19,MATCH($A22,Personnel!$A$5:$A$19,0)),""))</f>
        <v/>
      </c>
      <c r="D22" s="16"/>
      <c r="E22" s="32" t="str">
        <f aca="false">IF(D22="","",EDATE(Dashboard!$C$5,D22-1))</f>
        <v/>
      </c>
      <c r="F22" s="16"/>
      <c r="G22" s="16"/>
      <c r="H22" s="16"/>
      <c r="I22" s="45" t="str">
        <f aca="false">IFERROR(IF(OR(A22="",D22=""),"",MAX(0,(INDEX(Personnel!$G$5:$G$19,MATCH($A22,Personnel!$A$5:$A$19,0))/12)*((MIN(EOMONTH(E22,0),IF(INDEX(Personnel!$K$5:$K$19,MATCH($A22,Personnel!$A$5:$A$19,0))="",EOMONTH(E22,0),INDEX(Personnel!$K$5:$K$19,MATCH($A22,Personnel!$A$5:$A$19,0))))-MAX(DATE(YEAR(E22),MONTH(E22),1),INDEX(Personnel!$J$5:$J$19,MATCH($A22,Personnel!$A$5:$A$19,0)))+1)/DAY(EOMONTH(E22,0))))),"")</f>
        <v/>
      </c>
      <c r="J22" s="46" t="str">
        <f aca="false">IF(OR(I22="",A22=""),"",(F22+G22+H22)-I22)</f>
        <v/>
      </c>
      <c r="K22" s="47" t="str">
        <f aca="false">IF(A22="","",IFERROR(INDEX(Personnel!$H$5:$H$19,MATCH($A22,Personnel!$A$5:$A$19,0)),""))</f>
        <v/>
      </c>
      <c r="L22" s="41" t="str">
        <f aca="false">IF(A22="","",IFERROR(INDEX(Personnel!$I$5:$I$19,MATCH($A22,Personnel!$A$5:$A$19,0)),""))</f>
        <v/>
      </c>
      <c r="M22" s="19" t="str">
        <f aca="false">IF(A22="","",F22*K22)</f>
        <v/>
      </c>
      <c r="N22" s="19" t="str">
        <f aca="false">IF(A22="","",IFERROR(G22*L22,0))</f>
        <v/>
      </c>
      <c r="O22" s="19" t="str">
        <f aca="false">IF(A22="","",H22*K22)</f>
        <v/>
      </c>
      <c r="P22" s="19" t="str">
        <f aca="false">IF(A22="","",SUM(M22:O22))</f>
        <v/>
      </c>
      <c r="Q22" s="33" t="str">
        <f aca="false">IF(P22="","",P22*Rates!$B$3)</f>
        <v/>
      </c>
      <c r="R22" s="33" t="str">
        <f aca="false">IF(P22="","",(P22+Q22)*Rates!$B$4)</f>
        <v/>
      </c>
      <c r="S22" s="19" t="str">
        <f aca="false">IF(P22="","",P22+Q22+R22)</f>
        <v/>
      </c>
    </row>
    <row r="23" customFormat="false" ht="15" hidden="false" customHeight="false" outlineLevel="0" collapsed="false">
      <c r="A23" s="12"/>
      <c r="B23" s="38" t="str">
        <f aca="false">IF(A23="","",IFERROR(INDEX(Personnel!$B$5:$B$19,MATCH($A23,Personnel!$A$5:$A$19,0)),"-- not found --"))</f>
        <v/>
      </c>
      <c r="C23" s="38" t="str">
        <f aca="false">IF(A23="","",IFERROR(INDEX(Personnel!$C$5:$C$19,MATCH($A23,Personnel!$A$5:$A$19,0)),""))</f>
        <v/>
      </c>
      <c r="D23" s="12"/>
      <c r="E23" s="27" t="str">
        <f aca="false">IF(D23="","",EDATE(Dashboard!$C$5,D23-1))</f>
        <v/>
      </c>
      <c r="F23" s="12"/>
      <c r="G23" s="12"/>
      <c r="H23" s="12"/>
      <c r="I23" s="42" t="str">
        <f aca="false">IFERROR(IF(OR(A23="",D23=""),"",MAX(0,(INDEX(Personnel!$G$5:$G$19,MATCH($A23,Personnel!$A$5:$A$19,0))/12)*((MIN(EOMONTH(E23,0),IF(INDEX(Personnel!$K$5:$K$19,MATCH($A23,Personnel!$A$5:$A$19,0))="",EOMONTH(E23,0),INDEX(Personnel!$K$5:$K$19,MATCH($A23,Personnel!$A$5:$A$19,0))))-MAX(DATE(YEAR(E23),MONTH(E23),1),INDEX(Personnel!$J$5:$J$19,MATCH($A23,Personnel!$A$5:$A$19,0)))+1)/DAY(EOMONTH(E23,0))))),"")</f>
        <v/>
      </c>
      <c r="J23" s="43" t="str">
        <f aca="false">IF(OR(I23="",A23=""),"",(F23+G23+H23)-I23)</f>
        <v/>
      </c>
      <c r="K23" s="44" t="str">
        <f aca="false">IF(A23="","",IFERROR(INDEX(Personnel!$H$5:$H$19,MATCH($A23,Personnel!$A$5:$A$19,0)),""))</f>
        <v/>
      </c>
      <c r="L23" s="38" t="str">
        <f aca="false">IF(A23="","",IFERROR(INDEX(Personnel!$I$5:$I$19,MATCH($A23,Personnel!$A$5:$A$19,0)),""))</f>
        <v/>
      </c>
      <c r="M23" s="15" t="str">
        <f aca="false">IF(A23="","",F23*K23)</f>
        <v/>
      </c>
      <c r="N23" s="15" t="str">
        <f aca="false">IF(A23="","",IFERROR(G23*L23,0))</f>
        <v/>
      </c>
      <c r="O23" s="15" t="str">
        <f aca="false">IF(A23="","",H23*K23)</f>
        <v/>
      </c>
      <c r="P23" s="15" t="str">
        <f aca="false">IF(A23="","",SUM(M23:O23))</f>
        <v/>
      </c>
      <c r="Q23" s="28" t="str">
        <f aca="false">IF(P23="","",P23*Rates!$B$3)</f>
        <v/>
      </c>
      <c r="R23" s="28" t="str">
        <f aca="false">IF(P23="","",(P23+Q23)*Rates!$B$4)</f>
        <v/>
      </c>
      <c r="S23" s="15" t="str">
        <f aca="false">IF(P23="","",P23+Q23+R23)</f>
        <v/>
      </c>
    </row>
    <row r="24" customFormat="false" ht="15" hidden="false" customHeight="false" outlineLevel="0" collapsed="false">
      <c r="A24" s="16"/>
      <c r="B24" s="41" t="str">
        <f aca="false">IF(A24="","",IFERROR(INDEX(Personnel!$B$5:$B$19,MATCH($A24,Personnel!$A$5:$A$19,0)),"-- not found --"))</f>
        <v/>
      </c>
      <c r="C24" s="41" t="str">
        <f aca="false">IF(A24="","",IFERROR(INDEX(Personnel!$C$5:$C$19,MATCH($A24,Personnel!$A$5:$A$19,0)),""))</f>
        <v/>
      </c>
      <c r="D24" s="16"/>
      <c r="E24" s="32" t="str">
        <f aca="false">IF(D24="","",EDATE(Dashboard!$C$5,D24-1))</f>
        <v/>
      </c>
      <c r="F24" s="16"/>
      <c r="G24" s="16"/>
      <c r="H24" s="16"/>
      <c r="I24" s="45" t="str">
        <f aca="false">IFERROR(IF(OR(A24="",D24=""),"",MAX(0,(INDEX(Personnel!$G$5:$G$19,MATCH($A24,Personnel!$A$5:$A$19,0))/12)*((MIN(EOMONTH(E24,0),IF(INDEX(Personnel!$K$5:$K$19,MATCH($A24,Personnel!$A$5:$A$19,0))="",EOMONTH(E24,0),INDEX(Personnel!$K$5:$K$19,MATCH($A24,Personnel!$A$5:$A$19,0))))-MAX(DATE(YEAR(E24),MONTH(E24),1),INDEX(Personnel!$J$5:$J$19,MATCH($A24,Personnel!$A$5:$A$19,0)))+1)/DAY(EOMONTH(E24,0))))),"")</f>
        <v/>
      </c>
      <c r="J24" s="46" t="str">
        <f aca="false">IF(OR(I24="",A24=""),"",(F24+G24+H24)-I24)</f>
        <v/>
      </c>
      <c r="K24" s="47" t="str">
        <f aca="false">IF(A24="","",IFERROR(INDEX(Personnel!$H$5:$H$19,MATCH($A24,Personnel!$A$5:$A$19,0)),""))</f>
        <v/>
      </c>
      <c r="L24" s="41" t="str">
        <f aca="false">IF(A24="","",IFERROR(INDEX(Personnel!$I$5:$I$19,MATCH($A24,Personnel!$A$5:$A$19,0)),""))</f>
        <v/>
      </c>
      <c r="M24" s="19" t="str">
        <f aca="false">IF(A24="","",F24*K24)</f>
        <v/>
      </c>
      <c r="N24" s="19" t="str">
        <f aca="false">IF(A24="","",IFERROR(G24*L24,0))</f>
        <v/>
      </c>
      <c r="O24" s="19" t="str">
        <f aca="false">IF(A24="","",H24*K24)</f>
        <v/>
      </c>
      <c r="P24" s="19" t="str">
        <f aca="false">IF(A24="","",SUM(M24:O24))</f>
        <v/>
      </c>
      <c r="Q24" s="33" t="str">
        <f aca="false">IF(P24="","",P24*Rates!$B$3)</f>
        <v/>
      </c>
      <c r="R24" s="33" t="str">
        <f aca="false">IF(P24="","",(P24+Q24)*Rates!$B$4)</f>
        <v/>
      </c>
      <c r="S24" s="19" t="str">
        <f aca="false">IF(P24="","",P24+Q24+R24)</f>
        <v/>
      </c>
    </row>
    <row r="25" customFormat="false" ht="15" hidden="false" customHeight="false" outlineLevel="0" collapsed="false">
      <c r="A25" s="12"/>
      <c r="B25" s="38" t="str">
        <f aca="false">IF(A25="","",IFERROR(INDEX(Personnel!$B$5:$B$19,MATCH($A25,Personnel!$A$5:$A$19,0)),"-- not found --"))</f>
        <v/>
      </c>
      <c r="C25" s="38" t="str">
        <f aca="false">IF(A25="","",IFERROR(INDEX(Personnel!$C$5:$C$19,MATCH($A25,Personnel!$A$5:$A$19,0)),""))</f>
        <v/>
      </c>
      <c r="D25" s="12"/>
      <c r="E25" s="27" t="str">
        <f aca="false">IF(D25="","",EDATE(Dashboard!$C$5,D25-1))</f>
        <v/>
      </c>
      <c r="F25" s="12"/>
      <c r="G25" s="12"/>
      <c r="H25" s="12"/>
      <c r="I25" s="42" t="str">
        <f aca="false">IFERROR(IF(OR(A25="",D25=""),"",MAX(0,(INDEX(Personnel!$G$5:$G$19,MATCH($A25,Personnel!$A$5:$A$19,0))/12)*((MIN(EOMONTH(E25,0),IF(INDEX(Personnel!$K$5:$K$19,MATCH($A25,Personnel!$A$5:$A$19,0))="",EOMONTH(E25,0),INDEX(Personnel!$K$5:$K$19,MATCH($A25,Personnel!$A$5:$A$19,0))))-MAX(DATE(YEAR(E25),MONTH(E25),1),INDEX(Personnel!$J$5:$J$19,MATCH($A25,Personnel!$A$5:$A$19,0)))+1)/DAY(EOMONTH(E25,0))))),"")</f>
        <v/>
      </c>
      <c r="J25" s="43" t="str">
        <f aca="false">IF(OR(I25="",A25=""),"",(F25+G25+H25)-I25)</f>
        <v/>
      </c>
      <c r="K25" s="44" t="str">
        <f aca="false">IF(A25="","",IFERROR(INDEX(Personnel!$H$5:$H$19,MATCH($A25,Personnel!$A$5:$A$19,0)),""))</f>
        <v/>
      </c>
      <c r="L25" s="38" t="str">
        <f aca="false">IF(A25="","",IFERROR(INDEX(Personnel!$I$5:$I$19,MATCH($A25,Personnel!$A$5:$A$19,0)),""))</f>
        <v/>
      </c>
      <c r="M25" s="15" t="str">
        <f aca="false">IF(A25="","",F25*K25)</f>
        <v/>
      </c>
      <c r="N25" s="15" t="str">
        <f aca="false">IF(A25="","",IFERROR(G25*L25,0))</f>
        <v/>
      </c>
      <c r="O25" s="15" t="str">
        <f aca="false">IF(A25="","",H25*K25)</f>
        <v/>
      </c>
      <c r="P25" s="15" t="str">
        <f aca="false">IF(A25="","",SUM(M25:O25))</f>
        <v/>
      </c>
      <c r="Q25" s="28" t="str">
        <f aca="false">IF(P25="","",P25*Rates!$B$3)</f>
        <v/>
      </c>
      <c r="R25" s="28" t="str">
        <f aca="false">IF(P25="","",(P25+Q25)*Rates!$B$4)</f>
        <v/>
      </c>
      <c r="S25" s="15" t="str">
        <f aca="false">IF(P25="","",P25+Q25+R25)</f>
        <v/>
      </c>
    </row>
    <row r="26" customFormat="false" ht="15" hidden="false" customHeight="false" outlineLevel="0" collapsed="false">
      <c r="A26" s="16"/>
      <c r="B26" s="41" t="str">
        <f aca="false">IF(A26="","",IFERROR(INDEX(Personnel!$B$5:$B$19,MATCH($A26,Personnel!$A$5:$A$19,0)),"-- not found --"))</f>
        <v/>
      </c>
      <c r="C26" s="41" t="str">
        <f aca="false">IF(A26="","",IFERROR(INDEX(Personnel!$C$5:$C$19,MATCH($A26,Personnel!$A$5:$A$19,0)),""))</f>
        <v/>
      </c>
      <c r="D26" s="16"/>
      <c r="E26" s="32" t="str">
        <f aca="false">IF(D26="","",EDATE(Dashboard!$C$5,D26-1))</f>
        <v/>
      </c>
      <c r="F26" s="16"/>
      <c r="G26" s="16"/>
      <c r="H26" s="16"/>
      <c r="I26" s="45" t="str">
        <f aca="false">IFERROR(IF(OR(A26="",D26=""),"",MAX(0,(INDEX(Personnel!$G$5:$G$19,MATCH($A26,Personnel!$A$5:$A$19,0))/12)*((MIN(EOMONTH(E26,0),IF(INDEX(Personnel!$K$5:$K$19,MATCH($A26,Personnel!$A$5:$A$19,0))="",EOMONTH(E26,0),INDEX(Personnel!$K$5:$K$19,MATCH($A26,Personnel!$A$5:$A$19,0))))-MAX(DATE(YEAR(E26),MONTH(E26),1),INDEX(Personnel!$J$5:$J$19,MATCH($A26,Personnel!$A$5:$A$19,0)))+1)/DAY(EOMONTH(E26,0))))),"")</f>
        <v/>
      </c>
      <c r="J26" s="46" t="str">
        <f aca="false">IF(OR(I26="",A26=""),"",(F26+G26+H26)-I26)</f>
        <v/>
      </c>
      <c r="K26" s="47" t="str">
        <f aca="false">IF(A26="","",IFERROR(INDEX(Personnel!$H$5:$H$19,MATCH($A26,Personnel!$A$5:$A$19,0)),""))</f>
        <v/>
      </c>
      <c r="L26" s="41" t="str">
        <f aca="false">IF(A26="","",IFERROR(INDEX(Personnel!$I$5:$I$19,MATCH($A26,Personnel!$A$5:$A$19,0)),""))</f>
        <v/>
      </c>
      <c r="M26" s="19" t="str">
        <f aca="false">IF(A26="","",F26*K26)</f>
        <v/>
      </c>
      <c r="N26" s="19" t="str">
        <f aca="false">IF(A26="","",IFERROR(G26*L26,0))</f>
        <v/>
      </c>
      <c r="O26" s="19" t="str">
        <f aca="false">IF(A26="","",H26*K26)</f>
        <v/>
      </c>
      <c r="P26" s="19" t="str">
        <f aca="false">IF(A26="","",SUM(M26:O26))</f>
        <v/>
      </c>
      <c r="Q26" s="33" t="str">
        <f aca="false">IF(P26="","",P26*Rates!$B$3)</f>
        <v/>
      </c>
      <c r="R26" s="33" t="str">
        <f aca="false">IF(P26="","",(P26+Q26)*Rates!$B$4)</f>
        <v/>
      </c>
      <c r="S26" s="19" t="str">
        <f aca="false">IF(P26="","",P26+Q26+R26)</f>
        <v/>
      </c>
    </row>
    <row r="27" customFormat="false" ht="15" hidden="false" customHeight="false" outlineLevel="0" collapsed="false">
      <c r="A27" s="12"/>
      <c r="B27" s="38" t="str">
        <f aca="false">IF(A27="","",IFERROR(INDEX(Personnel!$B$5:$B$19,MATCH($A27,Personnel!$A$5:$A$19,0)),"-- not found --"))</f>
        <v/>
      </c>
      <c r="C27" s="38" t="str">
        <f aca="false">IF(A27="","",IFERROR(INDEX(Personnel!$C$5:$C$19,MATCH($A27,Personnel!$A$5:$A$19,0)),""))</f>
        <v/>
      </c>
      <c r="D27" s="12"/>
      <c r="E27" s="27" t="str">
        <f aca="false">IF(D27="","",EDATE(Dashboard!$C$5,D27-1))</f>
        <v/>
      </c>
      <c r="F27" s="12"/>
      <c r="G27" s="12"/>
      <c r="H27" s="12"/>
      <c r="I27" s="42" t="str">
        <f aca="false">IFERROR(IF(OR(A27="",D27=""),"",MAX(0,(INDEX(Personnel!$G$5:$G$19,MATCH($A27,Personnel!$A$5:$A$19,0))/12)*((MIN(EOMONTH(E27,0),IF(INDEX(Personnel!$K$5:$K$19,MATCH($A27,Personnel!$A$5:$A$19,0))="",EOMONTH(E27,0),INDEX(Personnel!$K$5:$K$19,MATCH($A27,Personnel!$A$5:$A$19,0))))-MAX(DATE(YEAR(E27),MONTH(E27),1),INDEX(Personnel!$J$5:$J$19,MATCH($A27,Personnel!$A$5:$A$19,0)))+1)/DAY(EOMONTH(E27,0))))),"")</f>
        <v/>
      </c>
      <c r="J27" s="43" t="str">
        <f aca="false">IF(OR(I27="",A27=""),"",(F27+G27+H27)-I27)</f>
        <v/>
      </c>
      <c r="K27" s="44" t="str">
        <f aca="false">IF(A27="","",IFERROR(INDEX(Personnel!$H$5:$H$19,MATCH($A27,Personnel!$A$5:$A$19,0)),""))</f>
        <v/>
      </c>
      <c r="L27" s="38" t="str">
        <f aca="false">IF(A27="","",IFERROR(INDEX(Personnel!$I$5:$I$19,MATCH($A27,Personnel!$A$5:$A$19,0)),""))</f>
        <v/>
      </c>
      <c r="M27" s="15" t="str">
        <f aca="false">IF(A27="","",F27*K27)</f>
        <v/>
      </c>
      <c r="N27" s="15" t="str">
        <f aca="false">IF(A27="","",IFERROR(G27*L27,0))</f>
        <v/>
      </c>
      <c r="O27" s="15" t="str">
        <f aca="false">IF(A27="","",H27*K27)</f>
        <v/>
      </c>
      <c r="P27" s="15" t="str">
        <f aca="false">IF(A27="","",SUM(M27:O27))</f>
        <v/>
      </c>
      <c r="Q27" s="28" t="str">
        <f aca="false">IF(P27="","",P27*Rates!$B$3)</f>
        <v/>
      </c>
      <c r="R27" s="28" t="str">
        <f aca="false">IF(P27="","",(P27+Q27)*Rates!$B$4)</f>
        <v/>
      </c>
      <c r="S27" s="15" t="str">
        <f aca="false">IF(P27="","",P27+Q27+R27)</f>
        <v/>
      </c>
    </row>
    <row r="28" customFormat="false" ht="15" hidden="false" customHeight="false" outlineLevel="0" collapsed="false">
      <c r="A28" s="16"/>
      <c r="B28" s="41" t="str">
        <f aca="false">IF(A28="","",IFERROR(INDEX(Personnel!$B$5:$B$19,MATCH($A28,Personnel!$A$5:$A$19,0)),"-- not found --"))</f>
        <v/>
      </c>
      <c r="C28" s="41" t="str">
        <f aca="false">IF(A28="","",IFERROR(INDEX(Personnel!$C$5:$C$19,MATCH($A28,Personnel!$A$5:$A$19,0)),""))</f>
        <v/>
      </c>
      <c r="D28" s="16"/>
      <c r="E28" s="32" t="str">
        <f aca="false">IF(D28="","",EDATE(Dashboard!$C$5,D28-1))</f>
        <v/>
      </c>
      <c r="F28" s="16"/>
      <c r="G28" s="16"/>
      <c r="H28" s="16"/>
      <c r="I28" s="45" t="str">
        <f aca="false">IFERROR(IF(OR(A28="",D28=""),"",MAX(0,(INDEX(Personnel!$G$5:$G$19,MATCH($A28,Personnel!$A$5:$A$19,0))/12)*((MIN(EOMONTH(E28,0),IF(INDEX(Personnel!$K$5:$K$19,MATCH($A28,Personnel!$A$5:$A$19,0))="",EOMONTH(E28,0),INDEX(Personnel!$K$5:$K$19,MATCH($A28,Personnel!$A$5:$A$19,0))))-MAX(DATE(YEAR(E28),MONTH(E28),1),INDEX(Personnel!$J$5:$J$19,MATCH($A28,Personnel!$A$5:$A$19,0)))+1)/DAY(EOMONTH(E28,0))))),"")</f>
        <v/>
      </c>
      <c r="J28" s="46" t="str">
        <f aca="false">IF(OR(I28="",A28=""),"",(F28+G28+H28)-I28)</f>
        <v/>
      </c>
      <c r="K28" s="47" t="str">
        <f aca="false">IF(A28="","",IFERROR(INDEX(Personnel!$H$5:$H$19,MATCH($A28,Personnel!$A$5:$A$19,0)),""))</f>
        <v/>
      </c>
      <c r="L28" s="41" t="str">
        <f aca="false">IF(A28="","",IFERROR(INDEX(Personnel!$I$5:$I$19,MATCH($A28,Personnel!$A$5:$A$19,0)),""))</f>
        <v/>
      </c>
      <c r="M28" s="19" t="str">
        <f aca="false">IF(A28="","",F28*K28)</f>
        <v/>
      </c>
      <c r="N28" s="19" t="str">
        <f aca="false">IF(A28="","",IFERROR(G28*L28,0))</f>
        <v/>
      </c>
      <c r="O28" s="19" t="str">
        <f aca="false">IF(A28="","",H28*K28)</f>
        <v/>
      </c>
      <c r="P28" s="19" t="str">
        <f aca="false">IF(A28="","",SUM(M28:O28))</f>
        <v/>
      </c>
      <c r="Q28" s="33" t="str">
        <f aca="false">IF(P28="","",P28*Rates!$B$3)</f>
        <v/>
      </c>
      <c r="R28" s="33" t="str">
        <f aca="false">IF(P28="","",(P28+Q28)*Rates!$B$4)</f>
        <v/>
      </c>
      <c r="S28" s="19" t="str">
        <f aca="false">IF(P28="","",P28+Q28+R28)</f>
        <v/>
      </c>
    </row>
    <row r="29" customFormat="false" ht="15" hidden="false" customHeight="false" outlineLevel="0" collapsed="false">
      <c r="A29" s="12"/>
      <c r="B29" s="38" t="str">
        <f aca="false">IF(A29="","",IFERROR(INDEX(Personnel!$B$5:$B$19,MATCH($A29,Personnel!$A$5:$A$19,0)),"-- not found --"))</f>
        <v/>
      </c>
      <c r="C29" s="38" t="str">
        <f aca="false">IF(A29="","",IFERROR(INDEX(Personnel!$C$5:$C$19,MATCH($A29,Personnel!$A$5:$A$19,0)),""))</f>
        <v/>
      </c>
      <c r="D29" s="12"/>
      <c r="E29" s="27" t="str">
        <f aca="false">IF(D29="","",EDATE(Dashboard!$C$5,D29-1))</f>
        <v/>
      </c>
      <c r="F29" s="12"/>
      <c r="G29" s="12"/>
      <c r="H29" s="12"/>
      <c r="I29" s="42" t="str">
        <f aca="false">IFERROR(IF(OR(A29="",D29=""),"",MAX(0,(INDEX(Personnel!$G$5:$G$19,MATCH($A29,Personnel!$A$5:$A$19,0))/12)*((MIN(EOMONTH(E29,0),IF(INDEX(Personnel!$K$5:$K$19,MATCH($A29,Personnel!$A$5:$A$19,0))="",EOMONTH(E29,0),INDEX(Personnel!$K$5:$K$19,MATCH($A29,Personnel!$A$5:$A$19,0))))-MAX(DATE(YEAR(E29),MONTH(E29),1),INDEX(Personnel!$J$5:$J$19,MATCH($A29,Personnel!$A$5:$A$19,0)))+1)/DAY(EOMONTH(E29,0))))),"")</f>
        <v/>
      </c>
      <c r="J29" s="43" t="str">
        <f aca="false">IF(OR(I29="",A29=""),"",(F29+G29+H29)-I29)</f>
        <v/>
      </c>
      <c r="K29" s="44" t="str">
        <f aca="false">IF(A29="","",IFERROR(INDEX(Personnel!$H$5:$H$19,MATCH($A29,Personnel!$A$5:$A$19,0)),""))</f>
        <v/>
      </c>
      <c r="L29" s="38" t="str">
        <f aca="false">IF(A29="","",IFERROR(INDEX(Personnel!$I$5:$I$19,MATCH($A29,Personnel!$A$5:$A$19,0)),""))</f>
        <v/>
      </c>
      <c r="M29" s="15" t="str">
        <f aca="false">IF(A29="","",F29*K29)</f>
        <v/>
      </c>
      <c r="N29" s="15" t="str">
        <f aca="false">IF(A29="","",IFERROR(G29*L29,0))</f>
        <v/>
      </c>
      <c r="O29" s="15" t="str">
        <f aca="false">IF(A29="","",H29*K29)</f>
        <v/>
      </c>
      <c r="P29" s="15" t="str">
        <f aca="false">IF(A29="","",SUM(M29:O29))</f>
        <v/>
      </c>
      <c r="Q29" s="28" t="str">
        <f aca="false">IF(P29="","",P29*Rates!$B$3)</f>
        <v/>
      </c>
      <c r="R29" s="28" t="str">
        <f aca="false">IF(P29="","",(P29+Q29)*Rates!$B$4)</f>
        <v/>
      </c>
      <c r="S29" s="15" t="str">
        <f aca="false">IF(P29="","",P29+Q29+R29)</f>
        <v/>
      </c>
    </row>
    <row r="30" customFormat="false" ht="15" hidden="false" customHeight="false" outlineLevel="0" collapsed="false">
      <c r="A30" s="16"/>
      <c r="B30" s="41" t="str">
        <f aca="false">IF(A30="","",IFERROR(INDEX(Personnel!$B$5:$B$19,MATCH($A30,Personnel!$A$5:$A$19,0)),"-- not found --"))</f>
        <v/>
      </c>
      <c r="C30" s="41" t="str">
        <f aca="false">IF(A30="","",IFERROR(INDEX(Personnel!$C$5:$C$19,MATCH($A30,Personnel!$A$5:$A$19,0)),""))</f>
        <v/>
      </c>
      <c r="D30" s="16"/>
      <c r="E30" s="32" t="str">
        <f aca="false">IF(D30="","",EDATE(Dashboard!$C$5,D30-1))</f>
        <v/>
      </c>
      <c r="F30" s="16"/>
      <c r="G30" s="16"/>
      <c r="H30" s="16"/>
      <c r="I30" s="45" t="str">
        <f aca="false">IFERROR(IF(OR(A30="",D30=""),"",MAX(0,(INDEX(Personnel!$G$5:$G$19,MATCH($A30,Personnel!$A$5:$A$19,0))/12)*((MIN(EOMONTH(E30,0),IF(INDEX(Personnel!$K$5:$K$19,MATCH($A30,Personnel!$A$5:$A$19,0))="",EOMONTH(E30,0),INDEX(Personnel!$K$5:$K$19,MATCH($A30,Personnel!$A$5:$A$19,0))))-MAX(DATE(YEAR(E30),MONTH(E30),1),INDEX(Personnel!$J$5:$J$19,MATCH($A30,Personnel!$A$5:$A$19,0)))+1)/DAY(EOMONTH(E30,0))))),"")</f>
        <v/>
      </c>
      <c r="J30" s="46" t="str">
        <f aca="false">IF(OR(I30="",A30=""),"",(F30+G30+H30)-I30)</f>
        <v/>
      </c>
      <c r="K30" s="47" t="str">
        <f aca="false">IF(A30="","",IFERROR(INDEX(Personnel!$H$5:$H$19,MATCH($A30,Personnel!$A$5:$A$19,0)),""))</f>
        <v/>
      </c>
      <c r="L30" s="41" t="str">
        <f aca="false">IF(A30="","",IFERROR(INDEX(Personnel!$I$5:$I$19,MATCH($A30,Personnel!$A$5:$A$19,0)),""))</f>
        <v/>
      </c>
      <c r="M30" s="19" t="str">
        <f aca="false">IF(A30="","",F30*K30)</f>
        <v/>
      </c>
      <c r="N30" s="19" t="str">
        <f aca="false">IF(A30="","",IFERROR(G30*L30,0))</f>
        <v/>
      </c>
      <c r="O30" s="19" t="str">
        <f aca="false">IF(A30="","",H30*K30)</f>
        <v/>
      </c>
      <c r="P30" s="19" t="str">
        <f aca="false">IF(A30="","",SUM(M30:O30))</f>
        <v/>
      </c>
      <c r="Q30" s="33" t="str">
        <f aca="false">IF(P30="","",P30*Rates!$B$3)</f>
        <v/>
      </c>
      <c r="R30" s="33" t="str">
        <f aca="false">IF(P30="","",(P30+Q30)*Rates!$B$4)</f>
        <v/>
      </c>
      <c r="S30" s="19" t="str">
        <f aca="false">IF(P30="","",P30+Q30+R30)</f>
        <v/>
      </c>
    </row>
    <row r="31" customFormat="false" ht="15" hidden="false" customHeight="false" outlineLevel="0" collapsed="false">
      <c r="A31" s="12"/>
      <c r="B31" s="38" t="str">
        <f aca="false">IF(A31="","",IFERROR(INDEX(Personnel!$B$5:$B$19,MATCH($A31,Personnel!$A$5:$A$19,0)),"-- not found --"))</f>
        <v/>
      </c>
      <c r="C31" s="38" t="str">
        <f aca="false">IF(A31="","",IFERROR(INDEX(Personnel!$C$5:$C$19,MATCH($A31,Personnel!$A$5:$A$19,0)),""))</f>
        <v/>
      </c>
      <c r="D31" s="12"/>
      <c r="E31" s="27" t="str">
        <f aca="false">IF(D31="","",EDATE(Dashboard!$C$5,D31-1))</f>
        <v/>
      </c>
      <c r="F31" s="12"/>
      <c r="G31" s="12"/>
      <c r="H31" s="12"/>
      <c r="I31" s="42" t="str">
        <f aca="false">IFERROR(IF(OR(A31="",D31=""),"",MAX(0,(INDEX(Personnel!$G$5:$G$19,MATCH($A31,Personnel!$A$5:$A$19,0))/12)*((MIN(EOMONTH(E31,0),IF(INDEX(Personnel!$K$5:$K$19,MATCH($A31,Personnel!$A$5:$A$19,0))="",EOMONTH(E31,0),INDEX(Personnel!$K$5:$K$19,MATCH($A31,Personnel!$A$5:$A$19,0))))-MAX(DATE(YEAR(E31),MONTH(E31),1),INDEX(Personnel!$J$5:$J$19,MATCH($A31,Personnel!$A$5:$A$19,0)))+1)/DAY(EOMONTH(E31,0))))),"")</f>
        <v/>
      </c>
      <c r="J31" s="43" t="str">
        <f aca="false">IF(OR(I31="",A31=""),"",(F31+G31+H31)-I31)</f>
        <v/>
      </c>
      <c r="K31" s="44" t="str">
        <f aca="false">IF(A31="","",IFERROR(INDEX(Personnel!$H$5:$H$19,MATCH($A31,Personnel!$A$5:$A$19,0)),""))</f>
        <v/>
      </c>
      <c r="L31" s="38" t="str">
        <f aca="false">IF(A31="","",IFERROR(INDEX(Personnel!$I$5:$I$19,MATCH($A31,Personnel!$A$5:$A$19,0)),""))</f>
        <v/>
      </c>
      <c r="M31" s="15" t="str">
        <f aca="false">IF(A31="","",F31*K31)</f>
        <v/>
      </c>
      <c r="N31" s="15" t="str">
        <f aca="false">IF(A31="","",IFERROR(G31*L31,0))</f>
        <v/>
      </c>
      <c r="O31" s="15" t="str">
        <f aca="false">IF(A31="","",H31*K31)</f>
        <v/>
      </c>
      <c r="P31" s="15" t="str">
        <f aca="false">IF(A31="","",SUM(M31:O31))</f>
        <v/>
      </c>
      <c r="Q31" s="28" t="str">
        <f aca="false">IF(P31="","",P31*Rates!$B$3)</f>
        <v/>
      </c>
      <c r="R31" s="28" t="str">
        <f aca="false">IF(P31="","",(P31+Q31)*Rates!$B$4)</f>
        <v/>
      </c>
      <c r="S31" s="15" t="str">
        <f aca="false">IF(P31="","",P31+Q31+R31)</f>
        <v/>
      </c>
    </row>
    <row r="32" customFormat="false" ht="15" hidden="false" customHeight="false" outlineLevel="0" collapsed="false">
      <c r="A32" s="16"/>
      <c r="B32" s="41" t="str">
        <f aca="false">IF(A32="","",IFERROR(INDEX(Personnel!$B$5:$B$19,MATCH($A32,Personnel!$A$5:$A$19,0)),"-- not found --"))</f>
        <v/>
      </c>
      <c r="C32" s="41" t="str">
        <f aca="false">IF(A32="","",IFERROR(INDEX(Personnel!$C$5:$C$19,MATCH($A32,Personnel!$A$5:$A$19,0)),""))</f>
        <v/>
      </c>
      <c r="D32" s="16"/>
      <c r="E32" s="32" t="str">
        <f aca="false">IF(D32="","",EDATE(Dashboard!$C$5,D32-1))</f>
        <v/>
      </c>
      <c r="F32" s="16"/>
      <c r="G32" s="16"/>
      <c r="H32" s="16"/>
      <c r="I32" s="45" t="str">
        <f aca="false">IFERROR(IF(OR(A32="",D32=""),"",MAX(0,(INDEX(Personnel!$G$5:$G$19,MATCH($A32,Personnel!$A$5:$A$19,0))/12)*((MIN(EOMONTH(E32,0),IF(INDEX(Personnel!$K$5:$K$19,MATCH($A32,Personnel!$A$5:$A$19,0))="",EOMONTH(E32,0),INDEX(Personnel!$K$5:$K$19,MATCH($A32,Personnel!$A$5:$A$19,0))))-MAX(DATE(YEAR(E32),MONTH(E32),1),INDEX(Personnel!$J$5:$J$19,MATCH($A32,Personnel!$A$5:$A$19,0)))+1)/DAY(EOMONTH(E32,0))))),"")</f>
        <v/>
      </c>
      <c r="J32" s="46" t="str">
        <f aca="false">IF(OR(I32="",A32=""),"",(F32+G32+H32)-I32)</f>
        <v/>
      </c>
      <c r="K32" s="47" t="str">
        <f aca="false">IF(A32="","",IFERROR(INDEX(Personnel!$H$5:$H$19,MATCH($A32,Personnel!$A$5:$A$19,0)),""))</f>
        <v/>
      </c>
      <c r="L32" s="41" t="str">
        <f aca="false">IF(A32="","",IFERROR(INDEX(Personnel!$I$5:$I$19,MATCH($A32,Personnel!$A$5:$A$19,0)),""))</f>
        <v/>
      </c>
      <c r="M32" s="19" t="str">
        <f aca="false">IF(A32="","",F32*K32)</f>
        <v/>
      </c>
      <c r="N32" s="19" t="str">
        <f aca="false">IF(A32="","",IFERROR(G32*L32,0))</f>
        <v/>
      </c>
      <c r="O32" s="19" t="str">
        <f aca="false">IF(A32="","",H32*K32)</f>
        <v/>
      </c>
      <c r="P32" s="19" t="str">
        <f aca="false">IF(A32="","",SUM(M32:O32))</f>
        <v/>
      </c>
      <c r="Q32" s="33" t="str">
        <f aca="false">IF(P32="","",P32*Rates!$B$3)</f>
        <v/>
      </c>
      <c r="R32" s="33" t="str">
        <f aca="false">IF(P32="","",(P32+Q32)*Rates!$B$4)</f>
        <v/>
      </c>
      <c r="S32" s="19" t="str">
        <f aca="false">IF(P32="","",P32+Q32+R32)</f>
        <v/>
      </c>
    </row>
    <row r="33" customFormat="false" ht="15" hidden="false" customHeight="false" outlineLevel="0" collapsed="false">
      <c r="A33" s="12"/>
      <c r="B33" s="38" t="str">
        <f aca="false">IF(A33="","",IFERROR(INDEX(Personnel!$B$5:$B$19,MATCH($A33,Personnel!$A$5:$A$19,0)),"-- not found --"))</f>
        <v/>
      </c>
      <c r="C33" s="38" t="str">
        <f aca="false">IF(A33="","",IFERROR(INDEX(Personnel!$C$5:$C$19,MATCH($A33,Personnel!$A$5:$A$19,0)),""))</f>
        <v/>
      </c>
      <c r="D33" s="12"/>
      <c r="E33" s="27" t="str">
        <f aca="false">IF(D33="","",EDATE(Dashboard!$C$5,D33-1))</f>
        <v/>
      </c>
      <c r="F33" s="12"/>
      <c r="G33" s="12"/>
      <c r="H33" s="12"/>
      <c r="I33" s="42" t="str">
        <f aca="false">IFERROR(IF(OR(A33="",D33=""),"",MAX(0,(INDEX(Personnel!$G$5:$G$19,MATCH($A33,Personnel!$A$5:$A$19,0))/12)*((MIN(EOMONTH(E33,0),IF(INDEX(Personnel!$K$5:$K$19,MATCH($A33,Personnel!$A$5:$A$19,0))="",EOMONTH(E33,0),INDEX(Personnel!$K$5:$K$19,MATCH($A33,Personnel!$A$5:$A$19,0))))-MAX(DATE(YEAR(E33),MONTH(E33),1),INDEX(Personnel!$J$5:$J$19,MATCH($A33,Personnel!$A$5:$A$19,0)))+1)/DAY(EOMONTH(E33,0))))),"")</f>
        <v/>
      </c>
      <c r="J33" s="43" t="str">
        <f aca="false">IF(OR(I33="",A33=""),"",(F33+G33+H33)-I33)</f>
        <v/>
      </c>
      <c r="K33" s="44" t="str">
        <f aca="false">IF(A33="","",IFERROR(INDEX(Personnel!$H$5:$H$19,MATCH($A33,Personnel!$A$5:$A$19,0)),""))</f>
        <v/>
      </c>
      <c r="L33" s="38" t="str">
        <f aca="false">IF(A33="","",IFERROR(INDEX(Personnel!$I$5:$I$19,MATCH($A33,Personnel!$A$5:$A$19,0)),""))</f>
        <v/>
      </c>
      <c r="M33" s="15" t="str">
        <f aca="false">IF(A33="","",F33*K33)</f>
        <v/>
      </c>
      <c r="N33" s="15" t="str">
        <f aca="false">IF(A33="","",IFERROR(G33*L33,0))</f>
        <v/>
      </c>
      <c r="O33" s="15" t="str">
        <f aca="false">IF(A33="","",H33*K33)</f>
        <v/>
      </c>
      <c r="P33" s="15" t="str">
        <f aca="false">IF(A33="","",SUM(M33:O33))</f>
        <v/>
      </c>
      <c r="Q33" s="28" t="str">
        <f aca="false">IF(P33="","",P33*Rates!$B$3)</f>
        <v/>
      </c>
      <c r="R33" s="28" t="str">
        <f aca="false">IF(P33="","",(P33+Q33)*Rates!$B$4)</f>
        <v/>
      </c>
      <c r="S33" s="15" t="str">
        <f aca="false">IF(P33="","",P33+Q33+R33)</f>
        <v/>
      </c>
    </row>
    <row r="34" customFormat="false" ht="15" hidden="false" customHeight="false" outlineLevel="0" collapsed="false">
      <c r="A34" s="16"/>
      <c r="B34" s="41" t="str">
        <f aca="false">IF(A34="","",IFERROR(INDEX(Personnel!$B$5:$B$19,MATCH($A34,Personnel!$A$5:$A$19,0)),"-- not found --"))</f>
        <v/>
      </c>
      <c r="C34" s="41" t="str">
        <f aca="false">IF(A34="","",IFERROR(INDEX(Personnel!$C$5:$C$19,MATCH($A34,Personnel!$A$5:$A$19,0)),""))</f>
        <v/>
      </c>
      <c r="D34" s="16"/>
      <c r="E34" s="32" t="str">
        <f aca="false">IF(D34="","",EDATE(Dashboard!$C$5,D34-1))</f>
        <v/>
      </c>
      <c r="F34" s="16"/>
      <c r="G34" s="16"/>
      <c r="H34" s="16"/>
      <c r="I34" s="45" t="str">
        <f aca="false">IFERROR(IF(OR(A34="",D34=""),"",MAX(0,(INDEX(Personnel!$G$5:$G$19,MATCH($A34,Personnel!$A$5:$A$19,0))/12)*((MIN(EOMONTH(E34,0),IF(INDEX(Personnel!$K$5:$K$19,MATCH($A34,Personnel!$A$5:$A$19,0))="",EOMONTH(E34,0),INDEX(Personnel!$K$5:$K$19,MATCH($A34,Personnel!$A$5:$A$19,0))))-MAX(DATE(YEAR(E34),MONTH(E34),1),INDEX(Personnel!$J$5:$J$19,MATCH($A34,Personnel!$A$5:$A$19,0)))+1)/DAY(EOMONTH(E34,0))))),"")</f>
        <v/>
      </c>
      <c r="J34" s="46" t="str">
        <f aca="false">IF(OR(I34="",A34=""),"",(F34+G34+H34)-I34)</f>
        <v/>
      </c>
      <c r="K34" s="47" t="str">
        <f aca="false">IF(A34="","",IFERROR(INDEX(Personnel!$H$5:$H$19,MATCH($A34,Personnel!$A$5:$A$19,0)),""))</f>
        <v/>
      </c>
      <c r="L34" s="41" t="str">
        <f aca="false">IF(A34="","",IFERROR(INDEX(Personnel!$I$5:$I$19,MATCH($A34,Personnel!$A$5:$A$19,0)),""))</f>
        <v/>
      </c>
      <c r="M34" s="19" t="str">
        <f aca="false">IF(A34="","",F34*K34)</f>
        <v/>
      </c>
      <c r="N34" s="19" t="str">
        <f aca="false">IF(A34="","",IFERROR(G34*L34,0))</f>
        <v/>
      </c>
      <c r="O34" s="19" t="str">
        <f aca="false">IF(A34="","",H34*K34)</f>
        <v/>
      </c>
      <c r="P34" s="19" t="str">
        <f aca="false">IF(A34="","",SUM(M34:O34))</f>
        <v/>
      </c>
      <c r="Q34" s="33" t="str">
        <f aca="false">IF(P34="","",P34*Rates!$B$3)</f>
        <v/>
      </c>
      <c r="R34" s="33" t="str">
        <f aca="false">IF(P34="","",(P34+Q34)*Rates!$B$4)</f>
        <v/>
      </c>
      <c r="S34" s="19" t="str">
        <f aca="false">IF(P34="","",P34+Q34+R34)</f>
        <v/>
      </c>
    </row>
    <row r="35" customFormat="false" ht="15" hidden="false" customHeight="false" outlineLevel="0" collapsed="false">
      <c r="A35" s="12"/>
      <c r="B35" s="38" t="str">
        <f aca="false">IF(A35="","",IFERROR(INDEX(Personnel!$B$5:$B$19,MATCH($A35,Personnel!$A$5:$A$19,0)),"-- not found --"))</f>
        <v/>
      </c>
      <c r="C35" s="38" t="str">
        <f aca="false">IF(A35="","",IFERROR(INDEX(Personnel!$C$5:$C$19,MATCH($A35,Personnel!$A$5:$A$19,0)),""))</f>
        <v/>
      </c>
      <c r="D35" s="12"/>
      <c r="E35" s="27" t="str">
        <f aca="false">IF(D35="","",EDATE(Dashboard!$C$5,D35-1))</f>
        <v/>
      </c>
      <c r="F35" s="12"/>
      <c r="G35" s="12"/>
      <c r="H35" s="12"/>
      <c r="I35" s="42" t="str">
        <f aca="false">IFERROR(IF(OR(A35="",D35=""),"",MAX(0,(INDEX(Personnel!$G$5:$G$19,MATCH($A35,Personnel!$A$5:$A$19,0))/12)*((MIN(EOMONTH(E35,0),IF(INDEX(Personnel!$K$5:$K$19,MATCH($A35,Personnel!$A$5:$A$19,0))="",EOMONTH(E35,0),INDEX(Personnel!$K$5:$K$19,MATCH($A35,Personnel!$A$5:$A$19,0))))-MAX(DATE(YEAR(E35),MONTH(E35),1),INDEX(Personnel!$J$5:$J$19,MATCH($A35,Personnel!$A$5:$A$19,0)))+1)/DAY(EOMONTH(E35,0))))),"")</f>
        <v/>
      </c>
      <c r="J35" s="43" t="str">
        <f aca="false">IF(OR(I35="",A35=""),"",(F35+G35+H35)-I35)</f>
        <v/>
      </c>
      <c r="K35" s="44" t="str">
        <f aca="false">IF(A35="","",IFERROR(INDEX(Personnel!$H$5:$H$19,MATCH($A35,Personnel!$A$5:$A$19,0)),""))</f>
        <v/>
      </c>
      <c r="L35" s="38" t="str">
        <f aca="false">IF(A35="","",IFERROR(INDEX(Personnel!$I$5:$I$19,MATCH($A35,Personnel!$A$5:$A$19,0)),""))</f>
        <v/>
      </c>
      <c r="M35" s="15" t="str">
        <f aca="false">IF(A35="","",F35*K35)</f>
        <v/>
      </c>
      <c r="N35" s="15" t="str">
        <f aca="false">IF(A35="","",IFERROR(G35*L35,0))</f>
        <v/>
      </c>
      <c r="O35" s="15" t="str">
        <f aca="false">IF(A35="","",H35*K35)</f>
        <v/>
      </c>
      <c r="P35" s="15" t="str">
        <f aca="false">IF(A35="","",SUM(M35:O35))</f>
        <v/>
      </c>
      <c r="Q35" s="28" t="str">
        <f aca="false">IF(P35="","",P35*Rates!$B$3)</f>
        <v/>
      </c>
      <c r="R35" s="28" t="str">
        <f aca="false">IF(P35="","",(P35+Q35)*Rates!$B$4)</f>
        <v/>
      </c>
      <c r="S35" s="15" t="str">
        <f aca="false">IF(P35="","",P35+Q35+R35)</f>
        <v/>
      </c>
    </row>
    <row r="36" customFormat="false" ht="15" hidden="false" customHeight="false" outlineLevel="0" collapsed="false">
      <c r="A36" s="16"/>
      <c r="B36" s="41" t="str">
        <f aca="false">IF(A36="","",IFERROR(INDEX(Personnel!$B$5:$B$19,MATCH($A36,Personnel!$A$5:$A$19,0)),"-- not found --"))</f>
        <v/>
      </c>
      <c r="C36" s="41" t="str">
        <f aca="false">IF(A36="","",IFERROR(INDEX(Personnel!$C$5:$C$19,MATCH($A36,Personnel!$A$5:$A$19,0)),""))</f>
        <v/>
      </c>
      <c r="D36" s="16"/>
      <c r="E36" s="32" t="str">
        <f aca="false">IF(D36="","",EDATE(Dashboard!$C$5,D36-1))</f>
        <v/>
      </c>
      <c r="F36" s="16"/>
      <c r="G36" s="16"/>
      <c r="H36" s="16"/>
      <c r="I36" s="45" t="str">
        <f aca="false">IFERROR(IF(OR(A36="",D36=""),"",MAX(0,(INDEX(Personnel!$G$5:$G$19,MATCH($A36,Personnel!$A$5:$A$19,0))/12)*((MIN(EOMONTH(E36,0),IF(INDEX(Personnel!$K$5:$K$19,MATCH($A36,Personnel!$A$5:$A$19,0))="",EOMONTH(E36,0),INDEX(Personnel!$K$5:$K$19,MATCH($A36,Personnel!$A$5:$A$19,0))))-MAX(DATE(YEAR(E36),MONTH(E36),1),INDEX(Personnel!$J$5:$J$19,MATCH($A36,Personnel!$A$5:$A$19,0)))+1)/DAY(EOMONTH(E36,0))))),"")</f>
        <v/>
      </c>
      <c r="J36" s="46" t="str">
        <f aca="false">IF(OR(I36="",A36=""),"",(F36+G36+H36)-I36)</f>
        <v/>
      </c>
      <c r="K36" s="47" t="str">
        <f aca="false">IF(A36="","",IFERROR(INDEX(Personnel!$H$5:$H$19,MATCH($A36,Personnel!$A$5:$A$19,0)),""))</f>
        <v/>
      </c>
      <c r="L36" s="41" t="str">
        <f aca="false">IF(A36="","",IFERROR(INDEX(Personnel!$I$5:$I$19,MATCH($A36,Personnel!$A$5:$A$19,0)),""))</f>
        <v/>
      </c>
      <c r="M36" s="19" t="str">
        <f aca="false">IF(A36="","",F36*K36)</f>
        <v/>
      </c>
      <c r="N36" s="19" t="str">
        <f aca="false">IF(A36="","",IFERROR(G36*L36,0))</f>
        <v/>
      </c>
      <c r="O36" s="19" t="str">
        <f aca="false">IF(A36="","",H36*K36)</f>
        <v/>
      </c>
      <c r="P36" s="19" t="str">
        <f aca="false">IF(A36="","",SUM(M36:O36))</f>
        <v/>
      </c>
      <c r="Q36" s="33" t="str">
        <f aca="false">IF(P36="","",P36*Rates!$B$3)</f>
        <v/>
      </c>
      <c r="R36" s="33" t="str">
        <f aca="false">IF(P36="","",(P36+Q36)*Rates!$B$4)</f>
        <v/>
      </c>
      <c r="S36" s="19" t="str">
        <f aca="false">IF(P36="","",P36+Q36+R36)</f>
        <v/>
      </c>
    </row>
    <row r="37" customFormat="false" ht="15" hidden="false" customHeight="false" outlineLevel="0" collapsed="false">
      <c r="A37" s="12"/>
      <c r="B37" s="38" t="str">
        <f aca="false">IF(A37="","",IFERROR(INDEX(Personnel!$B$5:$B$19,MATCH($A37,Personnel!$A$5:$A$19,0)),"-- not found --"))</f>
        <v/>
      </c>
      <c r="C37" s="38" t="str">
        <f aca="false">IF(A37="","",IFERROR(INDEX(Personnel!$C$5:$C$19,MATCH($A37,Personnel!$A$5:$A$19,0)),""))</f>
        <v/>
      </c>
      <c r="D37" s="12"/>
      <c r="E37" s="27" t="str">
        <f aca="false">IF(D37="","",EDATE(Dashboard!$C$5,D37-1))</f>
        <v/>
      </c>
      <c r="F37" s="12"/>
      <c r="G37" s="12"/>
      <c r="H37" s="12"/>
      <c r="I37" s="42" t="str">
        <f aca="false">IFERROR(IF(OR(A37="",D37=""),"",MAX(0,(INDEX(Personnel!$G$5:$G$19,MATCH($A37,Personnel!$A$5:$A$19,0))/12)*((MIN(EOMONTH(E37,0),IF(INDEX(Personnel!$K$5:$K$19,MATCH($A37,Personnel!$A$5:$A$19,0))="",EOMONTH(E37,0),INDEX(Personnel!$K$5:$K$19,MATCH($A37,Personnel!$A$5:$A$19,0))))-MAX(DATE(YEAR(E37),MONTH(E37),1),INDEX(Personnel!$J$5:$J$19,MATCH($A37,Personnel!$A$5:$A$19,0)))+1)/DAY(EOMONTH(E37,0))))),"")</f>
        <v/>
      </c>
      <c r="J37" s="43" t="str">
        <f aca="false">IF(OR(I37="",A37=""),"",(F37+G37+H37)-I37)</f>
        <v/>
      </c>
      <c r="K37" s="44" t="str">
        <f aca="false">IF(A37="","",IFERROR(INDEX(Personnel!$H$5:$H$19,MATCH($A37,Personnel!$A$5:$A$19,0)),""))</f>
        <v/>
      </c>
      <c r="L37" s="38" t="str">
        <f aca="false">IF(A37="","",IFERROR(INDEX(Personnel!$I$5:$I$19,MATCH($A37,Personnel!$A$5:$A$19,0)),""))</f>
        <v/>
      </c>
      <c r="M37" s="15" t="str">
        <f aca="false">IF(A37="","",F37*K37)</f>
        <v/>
      </c>
      <c r="N37" s="15" t="str">
        <f aca="false">IF(A37="","",IFERROR(G37*L37,0))</f>
        <v/>
      </c>
      <c r="O37" s="15" t="str">
        <f aca="false">IF(A37="","",H37*K37)</f>
        <v/>
      </c>
      <c r="P37" s="15" t="str">
        <f aca="false">IF(A37="","",SUM(M37:O37))</f>
        <v/>
      </c>
      <c r="Q37" s="28" t="str">
        <f aca="false">IF(P37="","",P37*Rates!$B$3)</f>
        <v/>
      </c>
      <c r="R37" s="28" t="str">
        <f aca="false">IF(P37="","",(P37+Q37)*Rates!$B$4)</f>
        <v/>
      </c>
      <c r="S37" s="15" t="str">
        <f aca="false">IF(P37="","",P37+Q37+R37)</f>
        <v/>
      </c>
    </row>
    <row r="38" customFormat="false" ht="15" hidden="false" customHeight="false" outlineLevel="0" collapsed="false">
      <c r="A38" s="16"/>
      <c r="B38" s="41" t="str">
        <f aca="false">IF(A38="","",IFERROR(INDEX(Personnel!$B$5:$B$19,MATCH($A38,Personnel!$A$5:$A$19,0)),"-- not found --"))</f>
        <v/>
      </c>
      <c r="C38" s="41" t="str">
        <f aca="false">IF(A38="","",IFERROR(INDEX(Personnel!$C$5:$C$19,MATCH($A38,Personnel!$A$5:$A$19,0)),""))</f>
        <v/>
      </c>
      <c r="D38" s="16"/>
      <c r="E38" s="32" t="str">
        <f aca="false">IF(D38="","",EDATE(Dashboard!$C$5,D38-1))</f>
        <v/>
      </c>
      <c r="F38" s="16"/>
      <c r="G38" s="16"/>
      <c r="H38" s="16"/>
      <c r="I38" s="45" t="str">
        <f aca="false">IFERROR(IF(OR(A38="",D38=""),"",MAX(0,(INDEX(Personnel!$G$5:$G$19,MATCH($A38,Personnel!$A$5:$A$19,0))/12)*((MIN(EOMONTH(E38,0),IF(INDEX(Personnel!$K$5:$K$19,MATCH($A38,Personnel!$A$5:$A$19,0))="",EOMONTH(E38,0),INDEX(Personnel!$K$5:$K$19,MATCH($A38,Personnel!$A$5:$A$19,0))))-MAX(DATE(YEAR(E38),MONTH(E38),1),INDEX(Personnel!$J$5:$J$19,MATCH($A38,Personnel!$A$5:$A$19,0)))+1)/DAY(EOMONTH(E38,0))))),"")</f>
        <v/>
      </c>
      <c r="J38" s="46" t="str">
        <f aca="false">IF(OR(I38="",A38=""),"",(F38+G38+H38)-I38)</f>
        <v/>
      </c>
      <c r="K38" s="47" t="str">
        <f aca="false">IF(A38="","",IFERROR(INDEX(Personnel!$H$5:$H$19,MATCH($A38,Personnel!$A$5:$A$19,0)),""))</f>
        <v/>
      </c>
      <c r="L38" s="41" t="str">
        <f aca="false">IF(A38="","",IFERROR(INDEX(Personnel!$I$5:$I$19,MATCH($A38,Personnel!$A$5:$A$19,0)),""))</f>
        <v/>
      </c>
      <c r="M38" s="19" t="str">
        <f aca="false">IF(A38="","",F38*K38)</f>
        <v/>
      </c>
      <c r="N38" s="19" t="str">
        <f aca="false">IF(A38="","",IFERROR(G38*L38,0))</f>
        <v/>
      </c>
      <c r="O38" s="19" t="str">
        <f aca="false">IF(A38="","",H38*K38)</f>
        <v/>
      </c>
      <c r="P38" s="19" t="str">
        <f aca="false">IF(A38="","",SUM(M38:O38))</f>
        <v/>
      </c>
      <c r="Q38" s="33" t="str">
        <f aca="false">IF(P38="","",P38*Rates!$B$3)</f>
        <v/>
      </c>
      <c r="R38" s="33" t="str">
        <f aca="false">IF(P38="","",(P38+Q38)*Rates!$B$4)</f>
        <v/>
      </c>
      <c r="S38" s="19" t="str">
        <f aca="false">IF(P38="","",P38+Q38+R38)</f>
        <v/>
      </c>
    </row>
    <row r="39" customFormat="false" ht="15" hidden="false" customHeight="false" outlineLevel="0" collapsed="false">
      <c r="A39" s="12"/>
      <c r="B39" s="38" t="str">
        <f aca="false">IF(A39="","",IFERROR(INDEX(Personnel!$B$5:$B$19,MATCH($A39,Personnel!$A$5:$A$19,0)),"-- not found --"))</f>
        <v/>
      </c>
      <c r="C39" s="38" t="str">
        <f aca="false">IF(A39="","",IFERROR(INDEX(Personnel!$C$5:$C$19,MATCH($A39,Personnel!$A$5:$A$19,0)),""))</f>
        <v/>
      </c>
      <c r="D39" s="12"/>
      <c r="E39" s="27" t="str">
        <f aca="false">IF(D39="","",EDATE(Dashboard!$C$5,D39-1))</f>
        <v/>
      </c>
      <c r="F39" s="12"/>
      <c r="G39" s="12"/>
      <c r="H39" s="12"/>
      <c r="I39" s="42" t="str">
        <f aca="false">IFERROR(IF(OR(A39="",D39=""),"",MAX(0,(INDEX(Personnel!$G$5:$G$19,MATCH($A39,Personnel!$A$5:$A$19,0))/12)*((MIN(EOMONTH(E39,0),IF(INDEX(Personnel!$K$5:$K$19,MATCH($A39,Personnel!$A$5:$A$19,0))="",EOMONTH(E39,0),INDEX(Personnel!$K$5:$K$19,MATCH($A39,Personnel!$A$5:$A$19,0))))-MAX(DATE(YEAR(E39),MONTH(E39),1),INDEX(Personnel!$J$5:$J$19,MATCH($A39,Personnel!$A$5:$A$19,0)))+1)/DAY(EOMONTH(E39,0))))),"")</f>
        <v/>
      </c>
      <c r="J39" s="43" t="str">
        <f aca="false">IF(OR(I39="",A39=""),"",(F39+G39+H39)-I39)</f>
        <v/>
      </c>
      <c r="K39" s="44" t="str">
        <f aca="false">IF(A39="","",IFERROR(INDEX(Personnel!$H$5:$H$19,MATCH($A39,Personnel!$A$5:$A$19,0)),""))</f>
        <v/>
      </c>
      <c r="L39" s="38" t="str">
        <f aca="false">IF(A39="","",IFERROR(INDEX(Personnel!$I$5:$I$19,MATCH($A39,Personnel!$A$5:$A$19,0)),""))</f>
        <v/>
      </c>
      <c r="M39" s="15" t="str">
        <f aca="false">IF(A39="","",F39*K39)</f>
        <v/>
      </c>
      <c r="N39" s="15" t="str">
        <f aca="false">IF(A39="","",IFERROR(G39*L39,0))</f>
        <v/>
      </c>
      <c r="O39" s="15" t="str">
        <f aca="false">IF(A39="","",H39*K39)</f>
        <v/>
      </c>
      <c r="P39" s="15" t="str">
        <f aca="false">IF(A39="","",SUM(M39:O39))</f>
        <v/>
      </c>
      <c r="Q39" s="28" t="str">
        <f aca="false">IF(P39="","",P39*Rates!$B$3)</f>
        <v/>
      </c>
      <c r="R39" s="28" t="str">
        <f aca="false">IF(P39="","",(P39+Q39)*Rates!$B$4)</f>
        <v/>
      </c>
      <c r="S39" s="15" t="str">
        <f aca="false">IF(P39="","",P39+Q39+R39)</f>
        <v/>
      </c>
    </row>
    <row r="40" customFormat="false" ht="15" hidden="false" customHeight="false" outlineLevel="0" collapsed="false">
      <c r="A40" s="16"/>
      <c r="B40" s="41" t="str">
        <f aca="false">IF(A40="","",IFERROR(INDEX(Personnel!$B$5:$B$19,MATCH($A40,Personnel!$A$5:$A$19,0)),"-- not found --"))</f>
        <v/>
      </c>
      <c r="C40" s="41" t="str">
        <f aca="false">IF(A40="","",IFERROR(INDEX(Personnel!$C$5:$C$19,MATCH($A40,Personnel!$A$5:$A$19,0)),""))</f>
        <v/>
      </c>
      <c r="D40" s="16"/>
      <c r="E40" s="32" t="str">
        <f aca="false">IF(D40="","",EDATE(Dashboard!$C$5,D40-1))</f>
        <v/>
      </c>
      <c r="F40" s="16"/>
      <c r="G40" s="16"/>
      <c r="H40" s="16"/>
      <c r="I40" s="45" t="str">
        <f aca="false">IFERROR(IF(OR(A40="",D40=""),"",MAX(0,(INDEX(Personnel!$G$5:$G$19,MATCH($A40,Personnel!$A$5:$A$19,0))/12)*((MIN(EOMONTH(E40,0),IF(INDEX(Personnel!$K$5:$K$19,MATCH($A40,Personnel!$A$5:$A$19,0))="",EOMONTH(E40,0),INDEX(Personnel!$K$5:$K$19,MATCH($A40,Personnel!$A$5:$A$19,0))))-MAX(DATE(YEAR(E40),MONTH(E40),1),INDEX(Personnel!$J$5:$J$19,MATCH($A40,Personnel!$A$5:$A$19,0)))+1)/DAY(EOMONTH(E40,0))))),"")</f>
        <v/>
      </c>
      <c r="J40" s="46" t="str">
        <f aca="false">IF(OR(I40="",A40=""),"",(F40+G40+H40)-I40)</f>
        <v/>
      </c>
      <c r="K40" s="47" t="str">
        <f aca="false">IF(A40="","",IFERROR(INDEX(Personnel!$H$5:$H$19,MATCH($A40,Personnel!$A$5:$A$19,0)),""))</f>
        <v/>
      </c>
      <c r="L40" s="41" t="str">
        <f aca="false">IF(A40="","",IFERROR(INDEX(Personnel!$I$5:$I$19,MATCH($A40,Personnel!$A$5:$A$19,0)),""))</f>
        <v/>
      </c>
      <c r="M40" s="19" t="str">
        <f aca="false">IF(A40="","",F40*K40)</f>
        <v/>
      </c>
      <c r="N40" s="19" t="str">
        <f aca="false">IF(A40="","",IFERROR(G40*L40,0))</f>
        <v/>
      </c>
      <c r="O40" s="19" t="str">
        <f aca="false">IF(A40="","",H40*K40)</f>
        <v/>
      </c>
      <c r="P40" s="19" t="str">
        <f aca="false">IF(A40="","",SUM(M40:O40))</f>
        <v/>
      </c>
      <c r="Q40" s="33" t="str">
        <f aca="false">IF(P40="","",P40*Rates!$B$3)</f>
        <v/>
      </c>
      <c r="R40" s="33" t="str">
        <f aca="false">IF(P40="","",(P40+Q40)*Rates!$B$4)</f>
        <v/>
      </c>
      <c r="S40" s="19" t="str">
        <f aca="false">IF(P40="","",P40+Q40+R40)</f>
        <v/>
      </c>
    </row>
    <row r="41" customFormat="false" ht="15" hidden="false" customHeight="false" outlineLevel="0" collapsed="false">
      <c r="A41" s="12"/>
      <c r="B41" s="38" t="str">
        <f aca="false">IF(A41="","",IFERROR(INDEX(Personnel!$B$5:$B$19,MATCH($A41,Personnel!$A$5:$A$19,0)),"-- not found --"))</f>
        <v/>
      </c>
      <c r="C41" s="38" t="str">
        <f aca="false">IF(A41="","",IFERROR(INDEX(Personnel!$C$5:$C$19,MATCH($A41,Personnel!$A$5:$A$19,0)),""))</f>
        <v/>
      </c>
      <c r="D41" s="12"/>
      <c r="E41" s="27" t="str">
        <f aca="false">IF(D41="","",EDATE(Dashboard!$C$5,D41-1))</f>
        <v/>
      </c>
      <c r="F41" s="12"/>
      <c r="G41" s="12"/>
      <c r="H41" s="12"/>
      <c r="I41" s="42" t="str">
        <f aca="false">IFERROR(IF(OR(A41="",D41=""),"",MAX(0,(INDEX(Personnel!$G$5:$G$19,MATCH($A41,Personnel!$A$5:$A$19,0))/12)*((MIN(EOMONTH(E41,0),IF(INDEX(Personnel!$K$5:$K$19,MATCH($A41,Personnel!$A$5:$A$19,0))="",EOMONTH(E41,0),INDEX(Personnel!$K$5:$K$19,MATCH($A41,Personnel!$A$5:$A$19,0))))-MAX(DATE(YEAR(E41),MONTH(E41),1),INDEX(Personnel!$J$5:$J$19,MATCH($A41,Personnel!$A$5:$A$19,0)))+1)/DAY(EOMONTH(E41,0))))),"")</f>
        <v/>
      </c>
      <c r="J41" s="43" t="str">
        <f aca="false">IF(OR(I41="",A41=""),"",(F41+G41+H41)-I41)</f>
        <v/>
      </c>
      <c r="K41" s="44" t="str">
        <f aca="false">IF(A41="","",IFERROR(INDEX(Personnel!$H$5:$H$19,MATCH($A41,Personnel!$A$5:$A$19,0)),""))</f>
        <v/>
      </c>
      <c r="L41" s="38" t="str">
        <f aca="false">IF(A41="","",IFERROR(INDEX(Personnel!$I$5:$I$19,MATCH($A41,Personnel!$A$5:$A$19,0)),""))</f>
        <v/>
      </c>
      <c r="M41" s="15" t="str">
        <f aca="false">IF(A41="","",F41*K41)</f>
        <v/>
      </c>
      <c r="N41" s="15" t="str">
        <f aca="false">IF(A41="","",IFERROR(G41*L41,0))</f>
        <v/>
      </c>
      <c r="O41" s="15" t="str">
        <f aca="false">IF(A41="","",H41*K41)</f>
        <v/>
      </c>
      <c r="P41" s="15" t="str">
        <f aca="false">IF(A41="","",SUM(M41:O41))</f>
        <v/>
      </c>
      <c r="Q41" s="28" t="str">
        <f aca="false">IF(P41="","",P41*Rates!$B$3)</f>
        <v/>
      </c>
      <c r="R41" s="28" t="str">
        <f aca="false">IF(P41="","",(P41+Q41)*Rates!$B$4)</f>
        <v/>
      </c>
      <c r="S41" s="15" t="str">
        <f aca="false">IF(P41="","",P41+Q41+R41)</f>
        <v/>
      </c>
    </row>
    <row r="42" customFormat="false" ht="15" hidden="false" customHeight="false" outlineLevel="0" collapsed="false">
      <c r="A42" s="16"/>
      <c r="B42" s="41" t="str">
        <f aca="false">IF(A42="","",IFERROR(INDEX(Personnel!$B$5:$B$19,MATCH($A42,Personnel!$A$5:$A$19,0)),"-- not found --"))</f>
        <v/>
      </c>
      <c r="C42" s="41" t="str">
        <f aca="false">IF(A42="","",IFERROR(INDEX(Personnel!$C$5:$C$19,MATCH($A42,Personnel!$A$5:$A$19,0)),""))</f>
        <v/>
      </c>
      <c r="D42" s="16"/>
      <c r="E42" s="32" t="str">
        <f aca="false">IF(D42="","",EDATE(Dashboard!$C$5,D42-1))</f>
        <v/>
      </c>
      <c r="F42" s="16"/>
      <c r="G42" s="16"/>
      <c r="H42" s="16"/>
      <c r="I42" s="45" t="str">
        <f aca="false">IFERROR(IF(OR(A42="",D42=""),"",MAX(0,(INDEX(Personnel!$G$5:$G$19,MATCH($A42,Personnel!$A$5:$A$19,0))/12)*((MIN(EOMONTH(E42,0),IF(INDEX(Personnel!$K$5:$K$19,MATCH($A42,Personnel!$A$5:$A$19,0))="",EOMONTH(E42,0),INDEX(Personnel!$K$5:$K$19,MATCH($A42,Personnel!$A$5:$A$19,0))))-MAX(DATE(YEAR(E42),MONTH(E42),1),INDEX(Personnel!$J$5:$J$19,MATCH($A42,Personnel!$A$5:$A$19,0)))+1)/DAY(EOMONTH(E42,0))))),"")</f>
        <v/>
      </c>
      <c r="J42" s="46" t="str">
        <f aca="false">IF(OR(I42="",A42=""),"",(F42+G42+H42)-I42)</f>
        <v/>
      </c>
      <c r="K42" s="47" t="str">
        <f aca="false">IF(A42="","",IFERROR(INDEX(Personnel!$H$5:$H$19,MATCH($A42,Personnel!$A$5:$A$19,0)),""))</f>
        <v/>
      </c>
      <c r="L42" s="41" t="str">
        <f aca="false">IF(A42="","",IFERROR(INDEX(Personnel!$I$5:$I$19,MATCH($A42,Personnel!$A$5:$A$19,0)),""))</f>
        <v/>
      </c>
      <c r="M42" s="19" t="str">
        <f aca="false">IF(A42="","",F42*K42)</f>
        <v/>
      </c>
      <c r="N42" s="19" t="str">
        <f aca="false">IF(A42="","",IFERROR(G42*L42,0))</f>
        <v/>
      </c>
      <c r="O42" s="19" t="str">
        <f aca="false">IF(A42="","",H42*K42)</f>
        <v/>
      </c>
      <c r="P42" s="19" t="str">
        <f aca="false">IF(A42="","",SUM(M42:O42))</f>
        <v/>
      </c>
      <c r="Q42" s="33" t="str">
        <f aca="false">IF(P42="","",P42*Rates!$B$3)</f>
        <v/>
      </c>
      <c r="R42" s="33" t="str">
        <f aca="false">IF(P42="","",(P42+Q42)*Rates!$B$4)</f>
        <v/>
      </c>
      <c r="S42" s="19" t="str">
        <f aca="false">IF(P42="","",P42+Q42+R42)</f>
        <v/>
      </c>
    </row>
    <row r="43" customFormat="false" ht="15" hidden="false" customHeight="false" outlineLevel="0" collapsed="false">
      <c r="A43" s="12"/>
      <c r="B43" s="38" t="str">
        <f aca="false">IF(A43="","",IFERROR(INDEX(Personnel!$B$5:$B$19,MATCH($A43,Personnel!$A$5:$A$19,0)),"-- not found --"))</f>
        <v/>
      </c>
      <c r="C43" s="38" t="str">
        <f aca="false">IF(A43="","",IFERROR(INDEX(Personnel!$C$5:$C$19,MATCH($A43,Personnel!$A$5:$A$19,0)),""))</f>
        <v/>
      </c>
      <c r="D43" s="12"/>
      <c r="E43" s="27" t="str">
        <f aca="false">IF(D43="","",EDATE(Dashboard!$C$5,D43-1))</f>
        <v/>
      </c>
      <c r="F43" s="12"/>
      <c r="G43" s="12"/>
      <c r="H43" s="12"/>
      <c r="I43" s="42" t="str">
        <f aca="false">IFERROR(IF(OR(A43="",D43=""),"",MAX(0,(INDEX(Personnel!$G$5:$G$19,MATCH($A43,Personnel!$A$5:$A$19,0))/12)*((MIN(EOMONTH(E43,0),IF(INDEX(Personnel!$K$5:$K$19,MATCH($A43,Personnel!$A$5:$A$19,0))="",EOMONTH(E43,0),INDEX(Personnel!$K$5:$K$19,MATCH($A43,Personnel!$A$5:$A$19,0))))-MAX(DATE(YEAR(E43),MONTH(E43),1),INDEX(Personnel!$J$5:$J$19,MATCH($A43,Personnel!$A$5:$A$19,0)))+1)/DAY(EOMONTH(E43,0))))),"")</f>
        <v/>
      </c>
      <c r="J43" s="43" t="str">
        <f aca="false">IF(OR(I43="",A43=""),"",(F43+G43+H43)-I43)</f>
        <v/>
      </c>
      <c r="K43" s="44" t="str">
        <f aca="false">IF(A43="","",IFERROR(INDEX(Personnel!$H$5:$H$19,MATCH($A43,Personnel!$A$5:$A$19,0)),""))</f>
        <v/>
      </c>
      <c r="L43" s="38" t="str">
        <f aca="false">IF(A43="","",IFERROR(INDEX(Personnel!$I$5:$I$19,MATCH($A43,Personnel!$A$5:$A$19,0)),""))</f>
        <v/>
      </c>
      <c r="M43" s="15" t="str">
        <f aca="false">IF(A43="","",F43*K43)</f>
        <v/>
      </c>
      <c r="N43" s="15" t="str">
        <f aca="false">IF(A43="","",IFERROR(G43*L43,0))</f>
        <v/>
      </c>
      <c r="O43" s="15" t="str">
        <f aca="false">IF(A43="","",H43*K43)</f>
        <v/>
      </c>
      <c r="P43" s="15" t="str">
        <f aca="false">IF(A43="","",SUM(M43:O43))</f>
        <v/>
      </c>
      <c r="Q43" s="28" t="str">
        <f aca="false">IF(P43="","",P43*Rates!$B$3)</f>
        <v/>
      </c>
      <c r="R43" s="28" t="str">
        <f aca="false">IF(P43="","",(P43+Q43)*Rates!$B$4)</f>
        <v/>
      </c>
      <c r="S43" s="15" t="str">
        <f aca="false">IF(P43="","",P43+Q43+R43)</f>
        <v/>
      </c>
    </row>
    <row r="44" customFormat="false" ht="15" hidden="false" customHeight="false" outlineLevel="0" collapsed="false">
      <c r="A44" s="16"/>
      <c r="B44" s="41" t="str">
        <f aca="false">IF(A44="","",IFERROR(INDEX(Personnel!$B$5:$B$19,MATCH($A44,Personnel!$A$5:$A$19,0)),"-- not found --"))</f>
        <v/>
      </c>
      <c r="C44" s="41" t="str">
        <f aca="false">IF(A44="","",IFERROR(INDEX(Personnel!$C$5:$C$19,MATCH($A44,Personnel!$A$5:$A$19,0)),""))</f>
        <v/>
      </c>
      <c r="D44" s="16"/>
      <c r="E44" s="32" t="str">
        <f aca="false">IF(D44="","",EDATE(Dashboard!$C$5,D44-1))</f>
        <v/>
      </c>
      <c r="F44" s="16"/>
      <c r="G44" s="16"/>
      <c r="H44" s="16"/>
      <c r="I44" s="45" t="str">
        <f aca="false">IFERROR(IF(OR(A44="",D44=""),"",MAX(0,(INDEX(Personnel!$G$5:$G$19,MATCH($A44,Personnel!$A$5:$A$19,0))/12)*((MIN(EOMONTH(E44,0),IF(INDEX(Personnel!$K$5:$K$19,MATCH($A44,Personnel!$A$5:$A$19,0))="",EOMONTH(E44,0),INDEX(Personnel!$K$5:$K$19,MATCH($A44,Personnel!$A$5:$A$19,0))))-MAX(DATE(YEAR(E44),MONTH(E44),1),INDEX(Personnel!$J$5:$J$19,MATCH($A44,Personnel!$A$5:$A$19,0)))+1)/DAY(EOMONTH(E44,0))))),"")</f>
        <v/>
      </c>
      <c r="J44" s="46" t="str">
        <f aca="false">IF(OR(I44="",A44=""),"",(F44+G44+H44)-I44)</f>
        <v/>
      </c>
      <c r="K44" s="47" t="str">
        <f aca="false">IF(A44="","",IFERROR(INDEX(Personnel!$H$5:$H$19,MATCH($A44,Personnel!$A$5:$A$19,0)),""))</f>
        <v/>
      </c>
      <c r="L44" s="41" t="str">
        <f aca="false">IF(A44="","",IFERROR(INDEX(Personnel!$I$5:$I$19,MATCH($A44,Personnel!$A$5:$A$19,0)),""))</f>
        <v/>
      </c>
      <c r="M44" s="19" t="str">
        <f aca="false">IF(A44="","",F44*K44)</f>
        <v/>
      </c>
      <c r="N44" s="19" t="str">
        <f aca="false">IF(A44="","",IFERROR(G44*L44,0))</f>
        <v/>
      </c>
      <c r="O44" s="19" t="str">
        <f aca="false">IF(A44="","",H44*K44)</f>
        <v/>
      </c>
      <c r="P44" s="19" t="str">
        <f aca="false">IF(A44="","",SUM(M44:O44))</f>
        <v/>
      </c>
      <c r="Q44" s="33" t="str">
        <f aca="false">IF(P44="","",P44*Rates!$B$3)</f>
        <v/>
      </c>
      <c r="R44" s="33" t="str">
        <f aca="false">IF(P44="","",(P44+Q44)*Rates!$B$4)</f>
        <v/>
      </c>
      <c r="S44" s="19" t="str">
        <f aca="false">IF(P44="","",P44+Q44+R44)</f>
        <v/>
      </c>
    </row>
    <row r="45" customFormat="false" ht="15" hidden="false" customHeight="false" outlineLevel="0" collapsed="false">
      <c r="A45" s="12"/>
      <c r="B45" s="38" t="str">
        <f aca="false">IF(A45="","",IFERROR(INDEX(Personnel!$B$5:$B$19,MATCH($A45,Personnel!$A$5:$A$19,0)),"-- not found --"))</f>
        <v/>
      </c>
      <c r="C45" s="38" t="str">
        <f aca="false">IF(A45="","",IFERROR(INDEX(Personnel!$C$5:$C$19,MATCH($A45,Personnel!$A$5:$A$19,0)),""))</f>
        <v/>
      </c>
      <c r="D45" s="12"/>
      <c r="E45" s="27" t="str">
        <f aca="false">IF(D45="","",EDATE(Dashboard!$C$5,D45-1))</f>
        <v/>
      </c>
      <c r="F45" s="12"/>
      <c r="G45" s="12"/>
      <c r="H45" s="12"/>
      <c r="I45" s="42" t="str">
        <f aca="false">IFERROR(IF(OR(A45="",D45=""),"",MAX(0,(INDEX(Personnel!$G$5:$G$19,MATCH($A45,Personnel!$A$5:$A$19,0))/12)*((MIN(EOMONTH(E45,0),IF(INDEX(Personnel!$K$5:$K$19,MATCH($A45,Personnel!$A$5:$A$19,0))="",EOMONTH(E45,0),INDEX(Personnel!$K$5:$K$19,MATCH($A45,Personnel!$A$5:$A$19,0))))-MAX(DATE(YEAR(E45),MONTH(E45),1),INDEX(Personnel!$J$5:$J$19,MATCH($A45,Personnel!$A$5:$A$19,0)))+1)/DAY(EOMONTH(E45,0))))),"")</f>
        <v/>
      </c>
      <c r="J45" s="43" t="str">
        <f aca="false">IF(OR(I45="",A45=""),"",(F45+G45+H45)-I45)</f>
        <v/>
      </c>
      <c r="K45" s="44" t="str">
        <f aca="false">IF(A45="","",IFERROR(INDEX(Personnel!$H$5:$H$19,MATCH($A45,Personnel!$A$5:$A$19,0)),""))</f>
        <v/>
      </c>
      <c r="L45" s="38" t="str">
        <f aca="false">IF(A45="","",IFERROR(INDEX(Personnel!$I$5:$I$19,MATCH($A45,Personnel!$A$5:$A$19,0)),""))</f>
        <v/>
      </c>
      <c r="M45" s="15" t="str">
        <f aca="false">IF(A45="","",F45*K45)</f>
        <v/>
      </c>
      <c r="N45" s="15" t="str">
        <f aca="false">IF(A45="","",IFERROR(G45*L45,0))</f>
        <v/>
      </c>
      <c r="O45" s="15" t="str">
        <f aca="false">IF(A45="","",H45*K45)</f>
        <v/>
      </c>
      <c r="P45" s="15" t="str">
        <f aca="false">IF(A45="","",SUM(M45:O45))</f>
        <v/>
      </c>
      <c r="Q45" s="28" t="str">
        <f aca="false">IF(P45="","",P45*Rates!$B$3)</f>
        <v/>
      </c>
      <c r="R45" s="28" t="str">
        <f aca="false">IF(P45="","",(P45+Q45)*Rates!$B$4)</f>
        <v/>
      </c>
      <c r="S45" s="15" t="str">
        <f aca="false">IF(P45="","",P45+Q45+R45)</f>
        <v/>
      </c>
    </row>
    <row r="46" customFormat="false" ht="15" hidden="false" customHeight="false" outlineLevel="0" collapsed="false">
      <c r="A46" s="16"/>
      <c r="B46" s="41" t="str">
        <f aca="false">IF(A46="","",IFERROR(INDEX(Personnel!$B$5:$B$19,MATCH($A46,Personnel!$A$5:$A$19,0)),"-- not found --"))</f>
        <v/>
      </c>
      <c r="C46" s="41" t="str">
        <f aca="false">IF(A46="","",IFERROR(INDEX(Personnel!$C$5:$C$19,MATCH($A46,Personnel!$A$5:$A$19,0)),""))</f>
        <v/>
      </c>
      <c r="D46" s="16"/>
      <c r="E46" s="32" t="str">
        <f aca="false">IF(D46="","",EDATE(Dashboard!$C$5,D46-1))</f>
        <v/>
      </c>
      <c r="F46" s="16"/>
      <c r="G46" s="16"/>
      <c r="H46" s="16"/>
      <c r="I46" s="45" t="str">
        <f aca="false">IFERROR(IF(OR(A46="",D46=""),"",MAX(0,(INDEX(Personnel!$G$5:$G$19,MATCH($A46,Personnel!$A$5:$A$19,0))/12)*((MIN(EOMONTH(E46,0),IF(INDEX(Personnel!$K$5:$K$19,MATCH($A46,Personnel!$A$5:$A$19,0))="",EOMONTH(E46,0),INDEX(Personnel!$K$5:$K$19,MATCH($A46,Personnel!$A$5:$A$19,0))))-MAX(DATE(YEAR(E46),MONTH(E46),1),INDEX(Personnel!$J$5:$J$19,MATCH($A46,Personnel!$A$5:$A$19,0)))+1)/DAY(EOMONTH(E46,0))))),"")</f>
        <v/>
      </c>
      <c r="J46" s="46" t="str">
        <f aca="false">IF(OR(I46="",A46=""),"",(F46+G46+H46)-I46)</f>
        <v/>
      </c>
      <c r="K46" s="47" t="str">
        <f aca="false">IF(A46="","",IFERROR(INDEX(Personnel!$H$5:$H$19,MATCH($A46,Personnel!$A$5:$A$19,0)),""))</f>
        <v/>
      </c>
      <c r="L46" s="41" t="str">
        <f aca="false">IF(A46="","",IFERROR(INDEX(Personnel!$I$5:$I$19,MATCH($A46,Personnel!$A$5:$A$19,0)),""))</f>
        <v/>
      </c>
      <c r="M46" s="19" t="str">
        <f aca="false">IF(A46="","",F46*K46)</f>
        <v/>
      </c>
      <c r="N46" s="19" t="str">
        <f aca="false">IF(A46="","",IFERROR(G46*L46,0))</f>
        <v/>
      </c>
      <c r="O46" s="19" t="str">
        <f aca="false">IF(A46="","",H46*K46)</f>
        <v/>
      </c>
      <c r="P46" s="19" t="str">
        <f aca="false">IF(A46="","",SUM(M46:O46))</f>
        <v/>
      </c>
      <c r="Q46" s="33" t="str">
        <f aca="false">IF(P46="","",P46*Rates!$B$3)</f>
        <v/>
      </c>
      <c r="R46" s="33" t="str">
        <f aca="false">IF(P46="","",(P46+Q46)*Rates!$B$4)</f>
        <v/>
      </c>
      <c r="S46" s="19" t="str">
        <f aca="false">IF(P46="","",P46+Q46+R46)</f>
        <v/>
      </c>
    </row>
    <row r="47" customFormat="false" ht="15" hidden="false" customHeight="false" outlineLevel="0" collapsed="false">
      <c r="A47" s="12"/>
      <c r="B47" s="38" t="str">
        <f aca="false">IF(A47="","",IFERROR(INDEX(Personnel!$B$5:$B$19,MATCH($A47,Personnel!$A$5:$A$19,0)),"-- not found --"))</f>
        <v/>
      </c>
      <c r="C47" s="38" t="str">
        <f aca="false">IF(A47="","",IFERROR(INDEX(Personnel!$C$5:$C$19,MATCH($A47,Personnel!$A$5:$A$19,0)),""))</f>
        <v/>
      </c>
      <c r="D47" s="12"/>
      <c r="E47" s="27" t="str">
        <f aca="false">IF(D47="","",EDATE(Dashboard!$C$5,D47-1))</f>
        <v/>
      </c>
      <c r="F47" s="12"/>
      <c r="G47" s="12"/>
      <c r="H47" s="12"/>
      <c r="I47" s="42" t="str">
        <f aca="false">IFERROR(IF(OR(A47="",D47=""),"",MAX(0,(INDEX(Personnel!$G$5:$G$19,MATCH($A47,Personnel!$A$5:$A$19,0))/12)*((MIN(EOMONTH(E47,0),IF(INDEX(Personnel!$K$5:$K$19,MATCH($A47,Personnel!$A$5:$A$19,0))="",EOMONTH(E47,0),INDEX(Personnel!$K$5:$K$19,MATCH($A47,Personnel!$A$5:$A$19,0))))-MAX(DATE(YEAR(E47),MONTH(E47),1),INDEX(Personnel!$J$5:$J$19,MATCH($A47,Personnel!$A$5:$A$19,0)))+1)/DAY(EOMONTH(E47,0))))),"")</f>
        <v/>
      </c>
      <c r="J47" s="43" t="str">
        <f aca="false">IF(OR(I47="",A47=""),"",(F47+G47+H47)-I47)</f>
        <v/>
      </c>
      <c r="K47" s="44" t="str">
        <f aca="false">IF(A47="","",IFERROR(INDEX(Personnel!$H$5:$H$19,MATCH($A47,Personnel!$A$5:$A$19,0)),""))</f>
        <v/>
      </c>
      <c r="L47" s="38" t="str">
        <f aca="false">IF(A47="","",IFERROR(INDEX(Personnel!$I$5:$I$19,MATCH($A47,Personnel!$A$5:$A$19,0)),""))</f>
        <v/>
      </c>
      <c r="M47" s="15" t="str">
        <f aca="false">IF(A47="","",F47*K47)</f>
        <v/>
      </c>
      <c r="N47" s="15" t="str">
        <f aca="false">IF(A47="","",IFERROR(G47*L47,0))</f>
        <v/>
      </c>
      <c r="O47" s="15" t="str">
        <f aca="false">IF(A47="","",H47*K47)</f>
        <v/>
      </c>
      <c r="P47" s="15" t="str">
        <f aca="false">IF(A47="","",SUM(M47:O47))</f>
        <v/>
      </c>
      <c r="Q47" s="28" t="str">
        <f aca="false">IF(P47="","",P47*Rates!$B$3)</f>
        <v/>
      </c>
      <c r="R47" s="28" t="str">
        <f aca="false">IF(P47="","",(P47+Q47)*Rates!$B$4)</f>
        <v/>
      </c>
      <c r="S47" s="15" t="str">
        <f aca="false">IF(P47="","",P47+Q47+R47)</f>
        <v/>
      </c>
    </row>
    <row r="48" customFormat="false" ht="15" hidden="false" customHeight="false" outlineLevel="0" collapsed="false">
      <c r="A48" s="16"/>
      <c r="B48" s="41" t="str">
        <f aca="false">IF(A48="","",IFERROR(INDEX(Personnel!$B$5:$B$19,MATCH($A48,Personnel!$A$5:$A$19,0)),"-- not found --"))</f>
        <v/>
      </c>
      <c r="C48" s="41" t="str">
        <f aca="false">IF(A48="","",IFERROR(INDEX(Personnel!$C$5:$C$19,MATCH($A48,Personnel!$A$5:$A$19,0)),""))</f>
        <v/>
      </c>
      <c r="D48" s="16"/>
      <c r="E48" s="32" t="str">
        <f aca="false">IF(D48="","",EDATE(Dashboard!$C$5,D48-1))</f>
        <v/>
      </c>
      <c r="F48" s="16"/>
      <c r="G48" s="16"/>
      <c r="H48" s="16"/>
      <c r="I48" s="45" t="str">
        <f aca="false">IFERROR(IF(OR(A48="",D48=""),"",MAX(0,(INDEX(Personnel!$G$5:$G$19,MATCH($A48,Personnel!$A$5:$A$19,0))/12)*((MIN(EOMONTH(E48,0),IF(INDEX(Personnel!$K$5:$K$19,MATCH($A48,Personnel!$A$5:$A$19,0))="",EOMONTH(E48,0),INDEX(Personnel!$K$5:$K$19,MATCH($A48,Personnel!$A$5:$A$19,0))))-MAX(DATE(YEAR(E48),MONTH(E48),1),INDEX(Personnel!$J$5:$J$19,MATCH($A48,Personnel!$A$5:$A$19,0)))+1)/DAY(EOMONTH(E48,0))))),"")</f>
        <v/>
      </c>
      <c r="J48" s="46" t="str">
        <f aca="false">IF(OR(I48="",A48=""),"",(F48+G48+H48)-I48)</f>
        <v/>
      </c>
      <c r="K48" s="47" t="str">
        <f aca="false">IF(A48="","",IFERROR(INDEX(Personnel!$H$5:$H$19,MATCH($A48,Personnel!$A$5:$A$19,0)),""))</f>
        <v/>
      </c>
      <c r="L48" s="41" t="str">
        <f aca="false">IF(A48="","",IFERROR(INDEX(Personnel!$I$5:$I$19,MATCH($A48,Personnel!$A$5:$A$19,0)),""))</f>
        <v/>
      </c>
      <c r="M48" s="19" t="str">
        <f aca="false">IF(A48="","",F48*K48)</f>
        <v/>
      </c>
      <c r="N48" s="19" t="str">
        <f aca="false">IF(A48="","",IFERROR(G48*L48,0))</f>
        <v/>
      </c>
      <c r="O48" s="19" t="str">
        <f aca="false">IF(A48="","",H48*K48)</f>
        <v/>
      </c>
      <c r="P48" s="19" t="str">
        <f aca="false">IF(A48="","",SUM(M48:O48))</f>
        <v/>
      </c>
      <c r="Q48" s="33" t="str">
        <f aca="false">IF(P48="","",P48*Rates!$B$3)</f>
        <v/>
      </c>
      <c r="R48" s="33" t="str">
        <f aca="false">IF(P48="","",(P48+Q48)*Rates!$B$4)</f>
        <v/>
      </c>
      <c r="S48" s="19" t="str">
        <f aca="false">IF(P48="","",P48+Q48+R48)</f>
        <v/>
      </c>
    </row>
    <row r="49" customFormat="false" ht="15" hidden="false" customHeight="false" outlineLevel="0" collapsed="false">
      <c r="A49" s="12"/>
      <c r="B49" s="38" t="str">
        <f aca="false">IF(A49="","",IFERROR(INDEX(Personnel!$B$5:$B$19,MATCH($A49,Personnel!$A$5:$A$19,0)),"-- not found --"))</f>
        <v/>
      </c>
      <c r="C49" s="38" t="str">
        <f aca="false">IF(A49="","",IFERROR(INDEX(Personnel!$C$5:$C$19,MATCH($A49,Personnel!$A$5:$A$19,0)),""))</f>
        <v/>
      </c>
      <c r="D49" s="12"/>
      <c r="E49" s="27" t="str">
        <f aca="false">IF(D49="","",EDATE(Dashboard!$C$5,D49-1))</f>
        <v/>
      </c>
      <c r="F49" s="12"/>
      <c r="G49" s="12"/>
      <c r="H49" s="12"/>
      <c r="I49" s="42" t="str">
        <f aca="false">IFERROR(IF(OR(A49="",D49=""),"",MAX(0,(INDEX(Personnel!$G$5:$G$19,MATCH($A49,Personnel!$A$5:$A$19,0))/12)*((MIN(EOMONTH(E49,0),IF(INDEX(Personnel!$K$5:$K$19,MATCH($A49,Personnel!$A$5:$A$19,0))="",EOMONTH(E49,0),INDEX(Personnel!$K$5:$K$19,MATCH($A49,Personnel!$A$5:$A$19,0))))-MAX(DATE(YEAR(E49),MONTH(E49),1),INDEX(Personnel!$J$5:$J$19,MATCH($A49,Personnel!$A$5:$A$19,0)))+1)/DAY(EOMONTH(E49,0))))),"")</f>
        <v/>
      </c>
      <c r="J49" s="43" t="str">
        <f aca="false">IF(OR(I49="",A49=""),"",(F49+G49+H49)-I49)</f>
        <v/>
      </c>
      <c r="K49" s="44" t="str">
        <f aca="false">IF(A49="","",IFERROR(INDEX(Personnel!$H$5:$H$19,MATCH($A49,Personnel!$A$5:$A$19,0)),""))</f>
        <v/>
      </c>
      <c r="L49" s="38" t="str">
        <f aca="false">IF(A49="","",IFERROR(INDEX(Personnel!$I$5:$I$19,MATCH($A49,Personnel!$A$5:$A$19,0)),""))</f>
        <v/>
      </c>
      <c r="M49" s="15" t="str">
        <f aca="false">IF(A49="","",F49*K49)</f>
        <v/>
      </c>
      <c r="N49" s="15" t="str">
        <f aca="false">IF(A49="","",IFERROR(G49*L49,0))</f>
        <v/>
      </c>
      <c r="O49" s="15" t="str">
        <f aca="false">IF(A49="","",H49*K49)</f>
        <v/>
      </c>
      <c r="P49" s="15" t="str">
        <f aca="false">IF(A49="","",SUM(M49:O49))</f>
        <v/>
      </c>
      <c r="Q49" s="28" t="str">
        <f aca="false">IF(P49="","",P49*Rates!$B$3)</f>
        <v/>
      </c>
      <c r="R49" s="28" t="str">
        <f aca="false">IF(P49="","",(P49+Q49)*Rates!$B$4)</f>
        <v/>
      </c>
      <c r="S49" s="15" t="str">
        <f aca="false">IF(P49="","",P49+Q49+R49)</f>
        <v/>
      </c>
    </row>
    <row r="50" customFormat="false" ht="15" hidden="false" customHeight="false" outlineLevel="0" collapsed="false">
      <c r="A50" s="16"/>
      <c r="B50" s="41" t="str">
        <f aca="false">IF(A50="","",IFERROR(INDEX(Personnel!$B$5:$B$19,MATCH($A50,Personnel!$A$5:$A$19,0)),"-- not found --"))</f>
        <v/>
      </c>
      <c r="C50" s="41" t="str">
        <f aca="false">IF(A50="","",IFERROR(INDEX(Personnel!$C$5:$C$19,MATCH($A50,Personnel!$A$5:$A$19,0)),""))</f>
        <v/>
      </c>
      <c r="D50" s="16"/>
      <c r="E50" s="32" t="str">
        <f aca="false">IF(D50="","",EDATE(Dashboard!$C$5,D50-1))</f>
        <v/>
      </c>
      <c r="F50" s="16"/>
      <c r="G50" s="16"/>
      <c r="H50" s="16"/>
      <c r="I50" s="45" t="str">
        <f aca="false">IFERROR(IF(OR(A50="",D50=""),"",MAX(0,(INDEX(Personnel!$G$5:$G$19,MATCH($A50,Personnel!$A$5:$A$19,0))/12)*((MIN(EOMONTH(E50,0),IF(INDEX(Personnel!$K$5:$K$19,MATCH($A50,Personnel!$A$5:$A$19,0))="",EOMONTH(E50,0),INDEX(Personnel!$K$5:$K$19,MATCH($A50,Personnel!$A$5:$A$19,0))))-MAX(DATE(YEAR(E50),MONTH(E50),1),INDEX(Personnel!$J$5:$J$19,MATCH($A50,Personnel!$A$5:$A$19,0)))+1)/DAY(EOMONTH(E50,0))))),"")</f>
        <v/>
      </c>
      <c r="J50" s="46" t="str">
        <f aca="false">IF(OR(I50="",A50=""),"",(F50+G50+H50)-I50)</f>
        <v/>
      </c>
      <c r="K50" s="47" t="str">
        <f aca="false">IF(A50="","",IFERROR(INDEX(Personnel!$H$5:$H$19,MATCH($A50,Personnel!$A$5:$A$19,0)),""))</f>
        <v/>
      </c>
      <c r="L50" s="41" t="str">
        <f aca="false">IF(A50="","",IFERROR(INDEX(Personnel!$I$5:$I$19,MATCH($A50,Personnel!$A$5:$A$19,0)),""))</f>
        <v/>
      </c>
      <c r="M50" s="19" t="str">
        <f aca="false">IF(A50="","",F50*K50)</f>
        <v/>
      </c>
      <c r="N50" s="19" t="str">
        <f aca="false">IF(A50="","",IFERROR(G50*L50,0))</f>
        <v/>
      </c>
      <c r="O50" s="19" t="str">
        <f aca="false">IF(A50="","",H50*K50)</f>
        <v/>
      </c>
      <c r="P50" s="19" t="str">
        <f aca="false">IF(A50="","",SUM(M50:O50))</f>
        <v/>
      </c>
      <c r="Q50" s="33" t="str">
        <f aca="false">IF(P50="","",P50*Rates!$B$3)</f>
        <v/>
      </c>
      <c r="R50" s="33" t="str">
        <f aca="false">IF(P50="","",(P50+Q50)*Rates!$B$4)</f>
        <v/>
      </c>
      <c r="S50" s="19" t="str">
        <f aca="false">IF(P50="","",P50+Q50+R50)</f>
        <v/>
      </c>
    </row>
    <row r="51" customFormat="false" ht="15" hidden="false" customHeight="false" outlineLevel="0" collapsed="false">
      <c r="A51" s="12"/>
      <c r="B51" s="38" t="str">
        <f aca="false">IF(A51="","",IFERROR(INDEX(Personnel!$B$5:$B$19,MATCH($A51,Personnel!$A$5:$A$19,0)),"-- not found --"))</f>
        <v/>
      </c>
      <c r="C51" s="38" t="str">
        <f aca="false">IF(A51="","",IFERROR(INDEX(Personnel!$C$5:$C$19,MATCH($A51,Personnel!$A$5:$A$19,0)),""))</f>
        <v/>
      </c>
      <c r="D51" s="12"/>
      <c r="E51" s="27" t="str">
        <f aca="false">IF(D51="","",EDATE(Dashboard!$C$5,D51-1))</f>
        <v/>
      </c>
      <c r="F51" s="12"/>
      <c r="G51" s="12"/>
      <c r="H51" s="12"/>
      <c r="I51" s="42" t="str">
        <f aca="false">IFERROR(IF(OR(A51="",D51=""),"",MAX(0,(INDEX(Personnel!$G$5:$G$19,MATCH($A51,Personnel!$A$5:$A$19,0))/12)*((MIN(EOMONTH(E51,0),IF(INDEX(Personnel!$K$5:$K$19,MATCH($A51,Personnel!$A$5:$A$19,0))="",EOMONTH(E51,0),INDEX(Personnel!$K$5:$K$19,MATCH($A51,Personnel!$A$5:$A$19,0))))-MAX(DATE(YEAR(E51),MONTH(E51),1),INDEX(Personnel!$J$5:$J$19,MATCH($A51,Personnel!$A$5:$A$19,0)))+1)/DAY(EOMONTH(E51,0))))),"")</f>
        <v/>
      </c>
      <c r="J51" s="43" t="str">
        <f aca="false">IF(OR(I51="",A51=""),"",(F51+G51+H51)-I51)</f>
        <v/>
      </c>
      <c r="K51" s="44" t="str">
        <f aca="false">IF(A51="","",IFERROR(INDEX(Personnel!$H$5:$H$19,MATCH($A51,Personnel!$A$5:$A$19,0)),""))</f>
        <v/>
      </c>
      <c r="L51" s="38" t="str">
        <f aca="false">IF(A51="","",IFERROR(INDEX(Personnel!$I$5:$I$19,MATCH($A51,Personnel!$A$5:$A$19,0)),""))</f>
        <v/>
      </c>
      <c r="M51" s="15" t="str">
        <f aca="false">IF(A51="","",F51*K51)</f>
        <v/>
      </c>
      <c r="N51" s="15" t="str">
        <f aca="false">IF(A51="","",IFERROR(G51*L51,0))</f>
        <v/>
      </c>
      <c r="O51" s="15" t="str">
        <f aca="false">IF(A51="","",H51*K51)</f>
        <v/>
      </c>
      <c r="P51" s="15" t="str">
        <f aca="false">IF(A51="","",SUM(M51:O51))</f>
        <v/>
      </c>
      <c r="Q51" s="28" t="str">
        <f aca="false">IF(P51="","",P51*Rates!$B$3)</f>
        <v/>
      </c>
      <c r="R51" s="28" t="str">
        <f aca="false">IF(P51="","",(P51+Q51)*Rates!$B$4)</f>
        <v/>
      </c>
      <c r="S51" s="15" t="str">
        <f aca="false">IF(P51="","",P51+Q51+R51)</f>
        <v/>
      </c>
    </row>
    <row r="52" customFormat="false" ht="15" hidden="false" customHeight="false" outlineLevel="0" collapsed="false">
      <c r="A52" s="16"/>
      <c r="B52" s="41" t="str">
        <f aca="false">IF(A52="","",IFERROR(INDEX(Personnel!$B$5:$B$19,MATCH($A52,Personnel!$A$5:$A$19,0)),"-- not found --"))</f>
        <v/>
      </c>
      <c r="C52" s="41" t="str">
        <f aca="false">IF(A52="","",IFERROR(INDEX(Personnel!$C$5:$C$19,MATCH($A52,Personnel!$A$5:$A$19,0)),""))</f>
        <v/>
      </c>
      <c r="D52" s="16"/>
      <c r="E52" s="32" t="str">
        <f aca="false">IF(D52="","",EDATE(Dashboard!$C$5,D52-1))</f>
        <v/>
      </c>
      <c r="F52" s="16"/>
      <c r="G52" s="16"/>
      <c r="H52" s="16"/>
      <c r="I52" s="45" t="str">
        <f aca="false">IFERROR(IF(OR(A52="",D52=""),"",MAX(0,(INDEX(Personnel!$G$5:$G$19,MATCH($A52,Personnel!$A$5:$A$19,0))/12)*((MIN(EOMONTH(E52,0),IF(INDEX(Personnel!$K$5:$K$19,MATCH($A52,Personnel!$A$5:$A$19,0))="",EOMONTH(E52,0),INDEX(Personnel!$K$5:$K$19,MATCH($A52,Personnel!$A$5:$A$19,0))))-MAX(DATE(YEAR(E52),MONTH(E52),1),INDEX(Personnel!$J$5:$J$19,MATCH($A52,Personnel!$A$5:$A$19,0)))+1)/DAY(EOMONTH(E52,0))))),"")</f>
        <v/>
      </c>
      <c r="J52" s="46" t="str">
        <f aca="false">IF(OR(I52="",A52=""),"",(F52+G52+H52)-I52)</f>
        <v/>
      </c>
      <c r="K52" s="47" t="str">
        <f aca="false">IF(A52="","",IFERROR(INDEX(Personnel!$H$5:$H$19,MATCH($A52,Personnel!$A$5:$A$19,0)),""))</f>
        <v/>
      </c>
      <c r="L52" s="41" t="str">
        <f aca="false">IF(A52="","",IFERROR(INDEX(Personnel!$I$5:$I$19,MATCH($A52,Personnel!$A$5:$A$19,0)),""))</f>
        <v/>
      </c>
      <c r="M52" s="19" t="str">
        <f aca="false">IF(A52="","",F52*K52)</f>
        <v/>
      </c>
      <c r="N52" s="19" t="str">
        <f aca="false">IF(A52="","",IFERROR(G52*L52,0))</f>
        <v/>
      </c>
      <c r="O52" s="19" t="str">
        <f aca="false">IF(A52="","",H52*K52)</f>
        <v/>
      </c>
      <c r="P52" s="19" t="str">
        <f aca="false">IF(A52="","",SUM(M52:O52))</f>
        <v/>
      </c>
      <c r="Q52" s="33" t="str">
        <f aca="false">IF(P52="","",P52*Rates!$B$3)</f>
        <v/>
      </c>
      <c r="R52" s="33" t="str">
        <f aca="false">IF(P52="","",(P52+Q52)*Rates!$B$4)</f>
        <v/>
      </c>
      <c r="S52" s="19" t="str">
        <f aca="false">IF(P52="","",P52+Q52+R52)</f>
        <v/>
      </c>
    </row>
    <row r="53" customFormat="false" ht="15" hidden="false" customHeight="false" outlineLevel="0" collapsed="false">
      <c r="A53" s="12"/>
      <c r="B53" s="38" t="str">
        <f aca="false">IF(A53="","",IFERROR(INDEX(Personnel!$B$5:$B$19,MATCH($A53,Personnel!$A$5:$A$19,0)),"-- not found --"))</f>
        <v/>
      </c>
      <c r="C53" s="38" t="str">
        <f aca="false">IF(A53="","",IFERROR(INDEX(Personnel!$C$5:$C$19,MATCH($A53,Personnel!$A$5:$A$19,0)),""))</f>
        <v/>
      </c>
      <c r="D53" s="12"/>
      <c r="E53" s="27" t="str">
        <f aca="false">IF(D53="","",EDATE(Dashboard!$C$5,D53-1))</f>
        <v/>
      </c>
      <c r="F53" s="12"/>
      <c r="G53" s="12"/>
      <c r="H53" s="12"/>
      <c r="I53" s="42" t="str">
        <f aca="false">IFERROR(IF(OR(A53="",D53=""),"",MAX(0,(INDEX(Personnel!$G$5:$G$19,MATCH($A53,Personnel!$A$5:$A$19,0))/12)*((MIN(EOMONTH(E53,0),IF(INDEX(Personnel!$K$5:$K$19,MATCH($A53,Personnel!$A$5:$A$19,0))="",EOMONTH(E53,0),INDEX(Personnel!$K$5:$K$19,MATCH($A53,Personnel!$A$5:$A$19,0))))-MAX(DATE(YEAR(E53),MONTH(E53),1),INDEX(Personnel!$J$5:$J$19,MATCH($A53,Personnel!$A$5:$A$19,0)))+1)/DAY(EOMONTH(E53,0))))),"")</f>
        <v/>
      </c>
      <c r="J53" s="43" t="str">
        <f aca="false">IF(OR(I53="",A53=""),"",(F53+G53+H53)-I53)</f>
        <v/>
      </c>
      <c r="K53" s="44" t="str">
        <f aca="false">IF(A53="","",IFERROR(INDEX(Personnel!$H$5:$H$19,MATCH($A53,Personnel!$A$5:$A$19,0)),""))</f>
        <v/>
      </c>
      <c r="L53" s="38" t="str">
        <f aca="false">IF(A53="","",IFERROR(INDEX(Personnel!$I$5:$I$19,MATCH($A53,Personnel!$A$5:$A$19,0)),""))</f>
        <v/>
      </c>
      <c r="M53" s="15" t="str">
        <f aca="false">IF(A53="","",F53*K53)</f>
        <v/>
      </c>
      <c r="N53" s="15" t="str">
        <f aca="false">IF(A53="","",IFERROR(G53*L53,0))</f>
        <v/>
      </c>
      <c r="O53" s="15" t="str">
        <f aca="false">IF(A53="","",H53*K53)</f>
        <v/>
      </c>
      <c r="P53" s="15" t="str">
        <f aca="false">IF(A53="","",SUM(M53:O53))</f>
        <v/>
      </c>
      <c r="Q53" s="28" t="str">
        <f aca="false">IF(P53="","",P53*Rates!$B$3)</f>
        <v/>
      </c>
      <c r="R53" s="28" t="str">
        <f aca="false">IF(P53="","",(P53+Q53)*Rates!$B$4)</f>
        <v/>
      </c>
      <c r="S53" s="15" t="str">
        <f aca="false">IF(P53="","",P53+Q53+R53)</f>
        <v/>
      </c>
    </row>
    <row r="54" customFormat="false" ht="15" hidden="false" customHeight="false" outlineLevel="0" collapsed="false">
      <c r="A54" s="16"/>
      <c r="B54" s="41" t="str">
        <f aca="false">IF(A54="","",IFERROR(INDEX(Personnel!$B$5:$B$19,MATCH($A54,Personnel!$A$5:$A$19,0)),"-- not found --"))</f>
        <v/>
      </c>
      <c r="C54" s="41" t="str">
        <f aca="false">IF(A54="","",IFERROR(INDEX(Personnel!$C$5:$C$19,MATCH($A54,Personnel!$A$5:$A$19,0)),""))</f>
        <v/>
      </c>
      <c r="D54" s="16"/>
      <c r="E54" s="32" t="str">
        <f aca="false">IF(D54="","",EDATE(Dashboard!$C$5,D54-1))</f>
        <v/>
      </c>
      <c r="F54" s="16"/>
      <c r="G54" s="16"/>
      <c r="H54" s="16"/>
      <c r="I54" s="45" t="str">
        <f aca="false">IFERROR(IF(OR(A54="",D54=""),"",MAX(0,(INDEX(Personnel!$G$5:$G$19,MATCH($A54,Personnel!$A$5:$A$19,0))/12)*((MIN(EOMONTH(E54,0),IF(INDEX(Personnel!$K$5:$K$19,MATCH($A54,Personnel!$A$5:$A$19,0))="",EOMONTH(E54,0),INDEX(Personnel!$K$5:$K$19,MATCH($A54,Personnel!$A$5:$A$19,0))))-MAX(DATE(YEAR(E54),MONTH(E54),1),INDEX(Personnel!$J$5:$J$19,MATCH($A54,Personnel!$A$5:$A$19,0)))+1)/DAY(EOMONTH(E54,0))))),"")</f>
        <v/>
      </c>
      <c r="J54" s="46" t="str">
        <f aca="false">IF(OR(I54="",A54=""),"",(F54+G54+H54)-I54)</f>
        <v/>
      </c>
      <c r="K54" s="47" t="str">
        <f aca="false">IF(A54="","",IFERROR(INDEX(Personnel!$H$5:$H$19,MATCH($A54,Personnel!$A$5:$A$19,0)),""))</f>
        <v/>
      </c>
      <c r="L54" s="41" t="str">
        <f aca="false">IF(A54="","",IFERROR(INDEX(Personnel!$I$5:$I$19,MATCH($A54,Personnel!$A$5:$A$19,0)),""))</f>
        <v/>
      </c>
      <c r="M54" s="19" t="str">
        <f aca="false">IF(A54="","",F54*K54)</f>
        <v/>
      </c>
      <c r="N54" s="19" t="str">
        <f aca="false">IF(A54="","",IFERROR(G54*L54,0))</f>
        <v/>
      </c>
      <c r="O54" s="19" t="str">
        <f aca="false">IF(A54="","",H54*K54)</f>
        <v/>
      </c>
      <c r="P54" s="19" t="str">
        <f aca="false">IF(A54="","",SUM(M54:O54))</f>
        <v/>
      </c>
      <c r="Q54" s="33" t="str">
        <f aca="false">IF(P54="","",P54*Rates!$B$3)</f>
        <v/>
      </c>
      <c r="R54" s="33" t="str">
        <f aca="false">IF(P54="","",(P54+Q54)*Rates!$B$4)</f>
        <v/>
      </c>
      <c r="S54" s="19" t="str">
        <f aca="false">IF(P54="","",P54+Q54+R54)</f>
        <v/>
      </c>
    </row>
    <row r="55" customFormat="false" ht="15" hidden="false" customHeight="false" outlineLevel="0" collapsed="false">
      <c r="A55" s="12"/>
      <c r="B55" s="38" t="str">
        <f aca="false">IF(A55="","",IFERROR(INDEX(Personnel!$B$5:$B$19,MATCH($A55,Personnel!$A$5:$A$19,0)),"-- not found --"))</f>
        <v/>
      </c>
      <c r="C55" s="38" t="str">
        <f aca="false">IF(A55="","",IFERROR(INDEX(Personnel!$C$5:$C$19,MATCH($A55,Personnel!$A$5:$A$19,0)),""))</f>
        <v/>
      </c>
      <c r="D55" s="12"/>
      <c r="E55" s="27" t="str">
        <f aca="false">IF(D55="","",EDATE(Dashboard!$C$5,D55-1))</f>
        <v/>
      </c>
      <c r="F55" s="12"/>
      <c r="G55" s="12"/>
      <c r="H55" s="12"/>
      <c r="I55" s="42" t="str">
        <f aca="false">IFERROR(IF(OR(A55="",D55=""),"",MAX(0,(INDEX(Personnel!$G$5:$G$19,MATCH($A55,Personnel!$A$5:$A$19,0))/12)*((MIN(EOMONTH(E55,0),IF(INDEX(Personnel!$K$5:$K$19,MATCH($A55,Personnel!$A$5:$A$19,0))="",EOMONTH(E55,0),INDEX(Personnel!$K$5:$K$19,MATCH($A55,Personnel!$A$5:$A$19,0))))-MAX(DATE(YEAR(E55),MONTH(E55),1),INDEX(Personnel!$J$5:$J$19,MATCH($A55,Personnel!$A$5:$A$19,0)))+1)/DAY(EOMONTH(E55,0))))),"")</f>
        <v/>
      </c>
      <c r="J55" s="43" t="str">
        <f aca="false">IF(OR(I55="",A55=""),"",(F55+G55+H55)-I55)</f>
        <v/>
      </c>
      <c r="K55" s="44" t="str">
        <f aca="false">IF(A55="","",IFERROR(INDEX(Personnel!$H$5:$H$19,MATCH($A55,Personnel!$A$5:$A$19,0)),""))</f>
        <v/>
      </c>
      <c r="L55" s="38" t="str">
        <f aca="false">IF(A55="","",IFERROR(INDEX(Personnel!$I$5:$I$19,MATCH($A55,Personnel!$A$5:$A$19,0)),""))</f>
        <v/>
      </c>
      <c r="M55" s="15" t="str">
        <f aca="false">IF(A55="","",F55*K55)</f>
        <v/>
      </c>
      <c r="N55" s="15" t="str">
        <f aca="false">IF(A55="","",IFERROR(G55*L55,0))</f>
        <v/>
      </c>
      <c r="O55" s="15" t="str">
        <f aca="false">IF(A55="","",H55*K55)</f>
        <v/>
      </c>
      <c r="P55" s="15" t="str">
        <f aca="false">IF(A55="","",SUM(M55:O55))</f>
        <v/>
      </c>
      <c r="Q55" s="28" t="str">
        <f aca="false">IF(P55="","",P55*Rates!$B$3)</f>
        <v/>
      </c>
      <c r="R55" s="28" t="str">
        <f aca="false">IF(P55="","",(P55+Q55)*Rates!$B$4)</f>
        <v/>
      </c>
      <c r="S55" s="15" t="str">
        <f aca="false">IF(P55="","",P55+Q55+R55)</f>
        <v/>
      </c>
    </row>
    <row r="56" customFormat="false" ht="15" hidden="false" customHeight="false" outlineLevel="0" collapsed="false">
      <c r="A56" s="16"/>
      <c r="B56" s="41" t="str">
        <f aca="false">IF(A56="","",IFERROR(INDEX(Personnel!$B$5:$B$19,MATCH($A56,Personnel!$A$5:$A$19,0)),"-- not found --"))</f>
        <v/>
      </c>
      <c r="C56" s="41" t="str">
        <f aca="false">IF(A56="","",IFERROR(INDEX(Personnel!$C$5:$C$19,MATCH($A56,Personnel!$A$5:$A$19,0)),""))</f>
        <v/>
      </c>
      <c r="D56" s="16"/>
      <c r="E56" s="32" t="str">
        <f aca="false">IF(D56="","",EDATE(Dashboard!$C$5,D56-1))</f>
        <v/>
      </c>
      <c r="F56" s="16"/>
      <c r="G56" s="16"/>
      <c r="H56" s="16"/>
      <c r="I56" s="45" t="str">
        <f aca="false">IFERROR(IF(OR(A56="",D56=""),"",MAX(0,(INDEX(Personnel!$G$5:$G$19,MATCH($A56,Personnel!$A$5:$A$19,0))/12)*((MIN(EOMONTH(E56,0),IF(INDEX(Personnel!$K$5:$K$19,MATCH($A56,Personnel!$A$5:$A$19,0))="",EOMONTH(E56,0),INDEX(Personnel!$K$5:$K$19,MATCH($A56,Personnel!$A$5:$A$19,0))))-MAX(DATE(YEAR(E56),MONTH(E56),1),INDEX(Personnel!$J$5:$J$19,MATCH($A56,Personnel!$A$5:$A$19,0)))+1)/DAY(EOMONTH(E56,0))))),"")</f>
        <v/>
      </c>
      <c r="J56" s="46" t="str">
        <f aca="false">IF(OR(I56="",A56=""),"",(F56+G56+H56)-I56)</f>
        <v/>
      </c>
      <c r="K56" s="47" t="str">
        <f aca="false">IF(A56="","",IFERROR(INDEX(Personnel!$H$5:$H$19,MATCH($A56,Personnel!$A$5:$A$19,0)),""))</f>
        <v/>
      </c>
      <c r="L56" s="41" t="str">
        <f aca="false">IF(A56="","",IFERROR(INDEX(Personnel!$I$5:$I$19,MATCH($A56,Personnel!$A$5:$A$19,0)),""))</f>
        <v/>
      </c>
      <c r="M56" s="19" t="str">
        <f aca="false">IF(A56="","",F56*K56)</f>
        <v/>
      </c>
      <c r="N56" s="19" t="str">
        <f aca="false">IF(A56="","",IFERROR(G56*L56,0))</f>
        <v/>
      </c>
      <c r="O56" s="19" t="str">
        <f aca="false">IF(A56="","",H56*K56)</f>
        <v/>
      </c>
      <c r="P56" s="19" t="str">
        <f aca="false">IF(A56="","",SUM(M56:O56))</f>
        <v/>
      </c>
      <c r="Q56" s="33" t="str">
        <f aca="false">IF(P56="","",P56*Rates!$B$3)</f>
        <v/>
      </c>
      <c r="R56" s="33" t="str">
        <f aca="false">IF(P56="","",(P56+Q56)*Rates!$B$4)</f>
        <v/>
      </c>
      <c r="S56" s="19" t="str">
        <f aca="false">IF(P56="","",P56+Q56+R56)</f>
        <v/>
      </c>
    </row>
    <row r="57" customFormat="false" ht="15" hidden="false" customHeight="false" outlineLevel="0" collapsed="false">
      <c r="A57" s="12"/>
      <c r="B57" s="38" t="str">
        <f aca="false">IF(A57="","",IFERROR(INDEX(Personnel!$B$5:$B$19,MATCH($A57,Personnel!$A$5:$A$19,0)),"-- not found --"))</f>
        <v/>
      </c>
      <c r="C57" s="38" t="str">
        <f aca="false">IF(A57="","",IFERROR(INDEX(Personnel!$C$5:$C$19,MATCH($A57,Personnel!$A$5:$A$19,0)),""))</f>
        <v/>
      </c>
      <c r="D57" s="12"/>
      <c r="E57" s="27" t="str">
        <f aca="false">IF(D57="","",EDATE(Dashboard!$C$5,D57-1))</f>
        <v/>
      </c>
      <c r="F57" s="12"/>
      <c r="G57" s="12"/>
      <c r="H57" s="12"/>
      <c r="I57" s="42" t="str">
        <f aca="false">IFERROR(IF(OR(A57="",D57=""),"",MAX(0,(INDEX(Personnel!$G$5:$G$19,MATCH($A57,Personnel!$A$5:$A$19,0))/12)*((MIN(EOMONTH(E57,0),IF(INDEX(Personnel!$K$5:$K$19,MATCH($A57,Personnel!$A$5:$A$19,0))="",EOMONTH(E57,0),INDEX(Personnel!$K$5:$K$19,MATCH($A57,Personnel!$A$5:$A$19,0))))-MAX(DATE(YEAR(E57),MONTH(E57),1),INDEX(Personnel!$J$5:$J$19,MATCH($A57,Personnel!$A$5:$A$19,0)))+1)/DAY(EOMONTH(E57,0))))),"")</f>
        <v/>
      </c>
      <c r="J57" s="43" t="str">
        <f aca="false">IF(OR(I57="",A57=""),"",(F57+G57+H57)-I57)</f>
        <v/>
      </c>
      <c r="K57" s="44" t="str">
        <f aca="false">IF(A57="","",IFERROR(INDEX(Personnel!$H$5:$H$19,MATCH($A57,Personnel!$A$5:$A$19,0)),""))</f>
        <v/>
      </c>
      <c r="L57" s="38" t="str">
        <f aca="false">IF(A57="","",IFERROR(INDEX(Personnel!$I$5:$I$19,MATCH($A57,Personnel!$A$5:$A$19,0)),""))</f>
        <v/>
      </c>
      <c r="M57" s="15" t="str">
        <f aca="false">IF(A57="","",F57*K57)</f>
        <v/>
      </c>
      <c r="N57" s="15" t="str">
        <f aca="false">IF(A57="","",IFERROR(G57*L57,0))</f>
        <v/>
      </c>
      <c r="O57" s="15" t="str">
        <f aca="false">IF(A57="","",H57*K57)</f>
        <v/>
      </c>
      <c r="P57" s="15" t="str">
        <f aca="false">IF(A57="","",SUM(M57:O57))</f>
        <v/>
      </c>
      <c r="Q57" s="28" t="str">
        <f aca="false">IF(P57="","",P57*Rates!$B$3)</f>
        <v/>
      </c>
      <c r="R57" s="28" t="str">
        <f aca="false">IF(P57="","",(P57+Q57)*Rates!$B$4)</f>
        <v/>
      </c>
      <c r="S57" s="15" t="str">
        <f aca="false">IF(P57="","",P57+Q57+R57)</f>
        <v/>
      </c>
    </row>
    <row r="58" customFormat="false" ht="15" hidden="false" customHeight="false" outlineLevel="0" collapsed="false">
      <c r="A58" s="16"/>
      <c r="B58" s="41" t="str">
        <f aca="false">IF(A58="","",IFERROR(INDEX(Personnel!$B$5:$B$19,MATCH($A58,Personnel!$A$5:$A$19,0)),"-- not found --"))</f>
        <v/>
      </c>
      <c r="C58" s="41" t="str">
        <f aca="false">IF(A58="","",IFERROR(INDEX(Personnel!$C$5:$C$19,MATCH($A58,Personnel!$A$5:$A$19,0)),""))</f>
        <v/>
      </c>
      <c r="D58" s="16"/>
      <c r="E58" s="32" t="str">
        <f aca="false">IF(D58="","",EDATE(Dashboard!$C$5,D58-1))</f>
        <v/>
      </c>
      <c r="F58" s="16"/>
      <c r="G58" s="16"/>
      <c r="H58" s="16"/>
      <c r="I58" s="45" t="str">
        <f aca="false">IFERROR(IF(OR(A58="",D58=""),"",MAX(0,(INDEX(Personnel!$G$5:$G$19,MATCH($A58,Personnel!$A$5:$A$19,0))/12)*((MIN(EOMONTH(E58,0),IF(INDEX(Personnel!$K$5:$K$19,MATCH($A58,Personnel!$A$5:$A$19,0))="",EOMONTH(E58,0),INDEX(Personnel!$K$5:$K$19,MATCH($A58,Personnel!$A$5:$A$19,0))))-MAX(DATE(YEAR(E58),MONTH(E58),1),INDEX(Personnel!$J$5:$J$19,MATCH($A58,Personnel!$A$5:$A$19,0)))+1)/DAY(EOMONTH(E58,0))))),"")</f>
        <v/>
      </c>
      <c r="J58" s="46" t="str">
        <f aca="false">IF(OR(I58="",A58=""),"",(F58+G58+H58)-I58)</f>
        <v/>
      </c>
      <c r="K58" s="47" t="str">
        <f aca="false">IF(A58="","",IFERROR(INDEX(Personnel!$H$5:$H$19,MATCH($A58,Personnel!$A$5:$A$19,0)),""))</f>
        <v/>
      </c>
      <c r="L58" s="41" t="str">
        <f aca="false">IF(A58="","",IFERROR(INDEX(Personnel!$I$5:$I$19,MATCH($A58,Personnel!$A$5:$A$19,0)),""))</f>
        <v/>
      </c>
      <c r="M58" s="19" t="str">
        <f aca="false">IF(A58="","",F58*K58)</f>
        <v/>
      </c>
      <c r="N58" s="19" t="str">
        <f aca="false">IF(A58="","",IFERROR(G58*L58,0))</f>
        <v/>
      </c>
      <c r="O58" s="19" t="str">
        <f aca="false">IF(A58="","",H58*K58)</f>
        <v/>
      </c>
      <c r="P58" s="19" t="str">
        <f aca="false">IF(A58="","",SUM(M58:O58))</f>
        <v/>
      </c>
      <c r="Q58" s="33" t="str">
        <f aca="false">IF(P58="","",P58*Rates!$B$3)</f>
        <v/>
      </c>
      <c r="R58" s="33" t="str">
        <f aca="false">IF(P58="","",(P58+Q58)*Rates!$B$4)</f>
        <v/>
      </c>
      <c r="S58" s="19" t="str">
        <f aca="false">IF(P58="","",P58+Q58+R58)</f>
        <v/>
      </c>
    </row>
    <row r="59" customFormat="false" ht="15" hidden="false" customHeight="false" outlineLevel="0" collapsed="false">
      <c r="A59" s="12"/>
      <c r="B59" s="38" t="str">
        <f aca="false">IF(A59="","",IFERROR(INDEX(Personnel!$B$5:$B$19,MATCH($A59,Personnel!$A$5:$A$19,0)),"-- not found --"))</f>
        <v/>
      </c>
      <c r="C59" s="38" t="str">
        <f aca="false">IF(A59="","",IFERROR(INDEX(Personnel!$C$5:$C$19,MATCH($A59,Personnel!$A$5:$A$19,0)),""))</f>
        <v/>
      </c>
      <c r="D59" s="12"/>
      <c r="E59" s="27" t="str">
        <f aca="false">IF(D59="","",EDATE(Dashboard!$C$5,D59-1))</f>
        <v/>
      </c>
      <c r="F59" s="12"/>
      <c r="G59" s="12"/>
      <c r="H59" s="12"/>
      <c r="I59" s="42" t="str">
        <f aca="false">IFERROR(IF(OR(A59="",D59=""),"",MAX(0,(INDEX(Personnel!$G$5:$G$19,MATCH($A59,Personnel!$A$5:$A$19,0))/12)*((MIN(EOMONTH(E59,0),IF(INDEX(Personnel!$K$5:$K$19,MATCH($A59,Personnel!$A$5:$A$19,0))="",EOMONTH(E59,0),INDEX(Personnel!$K$5:$K$19,MATCH($A59,Personnel!$A$5:$A$19,0))))-MAX(DATE(YEAR(E59),MONTH(E59),1),INDEX(Personnel!$J$5:$J$19,MATCH($A59,Personnel!$A$5:$A$19,0)))+1)/DAY(EOMONTH(E59,0))))),"")</f>
        <v/>
      </c>
      <c r="J59" s="43" t="str">
        <f aca="false">IF(OR(I59="",A59=""),"",(F59+G59+H59)-I59)</f>
        <v/>
      </c>
      <c r="K59" s="44" t="str">
        <f aca="false">IF(A59="","",IFERROR(INDEX(Personnel!$H$5:$H$19,MATCH($A59,Personnel!$A$5:$A$19,0)),""))</f>
        <v/>
      </c>
      <c r="L59" s="38" t="str">
        <f aca="false">IF(A59="","",IFERROR(INDEX(Personnel!$I$5:$I$19,MATCH($A59,Personnel!$A$5:$A$19,0)),""))</f>
        <v/>
      </c>
      <c r="M59" s="15" t="str">
        <f aca="false">IF(A59="","",F59*K59)</f>
        <v/>
      </c>
      <c r="N59" s="15" t="str">
        <f aca="false">IF(A59="","",IFERROR(G59*L59,0))</f>
        <v/>
      </c>
      <c r="O59" s="15" t="str">
        <f aca="false">IF(A59="","",H59*K59)</f>
        <v/>
      </c>
      <c r="P59" s="15" t="str">
        <f aca="false">IF(A59="","",SUM(M59:O59))</f>
        <v/>
      </c>
      <c r="Q59" s="28" t="str">
        <f aca="false">IF(P59="","",P59*Rates!$B$3)</f>
        <v/>
      </c>
      <c r="R59" s="28" t="str">
        <f aca="false">IF(P59="","",(P59+Q59)*Rates!$B$4)</f>
        <v/>
      </c>
      <c r="S59" s="15" t="str">
        <f aca="false">IF(P59="","",P59+Q59+R59)</f>
        <v/>
      </c>
    </row>
    <row r="60" customFormat="false" ht="15" hidden="false" customHeight="false" outlineLevel="0" collapsed="false">
      <c r="A60" s="16"/>
      <c r="B60" s="41" t="str">
        <f aca="false">IF(A60="","",IFERROR(INDEX(Personnel!$B$5:$B$19,MATCH($A60,Personnel!$A$5:$A$19,0)),"-- not found --"))</f>
        <v/>
      </c>
      <c r="C60" s="41" t="str">
        <f aca="false">IF(A60="","",IFERROR(INDEX(Personnel!$C$5:$C$19,MATCH($A60,Personnel!$A$5:$A$19,0)),""))</f>
        <v/>
      </c>
      <c r="D60" s="16"/>
      <c r="E60" s="32" t="str">
        <f aca="false">IF(D60="","",EDATE(Dashboard!$C$5,D60-1))</f>
        <v/>
      </c>
      <c r="F60" s="16"/>
      <c r="G60" s="16"/>
      <c r="H60" s="16"/>
      <c r="I60" s="45" t="str">
        <f aca="false">IFERROR(IF(OR(A60="",D60=""),"",MAX(0,(INDEX(Personnel!$G$5:$G$19,MATCH($A60,Personnel!$A$5:$A$19,0))/12)*((MIN(EOMONTH(E60,0),IF(INDEX(Personnel!$K$5:$K$19,MATCH($A60,Personnel!$A$5:$A$19,0))="",EOMONTH(E60,0),INDEX(Personnel!$K$5:$K$19,MATCH($A60,Personnel!$A$5:$A$19,0))))-MAX(DATE(YEAR(E60),MONTH(E60),1),INDEX(Personnel!$J$5:$J$19,MATCH($A60,Personnel!$A$5:$A$19,0)))+1)/DAY(EOMONTH(E60,0))))),"")</f>
        <v/>
      </c>
      <c r="J60" s="46" t="str">
        <f aca="false">IF(OR(I60="",A60=""),"",(F60+G60+H60)-I60)</f>
        <v/>
      </c>
      <c r="K60" s="47" t="str">
        <f aca="false">IF(A60="","",IFERROR(INDEX(Personnel!$H$5:$H$19,MATCH($A60,Personnel!$A$5:$A$19,0)),""))</f>
        <v/>
      </c>
      <c r="L60" s="41" t="str">
        <f aca="false">IF(A60="","",IFERROR(INDEX(Personnel!$I$5:$I$19,MATCH($A60,Personnel!$A$5:$A$19,0)),""))</f>
        <v/>
      </c>
      <c r="M60" s="19" t="str">
        <f aca="false">IF(A60="","",F60*K60)</f>
        <v/>
      </c>
      <c r="N60" s="19" t="str">
        <f aca="false">IF(A60="","",IFERROR(G60*L60,0))</f>
        <v/>
      </c>
      <c r="O60" s="19" t="str">
        <f aca="false">IF(A60="","",H60*K60)</f>
        <v/>
      </c>
      <c r="P60" s="19" t="str">
        <f aca="false">IF(A60="","",SUM(M60:O60))</f>
        <v/>
      </c>
      <c r="Q60" s="33" t="str">
        <f aca="false">IF(P60="","",P60*Rates!$B$3)</f>
        <v/>
      </c>
      <c r="R60" s="33" t="str">
        <f aca="false">IF(P60="","",(P60+Q60)*Rates!$B$4)</f>
        <v/>
      </c>
      <c r="S60" s="19" t="str">
        <f aca="false">IF(P60="","",P60+Q60+R60)</f>
        <v/>
      </c>
    </row>
    <row r="61" customFormat="false" ht="15" hidden="false" customHeight="false" outlineLevel="0" collapsed="false">
      <c r="A61" s="12"/>
      <c r="B61" s="38" t="str">
        <f aca="false">IF(A61="","",IFERROR(INDEX(Personnel!$B$5:$B$19,MATCH($A61,Personnel!$A$5:$A$19,0)),"-- not found --"))</f>
        <v/>
      </c>
      <c r="C61" s="38" t="str">
        <f aca="false">IF(A61="","",IFERROR(INDEX(Personnel!$C$5:$C$19,MATCH($A61,Personnel!$A$5:$A$19,0)),""))</f>
        <v/>
      </c>
      <c r="D61" s="12"/>
      <c r="E61" s="27" t="str">
        <f aca="false">IF(D61="","",EDATE(Dashboard!$C$5,D61-1))</f>
        <v/>
      </c>
      <c r="F61" s="12"/>
      <c r="G61" s="12"/>
      <c r="H61" s="12"/>
      <c r="I61" s="42" t="str">
        <f aca="false">IFERROR(IF(OR(A61="",D61=""),"",MAX(0,(INDEX(Personnel!$G$5:$G$19,MATCH($A61,Personnel!$A$5:$A$19,0))/12)*((MIN(EOMONTH(E61,0),IF(INDEX(Personnel!$K$5:$K$19,MATCH($A61,Personnel!$A$5:$A$19,0))="",EOMONTH(E61,0),INDEX(Personnel!$K$5:$K$19,MATCH($A61,Personnel!$A$5:$A$19,0))))-MAX(DATE(YEAR(E61),MONTH(E61),1),INDEX(Personnel!$J$5:$J$19,MATCH($A61,Personnel!$A$5:$A$19,0)))+1)/DAY(EOMONTH(E61,0))))),"")</f>
        <v/>
      </c>
      <c r="J61" s="43" t="str">
        <f aca="false">IF(OR(I61="",A61=""),"",(F61+G61+H61)-I61)</f>
        <v/>
      </c>
      <c r="K61" s="44" t="str">
        <f aca="false">IF(A61="","",IFERROR(INDEX(Personnel!$H$5:$H$19,MATCH($A61,Personnel!$A$5:$A$19,0)),""))</f>
        <v/>
      </c>
      <c r="L61" s="38" t="str">
        <f aca="false">IF(A61="","",IFERROR(INDEX(Personnel!$I$5:$I$19,MATCH($A61,Personnel!$A$5:$A$19,0)),""))</f>
        <v/>
      </c>
      <c r="M61" s="15" t="str">
        <f aca="false">IF(A61="","",F61*K61)</f>
        <v/>
      </c>
      <c r="N61" s="15" t="str">
        <f aca="false">IF(A61="","",IFERROR(G61*L61,0))</f>
        <v/>
      </c>
      <c r="O61" s="15" t="str">
        <f aca="false">IF(A61="","",H61*K61)</f>
        <v/>
      </c>
      <c r="P61" s="15" t="str">
        <f aca="false">IF(A61="","",SUM(M61:O61))</f>
        <v/>
      </c>
      <c r="Q61" s="28" t="str">
        <f aca="false">IF(P61="","",P61*Rates!$B$3)</f>
        <v/>
      </c>
      <c r="R61" s="28" t="str">
        <f aca="false">IF(P61="","",(P61+Q61)*Rates!$B$4)</f>
        <v/>
      </c>
      <c r="S61" s="15" t="str">
        <f aca="false">IF(P61="","",P61+Q61+R61)</f>
        <v/>
      </c>
    </row>
    <row r="62" customFormat="false" ht="15" hidden="false" customHeight="false" outlineLevel="0" collapsed="false">
      <c r="A62" s="16"/>
      <c r="B62" s="41" t="str">
        <f aca="false">IF(A62="","",IFERROR(INDEX(Personnel!$B$5:$B$19,MATCH($A62,Personnel!$A$5:$A$19,0)),"-- not found --"))</f>
        <v/>
      </c>
      <c r="C62" s="41" t="str">
        <f aca="false">IF(A62="","",IFERROR(INDEX(Personnel!$C$5:$C$19,MATCH($A62,Personnel!$A$5:$A$19,0)),""))</f>
        <v/>
      </c>
      <c r="D62" s="16"/>
      <c r="E62" s="32" t="str">
        <f aca="false">IF(D62="","",EDATE(Dashboard!$C$5,D62-1))</f>
        <v/>
      </c>
      <c r="F62" s="16"/>
      <c r="G62" s="16"/>
      <c r="H62" s="16"/>
      <c r="I62" s="45" t="str">
        <f aca="false">IFERROR(IF(OR(A62="",D62=""),"",MAX(0,(INDEX(Personnel!$G$5:$G$19,MATCH($A62,Personnel!$A$5:$A$19,0))/12)*((MIN(EOMONTH(E62,0),IF(INDEX(Personnel!$K$5:$K$19,MATCH($A62,Personnel!$A$5:$A$19,0))="",EOMONTH(E62,0),INDEX(Personnel!$K$5:$K$19,MATCH($A62,Personnel!$A$5:$A$19,0))))-MAX(DATE(YEAR(E62),MONTH(E62),1),INDEX(Personnel!$J$5:$J$19,MATCH($A62,Personnel!$A$5:$A$19,0)))+1)/DAY(EOMONTH(E62,0))))),"")</f>
        <v/>
      </c>
      <c r="J62" s="46" t="str">
        <f aca="false">IF(OR(I62="",A62=""),"",(F62+G62+H62)-I62)</f>
        <v/>
      </c>
      <c r="K62" s="47" t="str">
        <f aca="false">IF(A62="","",IFERROR(INDEX(Personnel!$H$5:$H$19,MATCH($A62,Personnel!$A$5:$A$19,0)),""))</f>
        <v/>
      </c>
      <c r="L62" s="41" t="str">
        <f aca="false">IF(A62="","",IFERROR(INDEX(Personnel!$I$5:$I$19,MATCH($A62,Personnel!$A$5:$A$19,0)),""))</f>
        <v/>
      </c>
      <c r="M62" s="19" t="str">
        <f aca="false">IF(A62="","",F62*K62)</f>
        <v/>
      </c>
      <c r="N62" s="19" t="str">
        <f aca="false">IF(A62="","",IFERROR(G62*L62,0))</f>
        <v/>
      </c>
      <c r="O62" s="19" t="str">
        <f aca="false">IF(A62="","",H62*K62)</f>
        <v/>
      </c>
      <c r="P62" s="19" t="str">
        <f aca="false">IF(A62="","",SUM(M62:O62))</f>
        <v/>
      </c>
      <c r="Q62" s="33" t="str">
        <f aca="false">IF(P62="","",P62*Rates!$B$3)</f>
        <v/>
      </c>
      <c r="R62" s="33" t="str">
        <f aca="false">IF(P62="","",(P62+Q62)*Rates!$B$4)</f>
        <v/>
      </c>
      <c r="S62" s="19" t="str">
        <f aca="false">IF(P62="","",P62+Q62+R62)</f>
        <v/>
      </c>
    </row>
    <row r="63" customFormat="false" ht="15" hidden="false" customHeight="false" outlineLevel="0" collapsed="false">
      <c r="A63" s="12"/>
      <c r="B63" s="38" t="str">
        <f aca="false">IF(A63="","",IFERROR(INDEX(Personnel!$B$5:$B$19,MATCH($A63,Personnel!$A$5:$A$19,0)),"-- not found --"))</f>
        <v/>
      </c>
      <c r="C63" s="38" t="str">
        <f aca="false">IF(A63="","",IFERROR(INDEX(Personnel!$C$5:$C$19,MATCH($A63,Personnel!$A$5:$A$19,0)),""))</f>
        <v/>
      </c>
      <c r="D63" s="12"/>
      <c r="E63" s="27" t="str">
        <f aca="false">IF(D63="","",EDATE(Dashboard!$C$5,D63-1))</f>
        <v/>
      </c>
      <c r="F63" s="12"/>
      <c r="G63" s="12"/>
      <c r="H63" s="12"/>
      <c r="I63" s="42" t="str">
        <f aca="false">IFERROR(IF(OR(A63="",D63=""),"",MAX(0,(INDEX(Personnel!$G$5:$G$19,MATCH($A63,Personnel!$A$5:$A$19,0))/12)*((MIN(EOMONTH(E63,0),IF(INDEX(Personnel!$K$5:$K$19,MATCH($A63,Personnel!$A$5:$A$19,0))="",EOMONTH(E63,0),INDEX(Personnel!$K$5:$K$19,MATCH($A63,Personnel!$A$5:$A$19,0))))-MAX(DATE(YEAR(E63),MONTH(E63),1),INDEX(Personnel!$J$5:$J$19,MATCH($A63,Personnel!$A$5:$A$19,0)))+1)/DAY(EOMONTH(E63,0))))),"")</f>
        <v/>
      </c>
      <c r="J63" s="43" t="str">
        <f aca="false">IF(OR(I63="",A63=""),"",(F63+G63+H63)-I63)</f>
        <v/>
      </c>
      <c r="K63" s="44" t="str">
        <f aca="false">IF(A63="","",IFERROR(INDEX(Personnel!$H$5:$H$19,MATCH($A63,Personnel!$A$5:$A$19,0)),""))</f>
        <v/>
      </c>
      <c r="L63" s="38" t="str">
        <f aca="false">IF(A63="","",IFERROR(INDEX(Personnel!$I$5:$I$19,MATCH($A63,Personnel!$A$5:$A$19,0)),""))</f>
        <v/>
      </c>
      <c r="M63" s="15" t="str">
        <f aca="false">IF(A63="","",F63*K63)</f>
        <v/>
      </c>
      <c r="N63" s="15" t="str">
        <f aca="false">IF(A63="","",IFERROR(G63*L63,0))</f>
        <v/>
      </c>
      <c r="O63" s="15" t="str">
        <f aca="false">IF(A63="","",H63*K63)</f>
        <v/>
      </c>
      <c r="P63" s="15" t="str">
        <f aca="false">IF(A63="","",SUM(M63:O63))</f>
        <v/>
      </c>
      <c r="Q63" s="28" t="str">
        <f aca="false">IF(P63="","",P63*Rates!$B$3)</f>
        <v/>
      </c>
      <c r="R63" s="28" t="str">
        <f aca="false">IF(P63="","",(P63+Q63)*Rates!$B$4)</f>
        <v/>
      </c>
      <c r="S63" s="15" t="str">
        <f aca="false">IF(P63="","",P63+Q63+R63)</f>
        <v/>
      </c>
    </row>
    <row r="64" customFormat="false" ht="15" hidden="false" customHeight="false" outlineLevel="0" collapsed="false">
      <c r="A64" s="16"/>
      <c r="B64" s="41" t="str">
        <f aca="false">IF(A64="","",IFERROR(INDEX(Personnel!$B$5:$B$19,MATCH($A64,Personnel!$A$5:$A$19,0)),"-- not found --"))</f>
        <v/>
      </c>
      <c r="C64" s="41" t="str">
        <f aca="false">IF(A64="","",IFERROR(INDEX(Personnel!$C$5:$C$19,MATCH($A64,Personnel!$A$5:$A$19,0)),""))</f>
        <v/>
      </c>
      <c r="D64" s="16"/>
      <c r="E64" s="32" t="str">
        <f aca="false">IF(D64="","",EDATE(Dashboard!$C$5,D64-1))</f>
        <v/>
      </c>
      <c r="F64" s="16"/>
      <c r="G64" s="16"/>
      <c r="H64" s="16"/>
      <c r="I64" s="45" t="str">
        <f aca="false">IFERROR(IF(OR(A64="",D64=""),"",MAX(0,(INDEX(Personnel!$G$5:$G$19,MATCH($A64,Personnel!$A$5:$A$19,0))/12)*((MIN(EOMONTH(E64,0),IF(INDEX(Personnel!$K$5:$K$19,MATCH($A64,Personnel!$A$5:$A$19,0))="",EOMONTH(E64,0),INDEX(Personnel!$K$5:$K$19,MATCH($A64,Personnel!$A$5:$A$19,0))))-MAX(DATE(YEAR(E64),MONTH(E64),1),INDEX(Personnel!$J$5:$J$19,MATCH($A64,Personnel!$A$5:$A$19,0)))+1)/DAY(EOMONTH(E64,0))))),"")</f>
        <v/>
      </c>
      <c r="J64" s="46" t="str">
        <f aca="false">IF(OR(I64="",A64=""),"",(F64+G64+H64)-I64)</f>
        <v/>
      </c>
      <c r="K64" s="47" t="str">
        <f aca="false">IF(A64="","",IFERROR(INDEX(Personnel!$H$5:$H$19,MATCH($A64,Personnel!$A$5:$A$19,0)),""))</f>
        <v/>
      </c>
      <c r="L64" s="41" t="str">
        <f aca="false">IF(A64="","",IFERROR(INDEX(Personnel!$I$5:$I$19,MATCH($A64,Personnel!$A$5:$A$19,0)),""))</f>
        <v/>
      </c>
      <c r="M64" s="19" t="str">
        <f aca="false">IF(A64="","",F64*K64)</f>
        <v/>
      </c>
      <c r="N64" s="19" t="str">
        <f aca="false">IF(A64="","",IFERROR(G64*L64,0))</f>
        <v/>
      </c>
      <c r="O64" s="19" t="str">
        <f aca="false">IF(A64="","",H64*K64)</f>
        <v/>
      </c>
      <c r="P64" s="19" t="str">
        <f aca="false">IF(A64="","",SUM(M64:O64))</f>
        <v/>
      </c>
      <c r="Q64" s="33" t="str">
        <f aca="false">IF(P64="","",P64*Rates!$B$3)</f>
        <v/>
      </c>
      <c r="R64" s="33" t="str">
        <f aca="false">IF(P64="","",(P64+Q64)*Rates!$B$4)</f>
        <v/>
      </c>
      <c r="S64" s="19" t="str">
        <f aca="false">IF(P64="","",P64+Q64+R64)</f>
        <v/>
      </c>
    </row>
    <row r="65" customFormat="false" ht="15" hidden="false" customHeight="false" outlineLevel="0" collapsed="false">
      <c r="A65" s="12"/>
      <c r="B65" s="38" t="str">
        <f aca="false">IF(A65="","",IFERROR(INDEX(Personnel!$B$5:$B$19,MATCH($A65,Personnel!$A$5:$A$19,0)),"-- not found --"))</f>
        <v/>
      </c>
      <c r="C65" s="38" t="str">
        <f aca="false">IF(A65="","",IFERROR(INDEX(Personnel!$C$5:$C$19,MATCH($A65,Personnel!$A$5:$A$19,0)),""))</f>
        <v/>
      </c>
      <c r="D65" s="12"/>
      <c r="E65" s="27" t="str">
        <f aca="false">IF(D65="","",EDATE(Dashboard!$C$5,D65-1))</f>
        <v/>
      </c>
      <c r="F65" s="12"/>
      <c r="G65" s="12"/>
      <c r="H65" s="12"/>
      <c r="I65" s="42" t="str">
        <f aca="false">IFERROR(IF(OR(A65="",D65=""),"",MAX(0,(INDEX(Personnel!$G$5:$G$19,MATCH($A65,Personnel!$A$5:$A$19,0))/12)*((MIN(EOMONTH(E65,0),IF(INDEX(Personnel!$K$5:$K$19,MATCH($A65,Personnel!$A$5:$A$19,0))="",EOMONTH(E65,0),INDEX(Personnel!$K$5:$K$19,MATCH($A65,Personnel!$A$5:$A$19,0))))-MAX(DATE(YEAR(E65),MONTH(E65),1),INDEX(Personnel!$J$5:$J$19,MATCH($A65,Personnel!$A$5:$A$19,0)))+1)/DAY(EOMONTH(E65,0))))),"")</f>
        <v/>
      </c>
      <c r="J65" s="43" t="str">
        <f aca="false">IF(OR(I65="",A65=""),"",(F65+G65+H65)-I65)</f>
        <v/>
      </c>
      <c r="K65" s="44" t="str">
        <f aca="false">IF(A65="","",IFERROR(INDEX(Personnel!$H$5:$H$19,MATCH($A65,Personnel!$A$5:$A$19,0)),""))</f>
        <v/>
      </c>
      <c r="L65" s="38" t="str">
        <f aca="false">IF(A65="","",IFERROR(INDEX(Personnel!$I$5:$I$19,MATCH($A65,Personnel!$A$5:$A$19,0)),""))</f>
        <v/>
      </c>
      <c r="M65" s="15" t="str">
        <f aca="false">IF(A65="","",F65*K65)</f>
        <v/>
      </c>
      <c r="N65" s="15" t="str">
        <f aca="false">IF(A65="","",IFERROR(G65*L65,0))</f>
        <v/>
      </c>
      <c r="O65" s="15" t="str">
        <f aca="false">IF(A65="","",H65*K65)</f>
        <v/>
      </c>
      <c r="P65" s="15" t="str">
        <f aca="false">IF(A65="","",SUM(M65:O65))</f>
        <v/>
      </c>
      <c r="Q65" s="28" t="str">
        <f aca="false">IF(P65="","",P65*Rates!$B$3)</f>
        <v/>
      </c>
      <c r="R65" s="28" t="str">
        <f aca="false">IF(P65="","",(P65+Q65)*Rates!$B$4)</f>
        <v/>
      </c>
      <c r="S65" s="15" t="str">
        <f aca="false">IF(P65="","",P65+Q65+R65)</f>
        <v/>
      </c>
    </row>
    <row r="66" customFormat="false" ht="15" hidden="false" customHeight="false" outlineLevel="0" collapsed="false">
      <c r="A66" s="16"/>
      <c r="B66" s="41" t="str">
        <f aca="false">IF(A66="","",IFERROR(INDEX(Personnel!$B$5:$B$19,MATCH($A66,Personnel!$A$5:$A$19,0)),"-- not found --"))</f>
        <v/>
      </c>
      <c r="C66" s="41" t="str">
        <f aca="false">IF(A66="","",IFERROR(INDEX(Personnel!$C$5:$C$19,MATCH($A66,Personnel!$A$5:$A$19,0)),""))</f>
        <v/>
      </c>
      <c r="D66" s="16"/>
      <c r="E66" s="32" t="str">
        <f aca="false">IF(D66="","",EDATE(Dashboard!$C$5,D66-1))</f>
        <v/>
      </c>
      <c r="F66" s="16"/>
      <c r="G66" s="16"/>
      <c r="H66" s="16"/>
      <c r="I66" s="45" t="str">
        <f aca="false">IFERROR(IF(OR(A66="",D66=""),"",MAX(0,(INDEX(Personnel!$G$5:$G$19,MATCH($A66,Personnel!$A$5:$A$19,0))/12)*((MIN(EOMONTH(E66,0),IF(INDEX(Personnel!$K$5:$K$19,MATCH($A66,Personnel!$A$5:$A$19,0))="",EOMONTH(E66,0),INDEX(Personnel!$K$5:$K$19,MATCH($A66,Personnel!$A$5:$A$19,0))))-MAX(DATE(YEAR(E66),MONTH(E66),1),INDEX(Personnel!$J$5:$J$19,MATCH($A66,Personnel!$A$5:$A$19,0)))+1)/DAY(EOMONTH(E66,0))))),"")</f>
        <v/>
      </c>
      <c r="J66" s="46" t="str">
        <f aca="false">IF(OR(I66="",A66=""),"",(F66+G66+H66)-I66)</f>
        <v/>
      </c>
      <c r="K66" s="47" t="str">
        <f aca="false">IF(A66="","",IFERROR(INDEX(Personnel!$H$5:$H$19,MATCH($A66,Personnel!$A$5:$A$19,0)),""))</f>
        <v/>
      </c>
      <c r="L66" s="41" t="str">
        <f aca="false">IF(A66="","",IFERROR(INDEX(Personnel!$I$5:$I$19,MATCH($A66,Personnel!$A$5:$A$19,0)),""))</f>
        <v/>
      </c>
      <c r="M66" s="19" t="str">
        <f aca="false">IF(A66="","",F66*K66)</f>
        <v/>
      </c>
      <c r="N66" s="19" t="str">
        <f aca="false">IF(A66="","",IFERROR(G66*L66,0))</f>
        <v/>
      </c>
      <c r="O66" s="19" t="str">
        <f aca="false">IF(A66="","",H66*K66)</f>
        <v/>
      </c>
      <c r="P66" s="19" t="str">
        <f aca="false">IF(A66="","",SUM(M66:O66))</f>
        <v/>
      </c>
      <c r="Q66" s="33" t="str">
        <f aca="false">IF(P66="","",P66*Rates!$B$3)</f>
        <v/>
      </c>
      <c r="R66" s="33" t="str">
        <f aca="false">IF(P66="","",(P66+Q66)*Rates!$B$4)</f>
        <v/>
      </c>
      <c r="S66" s="19" t="str">
        <f aca="false">IF(P66="","",P66+Q66+R66)</f>
        <v/>
      </c>
    </row>
    <row r="67" customFormat="false" ht="15" hidden="false" customHeight="false" outlineLevel="0" collapsed="false">
      <c r="A67" s="12"/>
      <c r="B67" s="38" t="str">
        <f aca="false">IF(A67="","",IFERROR(INDEX(Personnel!$B$5:$B$19,MATCH($A67,Personnel!$A$5:$A$19,0)),"-- not found --"))</f>
        <v/>
      </c>
      <c r="C67" s="38" t="str">
        <f aca="false">IF(A67="","",IFERROR(INDEX(Personnel!$C$5:$C$19,MATCH($A67,Personnel!$A$5:$A$19,0)),""))</f>
        <v/>
      </c>
      <c r="D67" s="12"/>
      <c r="E67" s="27" t="str">
        <f aca="false">IF(D67="","",EDATE(Dashboard!$C$5,D67-1))</f>
        <v/>
      </c>
      <c r="F67" s="12"/>
      <c r="G67" s="12"/>
      <c r="H67" s="12"/>
      <c r="I67" s="42" t="str">
        <f aca="false">IFERROR(IF(OR(A67="",D67=""),"",MAX(0,(INDEX(Personnel!$G$5:$G$19,MATCH($A67,Personnel!$A$5:$A$19,0))/12)*((MIN(EOMONTH(E67,0),IF(INDEX(Personnel!$K$5:$K$19,MATCH($A67,Personnel!$A$5:$A$19,0))="",EOMONTH(E67,0),INDEX(Personnel!$K$5:$K$19,MATCH($A67,Personnel!$A$5:$A$19,0))))-MAX(DATE(YEAR(E67),MONTH(E67),1),INDEX(Personnel!$J$5:$J$19,MATCH($A67,Personnel!$A$5:$A$19,0)))+1)/DAY(EOMONTH(E67,0))))),"")</f>
        <v/>
      </c>
      <c r="J67" s="43" t="str">
        <f aca="false">IF(OR(I67="",A67=""),"",(F67+G67+H67)-I67)</f>
        <v/>
      </c>
      <c r="K67" s="44" t="str">
        <f aca="false">IF(A67="","",IFERROR(INDEX(Personnel!$H$5:$H$19,MATCH($A67,Personnel!$A$5:$A$19,0)),""))</f>
        <v/>
      </c>
      <c r="L67" s="38" t="str">
        <f aca="false">IF(A67="","",IFERROR(INDEX(Personnel!$I$5:$I$19,MATCH($A67,Personnel!$A$5:$A$19,0)),""))</f>
        <v/>
      </c>
      <c r="M67" s="15" t="str">
        <f aca="false">IF(A67="","",F67*K67)</f>
        <v/>
      </c>
      <c r="N67" s="15" t="str">
        <f aca="false">IF(A67="","",IFERROR(G67*L67,0))</f>
        <v/>
      </c>
      <c r="O67" s="15" t="str">
        <f aca="false">IF(A67="","",H67*K67)</f>
        <v/>
      </c>
      <c r="P67" s="15" t="str">
        <f aca="false">IF(A67="","",SUM(M67:O67))</f>
        <v/>
      </c>
      <c r="Q67" s="28" t="str">
        <f aca="false">IF(P67="","",P67*Rates!$B$3)</f>
        <v/>
      </c>
      <c r="R67" s="28" t="str">
        <f aca="false">IF(P67="","",(P67+Q67)*Rates!$B$4)</f>
        <v/>
      </c>
      <c r="S67" s="15" t="str">
        <f aca="false">IF(P67="","",P67+Q67+R67)</f>
        <v/>
      </c>
    </row>
    <row r="68" customFormat="false" ht="15" hidden="false" customHeight="false" outlineLevel="0" collapsed="false">
      <c r="A68" s="16"/>
      <c r="B68" s="41" t="str">
        <f aca="false">IF(A68="","",IFERROR(INDEX(Personnel!$B$5:$B$19,MATCH($A68,Personnel!$A$5:$A$19,0)),"-- not found --"))</f>
        <v/>
      </c>
      <c r="C68" s="41" t="str">
        <f aca="false">IF(A68="","",IFERROR(INDEX(Personnel!$C$5:$C$19,MATCH($A68,Personnel!$A$5:$A$19,0)),""))</f>
        <v/>
      </c>
      <c r="D68" s="16"/>
      <c r="E68" s="32" t="str">
        <f aca="false">IF(D68="","",EDATE(Dashboard!$C$5,D68-1))</f>
        <v/>
      </c>
      <c r="F68" s="16"/>
      <c r="G68" s="16"/>
      <c r="H68" s="16"/>
      <c r="I68" s="45" t="str">
        <f aca="false">IFERROR(IF(OR(A68="",D68=""),"",MAX(0,(INDEX(Personnel!$G$5:$G$19,MATCH($A68,Personnel!$A$5:$A$19,0))/12)*((MIN(EOMONTH(E68,0),IF(INDEX(Personnel!$K$5:$K$19,MATCH($A68,Personnel!$A$5:$A$19,0))="",EOMONTH(E68,0),INDEX(Personnel!$K$5:$K$19,MATCH($A68,Personnel!$A$5:$A$19,0))))-MAX(DATE(YEAR(E68),MONTH(E68),1),INDEX(Personnel!$J$5:$J$19,MATCH($A68,Personnel!$A$5:$A$19,0)))+1)/DAY(EOMONTH(E68,0))))),"")</f>
        <v/>
      </c>
      <c r="J68" s="46" t="str">
        <f aca="false">IF(OR(I68="",A68=""),"",(F68+G68+H68)-I68)</f>
        <v/>
      </c>
      <c r="K68" s="47" t="str">
        <f aca="false">IF(A68="","",IFERROR(INDEX(Personnel!$H$5:$H$19,MATCH($A68,Personnel!$A$5:$A$19,0)),""))</f>
        <v/>
      </c>
      <c r="L68" s="41" t="str">
        <f aca="false">IF(A68="","",IFERROR(INDEX(Personnel!$I$5:$I$19,MATCH($A68,Personnel!$A$5:$A$19,0)),""))</f>
        <v/>
      </c>
      <c r="M68" s="19" t="str">
        <f aca="false">IF(A68="","",F68*K68)</f>
        <v/>
      </c>
      <c r="N68" s="19" t="str">
        <f aca="false">IF(A68="","",IFERROR(G68*L68,0))</f>
        <v/>
      </c>
      <c r="O68" s="19" t="str">
        <f aca="false">IF(A68="","",H68*K68)</f>
        <v/>
      </c>
      <c r="P68" s="19" t="str">
        <f aca="false">IF(A68="","",SUM(M68:O68))</f>
        <v/>
      </c>
      <c r="Q68" s="33" t="str">
        <f aca="false">IF(P68="","",P68*Rates!$B$3)</f>
        <v/>
      </c>
      <c r="R68" s="33" t="str">
        <f aca="false">IF(P68="","",(P68+Q68)*Rates!$B$4)</f>
        <v/>
      </c>
      <c r="S68" s="19" t="str">
        <f aca="false">IF(P68="","",P68+Q68+R68)</f>
        <v/>
      </c>
    </row>
    <row r="69" customFormat="false" ht="15" hidden="false" customHeight="false" outlineLevel="0" collapsed="false">
      <c r="A69" s="12"/>
      <c r="B69" s="38" t="str">
        <f aca="false">IF(A69="","",IFERROR(INDEX(Personnel!$B$5:$B$19,MATCH($A69,Personnel!$A$5:$A$19,0)),"-- not found --"))</f>
        <v/>
      </c>
      <c r="C69" s="38" t="str">
        <f aca="false">IF(A69="","",IFERROR(INDEX(Personnel!$C$5:$C$19,MATCH($A69,Personnel!$A$5:$A$19,0)),""))</f>
        <v/>
      </c>
      <c r="D69" s="12"/>
      <c r="E69" s="27" t="str">
        <f aca="false">IF(D69="","",EDATE(Dashboard!$C$5,D69-1))</f>
        <v/>
      </c>
      <c r="F69" s="12"/>
      <c r="G69" s="12"/>
      <c r="H69" s="12"/>
      <c r="I69" s="42" t="str">
        <f aca="false">IFERROR(IF(OR(A69="",D69=""),"",MAX(0,(INDEX(Personnel!$G$5:$G$19,MATCH($A69,Personnel!$A$5:$A$19,0))/12)*((MIN(EOMONTH(E69,0),IF(INDEX(Personnel!$K$5:$K$19,MATCH($A69,Personnel!$A$5:$A$19,0))="",EOMONTH(E69,0),INDEX(Personnel!$K$5:$K$19,MATCH($A69,Personnel!$A$5:$A$19,0))))-MAX(DATE(YEAR(E69),MONTH(E69),1),INDEX(Personnel!$J$5:$J$19,MATCH($A69,Personnel!$A$5:$A$19,0)))+1)/DAY(EOMONTH(E69,0))))),"")</f>
        <v/>
      </c>
      <c r="J69" s="43" t="str">
        <f aca="false">IF(OR(I69="",A69=""),"",(F69+G69+H69)-I69)</f>
        <v/>
      </c>
      <c r="K69" s="44" t="str">
        <f aca="false">IF(A69="","",IFERROR(INDEX(Personnel!$H$5:$H$19,MATCH($A69,Personnel!$A$5:$A$19,0)),""))</f>
        <v/>
      </c>
      <c r="L69" s="38" t="str">
        <f aca="false">IF(A69="","",IFERROR(INDEX(Personnel!$I$5:$I$19,MATCH($A69,Personnel!$A$5:$A$19,0)),""))</f>
        <v/>
      </c>
      <c r="M69" s="15" t="str">
        <f aca="false">IF(A69="","",F69*K69)</f>
        <v/>
      </c>
      <c r="N69" s="15" t="str">
        <f aca="false">IF(A69="","",IFERROR(G69*L69,0))</f>
        <v/>
      </c>
      <c r="O69" s="15" t="str">
        <f aca="false">IF(A69="","",H69*K69)</f>
        <v/>
      </c>
      <c r="P69" s="15" t="str">
        <f aca="false">IF(A69="","",SUM(M69:O69))</f>
        <v/>
      </c>
      <c r="Q69" s="28" t="str">
        <f aca="false">IF(P69="","",P69*Rates!$B$3)</f>
        <v/>
      </c>
      <c r="R69" s="28" t="str">
        <f aca="false">IF(P69="","",(P69+Q69)*Rates!$B$4)</f>
        <v/>
      </c>
      <c r="S69" s="15" t="str">
        <f aca="false">IF(P69="","",P69+Q69+R69)</f>
        <v/>
      </c>
    </row>
    <row r="70" customFormat="false" ht="15" hidden="false" customHeight="false" outlineLevel="0" collapsed="false">
      <c r="A70" s="16"/>
      <c r="B70" s="41" t="str">
        <f aca="false">IF(A70="","",IFERROR(INDEX(Personnel!$B$5:$B$19,MATCH($A70,Personnel!$A$5:$A$19,0)),"-- not found --"))</f>
        <v/>
      </c>
      <c r="C70" s="41" t="str">
        <f aca="false">IF(A70="","",IFERROR(INDEX(Personnel!$C$5:$C$19,MATCH($A70,Personnel!$A$5:$A$19,0)),""))</f>
        <v/>
      </c>
      <c r="D70" s="16"/>
      <c r="E70" s="32" t="str">
        <f aca="false">IF(D70="","",EDATE(Dashboard!$C$5,D70-1))</f>
        <v/>
      </c>
      <c r="F70" s="16"/>
      <c r="G70" s="16"/>
      <c r="H70" s="16"/>
      <c r="I70" s="45" t="str">
        <f aca="false">IFERROR(IF(OR(A70="",D70=""),"",MAX(0,(INDEX(Personnel!$G$5:$G$19,MATCH($A70,Personnel!$A$5:$A$19,0))/12)*((MIN(EOMONTH(E70,0),IF(INDEX(Personnel!$K$5:$K$19,MATCH($A70,Personnel!$A$5:$A$19,0))="",EOMONTH(E70,0),INDEX(Personnel!$K$5:$K$19,MATCH($A70,Personnel!$A$5:$A$19,0))))-MAX(DATE(YEAR(E70),MONTH(E70),1),INDEX(Personnel!$J$5:$J$19,MATCH($A70,Personnel!$A$5:$A$19,0)))+1)/DAY(EOMONTH(E70,0))))),"")</f>
        <v/>
      </c>
      <c r="J70" s="46" t="str">
        <f aca="false">IF(OR(I70="",A70=""),"",(F70+G70+H70)-I70)</f>
        <v/>
      </c>
      <c r="K70" s="47" t="str">
        <f aca="false">IF(A70="","",IFERROR(INDEX(Personnel!$H$5:$H$19,MATCH($A70,Personnel!$A$5:$A$19,0)),""))</f>
        <v/>
      </c>
      <c r="L70" s="41" t="str">
        <f aca="false">IF(A70="","",IFERROR(INDEX(Personnel!$I$5:$I$19,MATCH($A70,Personnel!$A$5:$A$19,0)),""))</f>
        <v/>
      </c>
      <c r="M70" s="19" t="str">
        <f aca="false">IF(A70="","",F70*K70)</f>
        <v/>
      </c>
      <c r="N70" s="19" t="str">
        <f aca="false">IF(A70="","",IFERROR(G70*L70,0))</f>
        <v/>
      </c>
      <c r="O70" s="19" t="str">
        <f aca="false">IF(A70="","",H70*K70)</f>
        <v/>
      </c>
      <c r="P70" s="19" t="str">
        <f aca="false">IF(A70="","",SUM(M70:O70))</f>
        <v/>
      </c>
      <c r="Q70" s="33" t="str">
        <f aca="false">IF(P70="","",P70*Rates!$B$3)</f>
        <v/>
      </c>
      <c r="R70" s="33" t="str">
        <f aca="false">IF(P70="","",(P70+Q70)*Rates!$B$4)</f>
        <v/>
      </c>
      <c r="S70" s="19" t="str">
        <f aca="false">IF(P70="","",P70+Q70+R70)</f>
        <v/>
      </c>
    </row>
    <row r="71" customFormat="false" ht="15" hidden="false" customHeight="false" outlineLevel="0" collapsed="false">
      <c r="A71" s="12"/>
      <c r="B71" s="38" t="str">
        <f aca="false">IF(A71="","",IFERROR(INDEX(Personnel!$B$5:$B$19,MATCH($A71,Personnel!$A$5:$A$19,0)),"-- not found --"))</f>
        <v/>
      </c>
      <c r="C71" s="38" t="str">
        <f aca="false">IF(A71="","",IFERROR(INDEX(Personnel!$C$5:$C$19,MATCH($A71,Personnel!$A$5:$A$19,0)),""))</f>
        <v/>
      </c>
      <c r="D71" s="12"/>
      <c r="E71" s="27" t="str">
        <f aca="false">IF(D71="","",EDATE(Dashboard!$C$5,D71-1))</f>
        <v/>
      </c>
      <c r="F71" s="12"/>
      <c r="G71" s="12"/>
      <c r="H71" s="12"/>
      <c r="I71" s="42" t="str">
        <f aca="false">IFERROR(IF(OR(A71="",D71=""),"",MAX(0,(INDEX(Personnel!$G$5:$G$19,MATCH($A71,Personnel!$A$5:$A$19,0))/12)*((MIN(EOMONTH(E71,0),IF(INDEX(Personnel!$K$5:$K$19,MATCH($A71,Personnel!$A$5:$A$19,0))="",EOMONTH(E71,0),INDEX(Personnel!$K$5:$K$19,MATCH($A71,Personnel!$A$5:$A$19,0))))-MAX(DATE(YEAR(E71),MONTH(E71),1),INDEX(Personnel!$J$5:$J$19,MATCH($A71,Personnel!$A$5:$A$19,0)))+1)/DAY(EOMONTH(E71,0))))),"")</f>
        <v/>
      </c>
      <c r="J71" s="43" t="str">
        <f aca="false">IF(OR(I71="",A71=""),"",(F71+G71+H71)-I71)</f>
        <v/>
      </c>
      <c r="K71" s="44" t="str">
        <f aca="false">IF(A71="","",IFERROR(INDEX(Personnel!$H$5:$H$19,MATCH($A71,Personnel!$A$5:$A$19,0)),""))</f>
        <v/>
      </c>
      <c r="L71" s="38" t="str">
        <f aca="false">IF(A71="","",IFERROR(INDEX(Personnel!$I$5:$I$19,MATCH($A71,Personnel!$A$5:$A$19,0)),""))</f>
        <v/>
      </c>
      <c r="M71" s="15" t="str">
        <f aca="false">IF(A71="","",F71*K71)</f>
        <v/>
      </c>
      <c r="N71" s="15" t="str">
        <f aca="false">IF(A71="","",IFERROR(G71*L71,0))</f>
        <v/>
      </c>
      <c r="O71" s="15" t="str">
        <f aca="false">IF(A71="","",H71*K71)</f>
        <v/>
      </c>
      <c r="P71" s="15" t="str">
        <f aca="false">IF(A71="","",SUM(M71:O71))</f>
        <v/>
      </c>
      <c r="Q71" s="28" t="str">
        <f aca="false">IF(P71="","",P71*Rates!$B$3)</f>
        <v/>
      </c>
      <c r="R71" s="28" t="str">
        <f aca="false">IF(P71="","",(P71+Q71)*Rates!$B$4)</f>
        <v/>
      </c>
      <c r="S71" s="15" t="str">
        <f aca="false">IF(P71="","",P71+Q71+R71)</f>
        <v/>
      </c>
    </row>
    <row r="72" customFormat="false" ht="15" hidden="false" customHeight="false" outlineLevel="0" collapsed="false">
      <c r="A72" s="16"/>
      <c r="B72" s="41" t="str">
        <f aca="false">IF(A72="","",IFERROR(INDEX(Personnel!$B$5:$B$19,MATCH($A72,Personnel!$A$5:$A$19,0)),"-- not found --"))</f>
        <v/>
      </c>
      <c r="C72" s="41" t="str">
        <f aca="false">IF(A72="","",IFERROR(INDEX(Personnel!$C$5:$C$19,MATCH($A72,Personnel!$A$5:$A$19,0)),""))</f>
        <v/>
      </c>
      <c r="D72" s="16"/>
      <c r="E72" s="32" t="str">
        <f aca="false">IF(D72="","",EDATE(Dashboard!$C$5,D72-1))</f>
        <v/>
      </c>
      <c r="F72" s="16"/>
      <c r="G72" s="16"/>
      <c r="H72" s="16"/>
      <c r="I72" s="45" t="str">
        <f aca="false">IFERROR(IF(OR(A72="",D72=""),"",MAX(0,(INDEX(Personnel!$G$5:$G$19,MATCH($A72,Personnel!$A$5:$A$19,0))/12)*((MIN(EOMONTH(E72,0),IF(INDEX(Personnel!$K$5:$K$19,MATCH($A72,Personnel!$A$5:$A$19,0))="",EOMONTH(E72,0),INDEX(Personnel!$K$5:$K$19,MATCH($A72,Personnel!$A$5:$A$19,0))))-MAX(DATE(YEAR(E72),MONTH(E72),1),INDEX(Personnel!$J$5:$J$19,MATCH($A72,Personnel!$A$5:$A$19,0)))+1)/DAY(EOMONTH(E72,0))))),"")</f>
        <v/>
      </c>
      <c r="J72" s="46" t="str">
        <f aca="false">IF(OR(I72="",A72=""),"",(F72+G72+H72)-I72)</f>
        <v/>
      </c>
      <c r="K72" s="47" t="str">
        <f aca="false">IF(A72="","",IFERROR(INDEX(Personnel!$H$5:$H$19,MATCH($A72,Personnel!$A$5:$A$19,0)),""))</f>
        <v/>
      </c>
      <c r="L72" s="41" t="str">
        <f aca="false">IF(A72="","",IFERROR(INDEX(Personnel!$I$5:$I$19,MATCH($A72,Personnel!$A$5:$A$19,0)),""))</f>
        <v/>
      </c>
      <c r="M72" s="19" t="str">
        <f aca="false">IF(A72="","",F72*K72)</f>
        <v/>
      </c>
      <c r="N72" s="19" t="str">
        <f aca="false">IF(A72="","",IFERROR(G72*L72,0))</f>
        <v/>
      </c>
      <c r="O72" s="19" t="str">
        <f aca="false">IF(A72="","",H72*K72)</f>
        <v/>
      </c>
      <c r="P72" s="19" t="str">
        <f aca="false">IF(A72="","",SUM(M72:O72))</f>
        <v/>
      </c>
      <c r="Q72" s="33" t="str">
        <f aca="false">IF(P72="","",P72*Rates!$B$3)</f>
        <v/>
      </c>
      <c r="R72" s="33" t="str">
        <f aca="false">IF(P72="","",(P72+Q72)*Rates!$B$4)</f>
        <v/>
      </c>
      <c r="S72" s="19" t="str">
        <f aca="false">IF(P72="","",P72+Q72+R72)</f>
        <v/>
      </c>
    </row>
    <row r="73" customFormat="false" ht="15" hidden="false" customHeight="false" outlineLevel="0" collapsed="false">
      <c r="A73" s="12"/>
      <c r="B73" s="38" t="str">
        <f aca="false">IF(A73="","",IFERROR(INDEX(Personnel!$B$5:$B$19,MATCH($A73,Personnel!$A$5:$A$19,0)),"-- not found --"))</f>
        <v/>
      </c>
      <c r="C73" s="38" t="str">
        <f aca="false">IF(A73="","",IFERROR(INDEX(Personnel!$C$5:$C$19,MATCH($A73,Personnel!$A$5:$A$19,0)),""))</f>
        <v/>
      </c>
      <c r="D73" s="12"/>
      <c r="E73" s="27" t="str">
        <f aca="false">IF(D73="","",EDATE(Dashboard!$C$5,D73-1))</f>
        <v/>
      </c>
      <c r="F73" s="12"/>
      <c r="G73" s="12"/>
      <c r="H73" s="12"/>
      <c r="I73" s="42" t="str">
        <f aca="false">IFERROR(IF(OR(A73="",D73=""),"",MAX(0,(INDEX(Personnel!$G$5:$G$19,MATCH($A73,Personnel!$A$5:$A$19,0))/12)*((MIN(EOMONTH(E73,0),IF(INDEX(Personnel!$K$5:$K$19,MATCH($A73,Personnel!$A$5:$A$19,0))="",EOMONTH(E73,0),INDEX(Personnel!$K$5:$K$19,MATCH($A73,Personnel!$A$5:$A$19,0))))-MAX(DATE(YEAR(E73),MONTH(E73),1),INDEX(Personnel!$J$5:$J$19,MATCH($A73,Personnel!$A$5:$A$19,0)))+1)/DAY(EOMONTH(E73,0))))),"")</f>
        <v/>
      </c>
      <c r="J73" s="43" t="str">
        <f aca="false">IF(OR(I73="",A73=""),"",(F73+G73+H73)-I73)</f>
        <v/>
      </c>
      <c r="K73" s="44" t="str">
        <f aca="false">IF(A73="","",IFERROR(INDEX(Personnel!$H$5:$H$19,MATCH($A73,Personnel!$A$5:$A$19,0)),""))</f>
        <v/>
      </c>
      <c r="L73" s="38" t="str">
        <f aca="false">IF(A73="","",IFERROR(INDEX(Personnel!$I$5:$I$19,MATCH($A73,Personnel!$A$5:$A$19,0)),""))</f>
        <v/>
      </c>
      <c r="M73" s="15" t="str">
        <f aca="false">IF(A73="","",F73*K73)</f>
        <v/>
      </c>
      <c r="N73" s="15" t="str">
        <f aca="false">IF(A73="","",IFERROR(G73*L73,0))</f>
        <v/>
      </c>
      <c r="O73" s="15" t="str">
        <f aca="false">IF(A73="","",H73*K73)</f>
        <v/>
      </c>
      <c r="P73" s="15" t="str">
        <f aca="false">IF(A73="","",SUM(M73:O73))</f>
        <v/>
      </c>
      <c r="Q73" s="28" t="str">
        <f aca="false">IF(P73="","",P73*Rates!$B$3)</f>
        <v/>
      </c>
      <c r="R73" s="28" t="str">
        <f aca="false">IF(P73="","",(P73+Q73)*Rates!$B$4)</f>
        <v/>
      </c>
      <c r="S73" s="15" t="str">
        <f aca="false">IF(P73="","",P73+Q73+R73)</f>
        <v/>
      </c>
    </row>
    <row r="74" customFormat="false" ht="15" hidden="false" customHeight="false" outlineLevel="0" collapsed="false">
      <c r="A74" s="16"/>
      <c r="B74" s="41" t="str">
        <f aca="false">IF(A74="","",IFERROR(INDEX(Personnel!$B$5:$B$19,MATCH($A74,Personnel!$A$5:$A$19,0)),"-- not found --"))</f>
        <v/>
      </c>
      <c r="C74" s="41" t="str">
        <f aca="false">IF(A74="","",IFERROR(INDEX(Personnel!$C$5:$C$19,MATCH($A74,Personnel!$A$5:$A$19,0)),""))</f>
        <v/>
      </c>
      <c r="D74" s="16"/>
      <c r="E74" s="32" t="str">
        <f aca="false">IF(D74="","",EDATE(Dashboard!$C$5,D74-1))</f>
        <v/>
      </c>
      <c r="F74" s="16"/>
      <c r="G74" s="16"/>
      <c r="H74" s="16"/>
      <c r="I74" s="45" t="str">
        <f aca="false">IFERROR(IF(OR(A74="",D74=""),"",MAX(0,(INDEX(Personnel!$G$5:$G$19,MATCH($A74,Personnel!$A$5:$A$19,0))/12)*((MIN(EOMONTH(E74,0),IF(INDEX(Personnel!$K$5:$K$19,MATCH($A74,Personnel!$A$5:$A$19,0))="",EOMONTH(E74,0),INDEX(Personnel!$K$5:$K$19,MATCH($A74,Personnel!$A$5:$A$19,0))))-MAX(DATE(YEAR(E74),MONTH(E74),1),INDEX(Personnel!$J$5:$J$19,MATCH($A74,Personnel!$A$5:$A$19,0)))+1)/DAY(EOMONTH(E74,0))))),"")</f>
        <v/>
      </c>
      <c r="J74" s="46" t="str">
        <f aca="false">IF(OR(I74="",A74=""),"",(F74+G74+H74)-I74)</f>
        <v/>
      </c>
      <c r="K74" s="47" t="str">
        <f aca="false">IF(A74="","",IFERROR(INDEX(Personnel!$H$5:$H$19,MATCH($A74,Personnel!$A$5:$A$19,0)),""))</f>
        <v/>
      </c>
      <c r="L74" s="41" t="str">
        <f aca="false">IF(A74="","",IFERROR(INDEX(Personnel!$I$5:$I$19,MATCH($A74,Personnel!$A$5:$A$19,0)),""))</f>
        <v/>
      </c>
      <c r="M74" s="19" t="str">
        <f aca="false">IF(A74="","",F74*K74)</f>
        <v/>
      </c>
      <c r="N74" s="19" t="str">
        <f aca="false">IF(A74="","",IFERROR(G74*L74,0))</f>
        <v/>
      </c>
      <c r="O74" s="19" t="str">
        <f aca="false">IF(A74="","",H74*K74)</f>
        <v/>
      </c>
      <c r="P74" s="19" t="str">
        <f aca="false">IF(A74="","",SUM(M74:O74))</f>
        <v/>
      </c>
      <c r="Q74" s="33" t="str">
        <f aca="false">IF(P74="","",P74*Rates!$B$3)</f>
        <v/>
      </c>
      <c r="R74" s="33" t="str">
        <f aca="false">IF(P74="","",(P74+Q74)*Rates!$B$4)</f>
        <v/>
      </c>
      <c r="S74" s="19" t="str">
        <f aca="false">IF(P74="","",P74+Q74+R74)</f>
        <v/>
      </c>
    </row>
    <row r="75" customFormat="false" ht="15" hidden="false" customHeight="false" outlineLevel="0" collapsed="false">
      <c r="A75" s="12"/>
      <c r="B75" s="38" t="str">
        <f aca="false">IF(A75="","",IFERROR(INDEX(Personnel!$B$5:$B$19,MATCH($A75,Personnel!$A$5:$A$19,0)),"-- not found --"))</f>
        <v/>
      </c>
      <c r="C75" s="38" t="str">
        <f aca="false">IF(A75="","",IFERROR(INDEX(Personnel!$C$5:$C$19,MATCH($A75,Personnel!$A$5:$A$19,0)),""))</f>
        <v/>
      </c>
      <c r="D75" s="12"/>
      <c r="E75" s="27" t="str">
        <f aca="false">IF(D75="","",EDATE(Dashboard!$C$5,D75-1))</f>
        <v/>
      </c>
      <c r="F75" s="12"/>
      <c r="G75" s="12"/>
      <c r="H75" s="12"/>
      <c r="I75" s="42" t="str">
        <f aca="false">IFERROR(IF(OR(A75="",D75=""),"",MAX(0,(INDEX(Personnel!$G$5:$G$19,MATCH($A75,Personnel!$A$5:$A$19,0))/12)*((MIN(EOMONTH(E75,0),IF(INDEX(Personnel!$K$5:$K$19,MATCH($A75,Personnel!$A$5:$A$19,0))="",EOMONTH(E75,0),INDEX(Personnel!$K$5:$K$19,MATCH($A75,Personnel!$A$5:$A$19,0))))-MAX(DATE(YEAR(E75),MONTH(E75),1),INDEX(Personnel!$J$5:$J$19,MATCH($A75,Personnel!$A$5:$A$19,0)))+1)/DAY(EOMONTH(E75,0))))),"")</f>
        <v/>
      </c>
      <c r="J75" s="43" t="str">
        <f aca="false">IF(OR(I75="",A75=""),"",(F75+G75+H75)-I75)</f>
        <v/>
      </c>
      <c r="K75" s="44" t="str">
        <f aca="false">IF(A75="","",IFERROR(INDEX(Personnel!$H$5:$H$19,MATCH($A75,Personnel!$A$5:$A$19,0)),""))</f>
        <v/>
      </c>
      <c r="L75" s="38" t="str">
        <f aca="false">IF(A75="","",IFERROR(INDEX(Personnel!$I$5:$I$19,MATCH($A75,Personnel!$A$5:$A$19,0)),""))</f>
        <v/>
      </c>
      <c r="M75" s="15" t="str">
        <f aca="false">IF(A75="","",F75*K75)</f>
        <v/>
      </c>
      <c r="N75" s="15" t="str">
        <f aca="false">IF(A75="","",IFERROR(G75*L75,0))</f>
        <v/>
      </c>
      <c r="O75" s="15" t="str">
        <f aca="false">IF(A75="","",H75*K75)</f>
        <v/>
      </c>
      <c r="P75" s="15" t="str">
        <f aca="false">IF(A75="","",SUM(M75:O75))</f>
        <v/>
      </c>
      <c r="Q75" s="28" t="str">
        <f aca="false">IF(P75="","",P75*Rates!$B$3)</f>
        <v/>
      </c>
      <c r="R75" s="28" t="str">
        <f aca="false">IF(P75="","",(P75+Q75)*Rates!$B$4)</f>
        <v/>
      </c>
      <c r="S75" s="15" t="str">
        <f aca="false">IF(P75="","",P75+Q75+R75)</f>
        <v/>
      </c>
    </row>
    <row r="76" customFormat="false" ht="15" hidden="false" customHeight="false" outlineLevel="0" collapsed="false">
      <c r="A76" s="16"/>
      <c r="B76" s="41" t="str">
        <f aca="false">IF(A76="","",IFERROR(INDEX(Personnel!$B$5:$B$19,MATCH($A76,Personnel!$A$5:$A$19,0)),"-- not found --"))</f>
        <v/>
      </c>
      <c r="C76" s="41" t="str">
        <f aca="false">IF(A76="","",IFERROR(INDEX(Personnel!$C$5:$C$19,MATCH($A76,Personnel!$A$5:$A$19,0)),""))</f>
        <v/>
      </c>
      <c r="D76" s="16"/>
      <c r="E76" s="32" t="str">
        <f aca="false">IF(D76="","",EDATE(Dashboard!$C$5,D76-1))</f>
        <v/>
      </c>
      <c r="F76" s="16"/>
      <c r="G76" s="16"/>
      <c r="H76" s="16"/>
      <c r="I76" s="45" t="str">
        <f aca="false">IFERROR(IF(OR(A76="",D76=""),"",MAX(0,(INDEX(Personnel!$G$5:$G$19,MATCH($A76,Personnel!$A$5:$A$19,0))/12)*((MIN(EOMONTH(E76,0),IF(INDEX(Personnel!$K$5:$K$19,MATCH($A76,Personnel!$A$5:$A$19,0))="",EOMONTH(E76,0),INDEX(Personnel!$K$5:$K$19,MATCH($A76,Personnel!$A$5:$A$19,0))))-MAX(DATE(YEAR(E76),MONTH(E76),1),INDEX(Personnel!$J$5:$J$19,MATCH($A76,Personnel!$A$5:$A$19,0)))+1)/DAY(EOMONTH(E76,0))))),"")</f>
        <v/>
      </c>
      <c r="J76" s="46" t="str">
        <f aca="false">IF(OR(I76="",A76=""),"",(F76+G76+H76)-I76)</f>
        <v/>
      </c>
      <c r="K76" s="47" t="str">
        <f aca="false">IF(A76="","",IFERROR(INDEX(Personnel!$H$5:$H$19,MATCH($A76,Personnel!$A$5:$A$19,0)),""))</f>
        <v/>
      </c>
      <c r="L76" s="41" t="str">
        <f aca="false">IF(A76="","",IFERROR(INDEX(Personnel!$I$5:$I$19,MATCH($A76,Personnel!$A$5:$A$19,0)),""))</f>
        <v/>
      </c>
      <c r="M76" s="19" t="str">
        <f aca="false">IF(A76="","",F76*K76)</f>
        <v/>
      </c>
      <c r="N76" s="19" t="str">
        <f aca="false">IF(A76="","",IFERROR(G76*L76,0))</f>
        <v/>
      </c>
      <c r="O76" s="19" t="str">
        <f aca="false">IF(A76="","",H76*K76)</f>
        <v/>
      </c>
      <c r="P76" s="19" t="str">
        <f aca="false">IF(A76="","",SUM(M76:O76))</f>
        <v/>
      </c>
      <c r="Q76" s="33" t="str">
        <f aca="false">IF(P76="","",P76*Rates!$B$3)</f>
        <v/>
      </c>
      <c r="R76" s="33" t="str">
        <f aca="false">IF(P76="","",(P76+Q76)*Rates!$B$4)</f>
        <v/>
      </c>
      <c r="S76" s="19" t="str">
        <f aca="false">IF(P76="","",P76+Q76+R76)</f>
        <v/>
      </c>
    </row>
    <row r="77" customFormat="false" ht="15" hidden="false" customHeight="false" outlineLevel="0" collapsed="false">
      <c r="A77" s="12"/>
      <c r="B77" s="38" t="str">
        <f aca="false">IF(A77="","",IFERROR(INDEX(Personnel!$B$5:$B$19,MATCH($A77,Personnel!$A$5:$A$19,0)),"-- not found --"))</f>
        <v/>
      </c>
      <c r="C77" s="38" t="str">
        <f aca="false">IF(A77="","",IFERROR(INDEX(Personnel!$C$5:$C$19,MATCH($A77,Personnel!$A$5:$A$19,0)),""))</f>
        <v/>
      </c>
      <c r="D77" s="12"/>
      <c r="E77" s="27" t="str">
        <f aca="false">IF(D77="","",EDATE(Dashboard!$C$5,D77-1))</f>
        <v/>
      </c>
      <c r="F77" s="12"/>
      <c r="G77" s="12"/>
      <c r="H77" s="12"/>
      <c r="I77" s="42" t="str">
        <f aca="false">IFERROR(IF(OR(A77="",D77=""),"",MAX(0,(INDEX(Personnel!$G$5:$G$19,MATCH($A77,Personnel!$A$5:$A$19,0))/12)*((MIN(EOMONTH(E77,0),IF(INDEX(Personnel!$K$5:$K$19,MATCH($A77,Personnel!$A$5:$A$19,0))="",EOMONTH(E77,0),INDEX(Personnel!$K$5:$K$19,MATCH($A77,Personnel!$A$5:$A$19,0))))-MAX(DATE(YEAR(E77),MONTH(E77),1),INDEX(Personnel!$J$5:$J$19,MATCH($A77,Personnel!$A$5:$A$19,0)))+1)/DAY(EOMONTH(E77,0))))),"")</f>
        <v/>
      </c>
      <c r="J77" s="43" t="str">
        <f aca="false">IF(OR(I77="",A77=""),"",(F77+G77+H77)-I77)</f>
        <v/>
      </c>
      <c r="K77" s="44" t="str">
        <f aca="false">IF(A77="","",IFERROR(INDEX(Personnel!$H$5:$H$19,MATCH($A77,Personnel!$A$5:$A$19,0)),""))</f>
        <v/>
      </c>
      <c r="L77" s="38" t="str">
        <f aca="false">IF(A77="","",IFERROR(INDEX(Personnel!$I$5:$I$19,MATCH($A77,Personnel!$A$5:$A$19,0)),""))</f>
        <v/>
      </c>
      <c r="M77" s="15" t="str">
        <f aca="false">IF(A77="","",F77*K77)</f>
        <v/>
      </c>
      <c r="N77" s="15" t="str">
        <f aca="false">IF(A77="","",IFERROR(G77*L77,0))</f>
        <v/>
      </c>
      <c r="O77" s="15" t="str">
        <f aca="false">IF(A77="","",H77*K77)</f>
        <v/>
      </c>
      <c r="P77" s="15" t="str">
        <f aca="false">IF(A77="","",SUM(M77:O77))</f>
        <v/>
      </c>
      <c r="Q77" s="28" t="str">
        <f aca="false">IF(P77="","",P77*Rates!$B$3)</f>
        <v/>
      </c>
      <c r="R77" s="28" t="str">
        <f aca="false">IF(P77="","",(P77+Q77)*Rates!$B$4)</f>
        <v/>
      </c>
      <c r="S77" s="15" t="str">
        <f aca="false">IF(P77="","",P77+Q77+R77)</f>
        <v/>
      </c>
    </row>
    <row r="78" customFormat="false" ht="15" hidden="false" customHeight="false" outlineLevel="0" collapsed="false">
      <c r="A78" s="16"/>
      <c r="B78" s="41" t="str">
        <f aca="false">IF(A78="","",IFERROR(INDEX(Personnel!$B$5:$B$19,MATCH($A78,Personnel!$A$5:$A$19,0)),"-- not found --"))</f>
        <v/>
      </c>
      <c r="C78" s="41" t="str">
        <f aca="false">IF(A78="","",IFERROR(INDEX(Personnel!$C$5:$C$19,MATCH($A78,Personnel!$A$5:$A$19,0)),""))</f>
        <v/>
      </c>
      <c r="D78" s="16"/>
      <c r="E78" s="32" t="str">
        <f aca="false">IF(D78="","",EDATE(Dashboard!$C$5,D78-1))</f>
        <v/>
      </c>
      <c r="F78" s="16"/>
      <c r="G78" s="16"/>
      <c r="H78" s="16"/>
      <c r="I78" s="45" t="str">
        <f aca="false">IFERROR(IF(OR(A78="",D78=""),"",MAX(0,(INDEX(Personnel!$G$5:$G$19,MATCH($A78,Personnel!$A$5:$A$19,0))/12)*((MIN(EOMONTH(E78,0),IF(INDEX(Personnel!$K$5:$K$19,MATCH($A78,Personnel!$A$5:$A$19,0))="",EOMONTH(E78,0),INDEX(Personnel!$K$5:$K$19,MATCH($A78,Personnel!$A$5:$A$19,0))))-MAX(DATE(YEAR(E78),MONTH(E78),1),INDEX(Personnel!$J$5:$J$19,MATCH($A78,Personnel!$A$5:$A$19,0)))+1)/DAY(EOMONTH(E78,0))))),"")</f>
        <v/>
      </c>
      <c r="J78" s="46" t="str">
        <f aca="false">IF(OR(I78="",A78=""),"",(F78+G78+H78)-I78)</f>
        <v/>
      </c>
      <c r="K78" s="47" t="str">
        <f aca="false">IF(A78="","",IFERROR(INDEX(Personnel!$H$5:$H$19,MATCH($A78,Personnel!$A$5:$A$19,0)),""))</f>
        <v/>
      </c>
      <c r="L78" s="41" t="str">
        <f aca="false">IF(A78="","",IFERROR(INDEX(Personnel!$I$5:$I$19,MATCH($A78,Personnel!$A$5:$A$19,0)),""))</f>
        <v/>
      </c>
      <c r="M78" s="19" t="str">
        <f aca="false">IF(A78="","",F78*K78)</f>
        <v/>
      </c>
      <c r="N78" s="19" t="str">
        <f aca="false">IF(A78="","",IFERROR(G78*L78,0))</f>
        <v/>
      </c>
      <c r="O78" s="19" t="str">
        <f aca="false">IF(A78="","",H78*K78)</f>
        <v/>
      </c>
      <c r="P78" s="19" t="str">
        <f aca="false">IF(A78="","",SUM(M78:O78))</f>
        <v/>
      </c>
      <c r="Q78" s="33" t="str">
        <f aca="false">IF(P78="","",P78*Rates!$B$3)</f>
        <v/>
      </c>
      <c r="R78" s="33" t="str">
        <f aca="false">IF(P78="","",(P78+Q78)*Rates!$B$4)</f>
        <v/>
      </c>
      <c r="S78" s="19" t="str">
        <f aca="false">IF(P78="","",P78+Q78+R78)</f>
        <v/>
      </c>
    </row>
    <row r="79" customFormat="false" ht="15" hidden="false" customHeight="false" outlineLevel="0" collapsed="false">
      <c r="A79" s="12"/>
      <c r="B79" s="38" t="str">
        <f aca="false">IF(A79="","",IFERROR(INDEX(Personnel!$B$5:$B$19,MATCH($A79,Personnel!$A$5:$A$19,0)),"-- not found --"))</f>
        <v/>
      </c>
      <c r="C79" s="38" t="str">
        <f aca="false">IF(A79="","",IFERROR(INDEX(Personnel!$C$5:$C$19,MATCH($A79,Personnel!$A$5:$A$19,0)),""))</f>
        <v/>
      </c>
      <c r="D79" s="12"/>
      <c r="E79" s="27" t="str">
        <f aca="false">IF(D79="","",EDATE(Dashboard!$C$5,D79-1))</f>
        <v/>
      </c>
      <c r="F79" s="12"/>
      <c r="G79" s="12"/>
      <c r="H79" s="12"/>
      <c r="I79" s="42" t="str">
        <f aca="false">IFERROR(IF(OR(A79="",D79=""),"",MAX(0,(INDEX(Personnel!$G$5:$G$19,MATCH($A79,Personnel!$A$5:$A$19,0))/12)*((MIN(EOMONTH(E79,0),IF(INDEX(Personnel!$K$5:$K$19,MATCH($A79,Personnel!$A$5:$A$19,0))="",EOMONTH(E79,0),INDEX(Personnel!$K$5:$K$19,MATCH($A79,Personnel!$A$5:$A$19,0))))-MAX(DATE(YEAR(E79),MONTH(E79),1),INDEX(Personnel!$J$5:$J$19,MATCH($A79,Personnel!$A$5:$A$19,0)))+1)/DAY(EOMONTH(E79,0))))),"")</f>
        <v/>
      </c>
      <c r="J79" s="43" t="str">
        <f aca="false">IF(OR(I79="",A79=""),"",(F79+G79+H79)-I79)</f>
        <v/>
      </c>
      <c r="K79" s="44" t="str">
        <f aca="false">IF(A79="","",IFERROR(INDEX(Personnel!$H$5:$H$19,MATCH($A79,Personnel!$A$5:$A$19,0)),""))</f>
        <v/>
      </c>
      <c r="L79" s="38" t="str">
        <f aca="false">IF(A79="","",IFERROR(INDEX(Personnel!$I$5:$I$19,MATCH($A79,Personnel!$A$5:$A$19,0)),""))</f>
        <v/>
      </c>
      <c r="M79" s="15" t="str">
        <f aca="false">IF(A79="","",F79*K79)</f>
        <v/>
      </c>
      <c r="N79" s="15" t="str">
        <f aca="false">IF(A79="","",IFERROR(G79*L79,0))</f>
        <v/>
      </c>
      <c r="O79" s="15" t="str">
        <f aca="false">IF(A79="","",H79*K79)</f>
        <v/>
      </c>
      <c r="P79" s="15" t="str">
        <f aca="false">IF(A79="","",SUM(M79:O79))</f>
        <v/>
      </c>
      <c r="Q79" s="28" t="str">
        <f aca="false">IF(P79="","",P79*Rates!$B$3)</f>
        <v/>
      </c>
      <c r="R79" s="28" t="str">
        <f aca="false">IF(P79="","",(P79+Q79)*Rates!$B$4)</f>
        <v/>
      </c>
      <c r="S79" s="15" t="str">
        <f aca="false">IF(P79="","",P79+Q79+R79)</f>
        <v/>
      </c>
    </row>
    <row r="80" customFormat="false" ht="15" hidden="false" customHeight="false" outlineLevel="0" collapsed="false">
      <c r="A80" s="16"/>
      <c r="B80" s="41" t="str">
        <f aca="false">IF(A80="","",IFERROR(INDEX(Personnel!$B$5:$B$19,MATCH($A80,Personnel!$A$5:$A$19,0)),"-- not found --"))</f>
        <v/>
      </c>
      <c r="C80" s="41" t="str">
        <f aca="false">IF(A80="","",IFERROR(INDEX(Personnel!$C$5:$C$19,MATCH($A80,Personnel!$A$5:$A$19,0)),""))</f>
        <v/>
      </c>
      <c r="D80" s="16"/>
      <c r="E80" s="32" t="str">
        <f aca="false">IF(D80="","",EDATE(Dashboard!$C$5,D80-1))</f>
        <v/>
      </c>
      <c r="F80" s="16"/>
      <c r="G80" s="16"/>
      <c r="H80" s="16"/>
      <c r="I80" s="45" t="str">
        <f aca="false">IFERROR(IF(OR(A80="",D80=""),"",MAX(0,(INDEX(Personnel!$G$5:$G$19,MATCH($A80,Personnel!$A$5:$A$19,0))/12)*((MIN(EOMONTH(E80,0),IF(INDEX(Personnel!$K$5:$K$19,MATCH($A80,Personnel!$A$5:$A$19,0))="",EOMONTH(E80,0),INDEX(Personnel!$K$5:$K$19,MATCH($A80,Personnel!$A$5:$A$19,0))))-MAX(DATE(YEAR(E80),MONTH(E80),1),INDEX(Personnel!$J$5:$J$19,MATCH($A80,Personnel!$A$5:$A$19,0)))+1)/DAY(EOMONTH(E80,0))))),"")</f>
        <v/>
      </c>
      <c r="J80" s="46" t="str">
        <f aca="false">IF(OR(I80="",A80=""),"",(F80+G80+H80)-I80)</f>
        <v/>
      </c>
      <c r="K80" s="47" t="str">
        <f aca="false">IF(A80="","",IFERROR(INDEX(Personnel!$H$5:$H$19,MATCH($A80,Personnel!$A$5:$A$19,0)),""))</f>
        <v/>
      </c>
      <c r="L80" s="41" t="str">
        <f aca="false">IF(A80="","",IFERROR(INDEX(Personnel!$I$5:$I$19,MATCH($A80,Personnel!$A$5:$A$19,0)),""))</f>
        <v/>
      </c>
      <c r="M80" s="19" t="str">
        <f aca="false">IF(A80="","",F80*K80)</f>
        <v/>
      </c>
      <c r="N80" s="19" t="str">
        <f aca="false">IF(A80="","",IFERROR(G80*L80,0))</f>
        <v/>
      </c>
      <c r="O80" s="19" t="str">
        <f aca="false">IF(A80="","",H80*K80)</f>
        <v/>
      </c>
      <c r="P80" s="19" t="str">
        <f aca="false">IF(A80="","",SUM(M80:O80))</f>
        <v/>
      </c>
      <c r="Q80" s="33" t="str">
        <f aca="false">IF(P80="","",P80*Rates!$B$3)</f>
        <v/>
      </c>
      <c r="R80" s="33" t="str">
        <f aca="false">IF(P80="","",(P80+Q80)*Rates!$B$4)</f>
        <v/>
      </c>
      <c r="S80" s="19" t="str">
        <f aca="false">IF(P80="","",P80+Q80+R80)</f>
        <v/>
      </c>
    </row>
    <row r="81" customFormat="false" ht="15" hidden="false" customHeight="false" outlineLevel="0" collapsed="false">
      <c r="A81" s="12"/>
      <c r="B81" s="38" t="str">
        <f aca="false">IF(A81="","",IFERROR(INDEX(Personnel!$B$5:$B$19,MATCH($A81,Personnel!$A$5:$A$19,0)),"-- not found --"))</f>
        <v/>
      </c>
      <c r="C81" s="38" t="str">
        <f aca="false">IF(A81="","",IFERROR(INDEX(Personnel!$C$5:$C$19,MATCH($A81,Personnel!$A$5:$A$19,0)),""))</f>
        <v/>
      </c>
      <c r="D81" s="12"/>
      <c r="E81" s="27" t="str">
        <f aca="false">IF(D81="","",EDATE(Dashboard!$C$5,D81-1))</f>
        <v/>
      </c>
      <c r="F81" s="12"/>
      <c r="G81" s="12"/>
      <c r="H81" s="12"/>
      <c r="I81" s="42" t="str">
        <f aca="false">IFERROR(IF(OR(A81="",D81=""),"",MAX(0,(INDEX(Personnel!$G$5:$G$19,MATCH($A81,Personnel!$A$5:$A$19,0))/12)*((MIN(EOMONTH(E81,0),IF(INDEX(Personnel!$K$5:$K$19,MATCH($A81,Personnel!$A$5:$A$19,0))="",EOMONTH(E81,0),INDEX(Personnel!$K$5:$K$19,MATCH($A81,Personnel!$A$5:$A$19,0))))-MAX(DATE(YEAR(E81),MONTH(E81),1),INDEX(Personnel!$J$5:$J$19,MATCH($A81,Personnel!$A$5:$A$19,0)))+1)/DAY(EOMONTH(E81,0))))),"")</f>
        <v/>
      </c>
      <c r="J81" s="43" t="str">
        <f aca="false">IF(OR(I81="",A81=""),"",(F81+G81+H81)-I81)</f>
        <v/>
      </c>
      <c r="K81" s="44" t="str">
        <f aca="false">IF(A81="","",IFERROR(INDEX(Personnel!$H$5:$H$19,MATCH($A81,Personnel!$A$5:$A$19,0)),""))</f>
        <v/>
      </c>
      <c r="L81" s="38" t="str">
        <f aca="false">IF(A81="","",IFERROR(INDEX(Personnel!$I$5:$I$19,MATCH($A81,Personnel!$A$5:$A$19,0)),""))</f>
        <v/>
      </c>
      <c r="M81" s="15" t="str">
        <f aca="false">IF(A81="","",F81*K81)</f>
        <v/>
      </c>
      <c r="N81" s="15" t="str">
        <f aca="false">IF(A81="","",IFERROR(G81*L81,0))</f>
        <v/>
      </c>
      <c r="O81" s="15" t="str">
        <f aca="false">IF(A81="","",H81*K81)</f>
        <v/>
      </c>
      <c r="P81" s="15" t="str">
        <f aca="false">IF(A81="","",SUM(M81:O81))</f>
        <v/>
      </c>
      <c r="Q81" s="28" t="str">
        <f aca="false">IF(P81="","",P81*Rates!$B$3)</f>
        <v/>
      </c>
      <c r="R81" s="28" t="str">
        <f aca="false">IF(P81="","",(P81+Q81)*Rates!$B$4)</f>
        <v/>
      </c>
      <c r="S81" s="15" t="str">
        <f aca="false">IF(P81="","",P81+Q81+R81)</f>
        <v/>
      </c>
    </row>
    <row r="82" customFormat="false" ht="15" hidden="false" customHeight="false" outlineLevel="0" collapsed="false">
      <c r="A82" s="16"/>
      <c r="B82" s="41" t="str">
        <f aca="false">IF(A82="","",IFERROR(INDEX(Personnel!$B$5:$B$19,MATCH($A82,Personnel!$A$5:$A$19,0)),"-- not found --"))</f>
        <v/>
      </c>
      <c r="C82" s="41" t="str">
        <f aca="false">IF(A82="","",IFERROR(INDEX(Personnel!$C$5:$C$19,MATCH($A82,Personnel!$A$5:$A$19,0)),""))</f>
        <v/>
      </c>
      <c r="D82" s="16"/>
      <c r="E82" s="32" t="str">
        <f aca="false">IF(D82="","",EDATE(Dashboard!$C$5,D82-1))</f>
        <v/>
      </c>
      <c r="F82" s="16"/>
      <c r="G82" s="16"/>
      <c r="H82" s="16"/>
      <c r="I82" s="45" t="str">
        <f aca="false">IFERROR(IF(OR(A82="",D82=""),"",MAX(0,(INDEX(Personnel!$G$5:$G$19,MATCH($A82,Personnel!$A$5:$A$19,0))/12)*((MIN(EOMONTH(E82,0),IF(INDEX(Personnel!$K$5:$K$19,MATCH($A82,Personnel!$A$5:$A$19,0))="",EOMONTH(E82,0),INDEX(Personnel!$K$5:$K$19,MATCH($A82,Personnel!$A$5:$A$19,0))))-MAX(DATE(YEAR(E82),MONTH(E82),1),INDEX(Personnel!$J$5:$J$19,MATCH($A82,Personnel!$A$5:$A$19,0)))+1)/DAY(EOMONTH(E82,0))))),"")</f>
        <v/>
      </c>
      <c r="J82" s="46" t="str">
        <f aca="false">IF(OR(I82="",A82=""),"",(F82+G82+H82)-I82)</f>
        <v/>
      </c>
      <c r="K82" s="47" t="str">
        <f aca="false">IF(A82="","",IFERROR(INDEX(Personnel!$H$5:$H$19,MATCH($A82,Personnel!$A$5:$A$19,0)),""))</f>
        <v/>
      </c>
      <c r="L82" s="41" t="str">
        <f aca="false">IF(A82="","",IFERROR(INDEX(Personnel!$I$5:$I$19,MATCH($A82,Personnel!$A$5:$A$19,0)),""))</f>
        <v/>
      </c>
      <c r="M82" s="19" t="str">
        <f aca="false">IF(A82="","",F82*K82)</f>
        <v/>
      </c>
      <c r="N82" s="19" t="str">
        <f aca="false">IF(A82="","",IFERROR(G82*L82,0))</f>
        <v/>
      </c>
      <c r="O82" s="19" t="str">
        <f aca="false">IF(A82="","",H82*K82)</f>
        <v/>
      </c>
      <c r="P82" s="19" t="str">
        <f aca="false">IF(A82="","",SUM(M82:O82))</f>
        <v/>
      </c>
      <c r="Q82" s="33" t="str">
        <f aca="false">IF(P82="","",P82*Rates!$B$3)</f>
        <v/>
      </c>
      <c r="R82" s="33" t="str">
        <f aca="false">IF(P82="","",(P82+Q82)*Rates!$B$4)</f>
        <v/>
      </c>
      <c r="S82" s="19" t="str">
        <f aca="false">IF(P82="","",P82+Q82+R82)</f>
        <v/>
      </c>
    </row>
    <row r="83" customFormat="false" ht="15" hidden="false" customHeight="false" outlineLevel="0" collapsed="false">
      <c r="A83" s="12"/>
      <c r="B83" s="38" t="str">
        <f aca="false">IF(A83="","",IFERROR(INDEX(Personnel!$B$5:$B$19,MATCH($A83,Personnel!$A$5:$A$19,0)),"-- not found --"))</f>
        <v/>
      </c>
      <c r="C83" s="38" t="str">
        <f aca="false">IF(A83="","",IFERROR(INDEX(Personnel!$C$5:$C$19,MATCH($A83,Personnel!$A$5:$A$19,0)),""))</f>
        <v/>
      </c>
      <c r="D83" s="12"/>
      <c r="E83" s="27" t="str">
        <f aca="false">IF(D83="","",EDATE(Dashboard!$C$5,D83-1))</f>
        <v/>
      </c>
      <c r="F83" s="12"/>
      <c r="G83" s="12"/>
      <c r="H83" s="12"/>
      <c r="I83" s="42" t="str">
        <f aca="false">IFERROR(IF(OR(A83="",D83=""),"",MAX(0,(INDEX(Personnel!$G$5:$G$19,MATCH($A83,Personnel!$A$5:$A$19,0))/12)*((MIN(EOMONTH(E83,0),IF(INDEX(Personnel!$K$5:$K$19,MATCH($A83,Personnel!$A$5:$A$19,0))="",EOMONTH(E83,0),INDEX(Personnel!$K$5:$K$19,MATCH($A83,Personnel!$A$5:$A$19,0))))-MAX(DATE(YEAR(E83),MONTH(E83),1),INDEX(Personnel!$J$5:$J$19,MATCH($A83,Personnel!$A$5:$A$19,0)))+1)/DAY(EOMONTH(E83,0))))),"")</f>
        <v/>
      </c>
      <c r="J83" s="43" t="str">
        <f aca="false">IF(OR(I83="",A83=""),"",(F83+G83+H83)-I83)</f>
        <v/>
      </c>
      <c r="K83" s="44" t="str">
        <f aca="false">IF(A83="","",IFERROR(INDEX(Personnel!$H$5:$H$19,MATCH($A83,Personnel!$A$5:$A$19,0)),""))</f>
        <v/>
      </c>
      <c r="L83" s="38" t="str">
        <f aca="false">IF(A83="","",IFERROR(INDEX(Personnel!$I$5:$I$19,MATCH($A83,Personnel!$A$5:$A$19,0)),""))</f>
        <v/>
      </c>
      <c r="M83" s="15" t="str">
        <f aca="false">IF(A83="","",F83*K83)</f>
        <v/>
      </c>
      <c r="N83" s="15" t="str">
        <f aca="false">IF(A83="","",IFERROR(G83*L83,0))</f>
        <v/>
      </c>
      <c r="O83" s="15" t="str">
        <f aca="false">IF(A83="","",H83*K83)</f>
        <v/>
      </c>
      <c r="P83" s="15" t="str">
        <f aca="false">IF(A83="","",SUM(M83:O83))</f>
        <v/>
      </c>
      <c r="Q83" s="28" t="str">
        <f aca="false">IF(P83="","",P83*Rates!$B$3)</f>
        <v/>
      </c>
      <c r="R83" s="28" t="str">
        <f aca="false">IF(P83="","",(P83+Q83)*Rates!$B$4)</f>
        <v/>
      </c>
      <c r="S83" s="15" t="str">
        <f aca="false">IF(P83="","",P83+Q83+R83)</f>
        <v/>
      </c>
    </row>
    <row r="84" customFormat="false" ht="15" hidden="false" customHeight="false" outlineLevel="0" collapsed="false">
      <c r="A84" s="16"/>
      <c r="B84" s="41" t="str">
        <f aca="false">IF(A84="","",IFERROR(INDEX(Personnel!$B$5:$B$19,MATCH($A84,Personnel!$A$5:$A$19,0)),"-- not found --"))</f>
        <v/>
      </c>
      <c r="C84" s="41" t="str">
        <f aca="false">IF(A84="","",IFERROR(INDEX(Personnel!$C$5:$C$19,MATCH($A84,Personnel!$A$5:$A$19,0)),""))</f>
        <v/>
      </c>
      <c r="D84" s="16"/>
      <c r="E84" s="32" t="str">
        <f aca="false">IF(D84="","",EDATE(Dashboard!$C$5,D84-1))</f>
        <v/>
      </c>
      <c r="F84" s="16"/>
      <c r="G84" s="16"/>
      <c r="H84" s="16"/>
      <c r="I84" s="45" t="str">
        <f aca="false">IFERROR(IF(OR(A84="",D84=""),"",MAX(0,(INDEX(Personnel!$G$5:$G$19,MATCH($A84,Personnel!$A$5:$A$19,0))/12)*((MIN(EOMONTH(E84,0),IF(INDEX(Personnel!$K$5:$K$19,MATCH($A84,Personnel!$A$5:$A$19,0))="",EOMONTH(E84,0),INDEX(Personnel!$K$5:$K$19,MATCH($A84,Personnel!$A$5:$A$19,0))))-MAX(DATE(YEAR(E84),MONTH(E84),1),INDEX(Personnel!$J$5:$J$19,MATCH($A84,Personnel!$A$5:$A$19,0)))+1)/DAY(EOMONTH(E84,0))))),"")</f>
        <v/>
      </c>
      <c r="J84" s="46" t="str">
        <f aca="false">IF(OR(I84="",A84=""),"",(F84+G84+H84)-I84)</f>
        <v/>
      </c>
      <c r="K84" s="47" t="str">
        <f aca="false">IF(A84="","",IFERROR(INDEX(Personnel!$H$5:$H$19,MATCH($A84,Personnel!$A$5:$A$19,0)),""))</f>
        <v/>
      </c>
      <c r="L84" s="41" t="str">
        <f aca="false">IF(A84="","",IFERROR(INDEX(Personnel!$I$5:$I$19,MATCH($A84,Personnel!$A$5:$A$19,0)),""))</f>
        <v/>
      </c>
      <c r="M84" s="19" t="str">
        <f aca="false">IF(A84="","",F84*K84)</f>
        <v/>
      </c>
      <c r="N84" s="19" t="str">
        <f aca="false">IF(A84="","",IFERROR(G84*L84,0))</f>
        <v/>
      </c>
      <c r="O84" s="19" t="str">
        <f aca="false">IF(A84="","",H84*K84)</f>
        <v/>
      </c>
      <c r="P84" s="19" t="str">
        <f aca="false">IF(A84="","",SUM(M84:O84))</f>
        <v/>
      </c>
      <c r="Q84" s="33" t="str">
        <f aca="false">IF(P84="","",P84*Rates!$B$3)</f>
        <v/>
      </c>
      <c r="R84" s="33" t="str">
        <f aca="false">IF(P84="","",(P84+Q84)*Rates!$B$4)</f>
        <v/>
      </c>
      <c r="S84" s="19" t="str">
        <f aca="false">IF(P84="","",P84+Q84+R84)</f>
        <v/>
      </c>
    </row>
    <row r="85" customFormat="false" ht="15" hidden="false" customHeight="false" outlineLevel="0" collapsed="false">
      <c r="A85" s="12"/>
      <c r="B85" s="38" t="str">
        <f aca="false">IF(A85="","",IFERROR(INDEX(Personnel!$B$5:$B$19,MATCH($A85,Personnel!$A$5:$A$19,0)),"-- not found --"))</f>
        <v/>
      </c>
      <c r="C85" s="38" t="str">
        <f aca="false">IF(A85="","",IFERROR(INDEX(Personnel!$C$5:$C$19,MATCH($A85,Personnel!$A$5:$A$19,0)),""))</f>
        <v/>
      </c>
      <c r="D85" s="12"/>
      <c r="E85" s="27" t="str">
        <f aca="false">IF(D85="","",EDATE(Dashboard!$C$5,D85-1))</f>
        <v/>
      </c>
      <c r="F85" s="12"/>
      <c r="G85" s="12"/>
      <c r="H85" s="12"/>
      <c r="I85" s="42" t="str">
        <f aca="false">IFERROR(IF(OR(A85="",D85=""),"",MAX(0,(INDEX(Personnel!$G$5:$G$19,MATCH($A85,Personnel!$A$5:$A$19,0))/12)*((MIN(EOMONTH(E85,0),IF(INDEX(Personnel!$K$5:$K$19,MATCH($A85,Personnel!$A$5:$A$19,0))="",EOMONTH(E85,0),INDEX(Personnel!$K$5:$K$19,MATCH($A85,Personnel!$A$5:$A$19,0))))-MAX(DATE(YEAR(E85),MONTH(E85),1),INDEX(Personnel!$J$5:$J$19,MATCH($A85,Personnel!$A$5:$A$19,0)))+1)/DAY(EOMONTH(E85,0))))),"")</f>
        <v/>
      </c>
      <c r="J85" s="43" t="str">
        <f aca="false">IF(OR(I85="",A85=""),"",(F85+G85+H85)-I85)</f>
        <v/>
      </c>
      <c r="K85" s="44" t="str">
        <f aca="false">IF(A85="","",IFERROR(INDEX(Personnel!$H$5:$H$19,MATCH($A85,Personnel!$A$5:$A$19,0)),""))</f>
        <v/>
      </c>
      <c r="L85" s="38" t="str">
        <f aca="false">IF(A85="","",IFERROR(INDEX(Personnel!$I$5:$I$19,MATCH($A85,Personnel!$A$5:$A$19,0)),""))</f>
        <v/>
      </c>
      <c r="M85" s="15" t="str">
        <f aca="false">IF(A85="","",F85*K85)</f>
        <v/>
      </c>
      <c r="N85" s="15" t="str">
        <f aca="false">IF(A85="","",IFERROR(G85*L85,0))</f>
        <v/>
      </c>
      <c r="O85" s="15" t="str">
        <f aca="false">IF(A85="","",H85*K85)</f>
        <v/>
      </c>
      <c r="P85" s="15" t="str">
        <f aca="false">IF(A85="","",SUM(M85:O85))</f>
        <v/>
      </c>
      <c r="Q85" s="28" t="str">
        <f aca="false">IF(P85="","",P85*Rates!$B$3)</f>
        <v/>
      </c>
      <c r="R85" s="28" t="str">
        <f aca="false">IF(P85="","",(P85+Q85)*Rates!$B$4)</f>
        <v/>
      </c>
      <c r="S85" s="15" t="str">
        <f aca="false">IF(P85="","",P85+Q85+R85)</f>
        <v/>
      </c>
    </row>
    <row r="86" customFormat="false" ht="15" hidden="false" customHeight="false" outlineLevel="0" collapsed="false">
      <c r="A86" s="16"/>
      <c r="B86" s="41" t="str">
        <f aca="false">IF(A86="","",IFERROR(INDEX(Personnel!$B$5:$B$19,MATCH($A86,Personnel!$A$5:$A$19,0)),"-- not found --"))</f>
        <v/>
      </c>
      <c r="C86" s="41" t="str">
        <f aca="false">IF(A86="","",IFERROR(INDEX(Personnel!$C$5:$C$19,MATCH($A86,Personnel!$A$5:$A$19,0)),""))</f>
        <v/>
      </c>
      <c r="D86" s="16"/>
      <c r="E86" s="32" t="str">
        <f aca="false">IF(D86="","",EDATE(Dashboard!$C$5,D86-1))</f>
        <v/>
      </c>
      <c r="F86" s="16"/>
      <c r="G86" s="16"/>
      <c r="H86" s="16"/>
      <c r="I86" s="45" t="str">
        <f aca="false">IFERROR(IF(OR(A86="",D86=""),"",MAX(0,(INDEX(Personnel!$G$5:$G$19,MATCH($A86,Personnel!$A$5:$A$19,0))/12)*((MIN(EOMONTH(E86,0),IF(INDEX(Personnel!$K$5:$K$19,MATCH($A86,Personnel!$A$5:$A$19,0))="",EOMONTH(E86,0),INDEX(Personnel!$K$5:$K$19,MATCH($A86,Personnel!$A$5:$A$19,0))))-MAX(DATE(YEAR(E86),MONTH(E86),1),INDEX(Personnel!$J$5:$J$19,MATCH($A86,Personnel!$A$5:$A$19,0)))+1)/DAY(EOMONTH(E86,0))))),"")</f>
        <v/>
      </c>
      <c r="J86" s="46" t="str">
        <f aca="false">IF(OR(I86="",A86=""),"",(F86+G86+H86)-I86)</f>
        <v/>
      </c>
      <c r="K86" s="47" t="str">
        <f aca="false">IF(A86="","",IFERROR(INDEX(Personnel!$H$5:$H$19,MATCH($A86,Personnel!$A$5:$A$19,0)),""))</f>
        <v/>
      </c>
      <c r="L86" s="41" t="str">
        <f aca="false">IF(A86="","",IFERROR(INDEX(Personnel!$I$5:$I$19,MATCH($A86,Personnel!$A$5:$A$19,0)),""))</f>
        <v/>
      </c>
      <c r="M86" s="19" t="str">
        <f aca="false">IF(A86="","",F86*K86)</f>
        <v/>
      </c>
      <c r="N86" s="19" t="str">
        <f aca="false">IF(A86="","",IFERROR(G86*L86,0))</f>
        <v/>
      </c>
      <c r="O86" s="19" t="str">
        <f aca="false">IF(A86="","",H86*K86)</f>
        <v/>
      </c>
      <c r="P86" s="19" t="str">
        <f aca="false">IF(A86="","",SUM(M86:O86))</f>
        <v/>
      </c>
      <c r="Q86" s="33" t="str">
        <f aca="false">IF(P86="","",P86*Rates!$B$3)</f>
        <v/>
      </c>
      <c r="R86" s="33" t="str">
        <f aca="false">IF(P86="","",(P86+Q86)*Rates!$B$4)</f>
        <v/>
      </c>
      <c r="S86" s="19" t="str">
        <f aca="false">IF(P86="","",P86+Q86+R86)</f>
        <v/>
      </c>
    </row>
    <row r="87" customFormat="false" ht="15" hidden="false" customHeight="false" outlineLevel="0" collapsed="false">
      <c r="A87" s="12"/>
      <c r="B87" s="38" t="str">
        <f aca="false">IF(A87="","",IFERROR(INDEX(Personnel!$B$5:$B$19,MATCH($A87,Personnel!$A$5:$A$19,0)),"-- not found --"))</f>
        <v/>
      </c>
      <c r="C87" s="38" t="str">
        <f aca="false">IF(A87="","",IFERROR(INDEX(Personnel!$C$5:$C$19,MATCH($A87,Personnel!$A$5:$A$19,0)),""))</f>
        <v/>
      </c>
      <c r="D87" s="12"/>
      <c r="E87" s="27" t="str">
        <f aca="false">IF(D87="","",EDATE(Dashboard!$C$5,D87-1))</f>
        <v/>
      </c>
      <c r="F87" s="12"/>
      <c r="G87" s="12"/>
      <c r="H87" s="12"/>
      <c r="I87" s="42" t="str">
        <f aca="false">IFERROR(IF(OR(A87="",D87=""),"",MAX(0,(INDEX(Personnel!$G$5:$G$19,MATCH($A87,Personnel!$A$5:$A$19,0))/12)*((MIN(EOMONTH(E87,0),IF(INDEX(Personnel!$K$5:$K$19,MATCH($A87,Personnel!$A$5:$A$19,0))="",EOMONTH(E87,0),INDEX(Personnel!$K$5:$K$19,MATCH($A87,Personnel!$A$5:$A$19,0))))-MAX(DATE(YEAR(E87),MONTH(E87),1),INDEX(Personnel!$J$5:$J$19,MATCH($A87,Personnel!$A$5:$A$19,0)))+1)/DAY(EOMONTH(E87,0))))),"")</f>
        <v/>
      </c>
      <c r="J87" s="43" t="str">
        <f aca="false">IF(OR(I87="",A87=""),"",(F87+G87+H87)-I87)</f>
        <v/>
      </c>
      <c r="K87" s="44" t="str">
        <f aca="false">IF(A87="","",IFERROR(INDEX(Personnel!$H$5:$H$19,MATCH($A87,Personnel!$A$5:$A$19,0)),""))</f>
        <v/>
      </c>
      <c r="L87" s="38" t="str">
        <f aca="false">IF(A87="","",IFERROR(INDEX(Personnel!$I$5:$I$19,MATCH($A87,Personnel!$A$5:$A$19,0)),""))</f>
        <v/>
      </c>
      <c r="M87" s="15" t="str">
        <f aca="false">IF(A87="","",F87*K87)</f>
        <v/>
      </c>
      <c r="N87" s="15" t="str">
        <f aca="false">IF(A87="","",IFERROR(G87*L87,0))</f>
        <v/>
      </c>
      <c r="O87" s="15" t="str">
        <f aca="false">IF(A87="","",H87*K87)</f>
        <v/>
      </c>
      <c r="P87" s="15" t="str">
        <f aca="false">IF(A87="","",SUM(M87:O87))</f>
        <v/>
      </c>
      <c r="Q87" s="28" t="str">
        <f aca="false">IF(P87="","",P87*Rates!$B$3)</f>
        <v/>
      </c>
      <c r="R87" s="28" t="str">
        <f aca="false">IF(P87="","",(P87+Q87)*Rates!$B$4)</f>
        <v/>
      </c>
      <c r="S87" s="15" t="str">
        <f aca="false">IF(P87="","",P87+Q87+R87)</f>
        <v/>
      </c>
    </row>
    <row r="88" customFormat="false" ht="15" hidden="false" customHeight="false" outlineLevel="0" collapsed="false">
      <c r="A88" s="16"/>
      <c r="B88" s="41" t="str">
        <f aca="false">IF(A88="","",IFERROR(INDEX(Personnel!$B$5:$B$19,MATCH($A88,Personnel!$A$5:$A$19,0)),"-- not found --"))</f>
        <v/>
      </c>
      <c r="C88" s="41" t="str">
        <f aca="false">IF(A88="","",IFERROR(INDEX(Personnel!$C$5:$C$19,MATCH($A88,Personnel!$A$5:$A$19,0)),""))</f>
        <v/>
      </c>
      <c r="D88" s="16"/>
      <c r="E88" s="32" t="str">
        <f aca="false">IF(D88="","",EDATE(Dashboard!$C$5,D88-1))</f>
        <v/>
      </c>
      <c r="F88" s="16"/>
      <c r="G88" s="16"/>
      <c r="H88" s="16"/>
      <c r="I88" s="45" t="str">
        <f aca="false">IFERROR(IF(OR(A88="",D88=""),"",MAX(0,(INDEX(Personnel!$G$5:$G$19,MATCH($A88,Personnel!$A$5:$A$19,0))/12)*((MIN(EOMONTH(E88,0),IF(INDEX(Personnel!$K$5:$K$19,MATCH($A88,Personnel!$A$5:$A$19,0))="",EOMONTH(E88,0),INDEX(Personnel!$K$5:$K$19,MATCH($A88,Personnel!$A$5:$A$19,0))))-MAX(DATE(YEAR(E88),MONTH(E88),1),INDEX(Personnel!$J$5:$J$19,MATCH($A88,Personnel!$A$5:$A$19,0)))+1)/DAY(EOMONTH(E88,0))))),"")</f>
        <v/>
      </c>
      <c r="J88" s="46" t="str">
        <f aca="false">IF(OR(I88="",A88=""),"",(F88+G88+H88)-I88)</f>
        <v/>
      </c>
      <c r="K88" s="47" t="str">
        <f aca="false">IF(A88="","",IFERROR(INDEX(Personnel!$H$5:$H$19,MATCH($A88,Personnel!$A$5:$A$19,0)),""))</f>
        <v/>
      </c>
      <c r="L88" s="41" t="str">
        <f aca="false">IF(A88="","",IFERROR(INDEX(Personnel!$I$5:$I$19,MATCH($A88,Personnel!$A$5:$A$19,0)),""))</f>
        <v/>
      </c>
      <c r="M88" s="19" t="str">
        <f aca="false">IF(A88="","",F88*K88)</f>
        <v/>
      </c>
      <c r="N88" s="19" t="str">
        <f aca="false">IF(A88="","",IFERROR(G88*L88,0))</f>
        <v/>
      </c>
      <c r="O88" s="19" t="str">
        <f aca="false">IF(A88="","",H88*K88)</f>
        <v/>
      </c>
      <c r="P88" s="19" t="str">
        <f aca="false">IF(A88="","",SUM(M88:O88))</f>
        <v/>
      </c>
      <c r="Q88" s="33" t="str">
        <f aca="false">IF(P88="","",P88*Rates!$B$3)</f>
        <v/>
      </c>
      <c r="R88" s="33" t="str">
        <f aca="false">IF(P88="","",(P88+Q88)*Rates!$B$4)</f>
        <v/>
      </c>
      <c r="S88" s="19" t="str">
        <f aca="false">IF(P88="","",P88+Q88+R88)</f>
        <v/>
      </c>
    </row>
    <row r="89" customFormat="false" ht="15" hidden="false" customHeight="false" outlineLevel="0" collapsed="false">
      <c r="A89" s="12"/>
      <c r="B89" s="38" t="str">
        <f aca="false">IF(A89="","",IFERROR(INDEX(Personnel!$B$5:$B$19,MATCH($A89,Personnel!$A$5:$A$19,0)),"-- not found --"))</f>
        <v/>
      </c>
      <c r="C89" s="38" t="str">
        <f aca="false">IF(A89="","",IFERROR(INDEX(Personnel!$C$5:$C$19,MATCH($A89,Personnel!$A$5:$A$19,0)),""))</f>
        <v/>
      </c>
      <c r="D89" s="12"/>
      <c r="E89" s="27" t="str">
        <f aca="false">IF(D89="","",EDATE(Dashboard!$C$5,D89-1))</f>
        <v/>
      </c>
      <c r="F89" s="12"/>
      <c r="G89" s="12"/>
      <c r="H89" s="12"/>
      <c r="I89" s="42" t="str">
        <f aca="false">IFERROR(IF(OR(A89="",D89=""),"",MAX(0,(INDEX(Personnel!$G$5:$G$19,MATCH($A89,Personnel!$A$5:$A$19,0))/12)*((MIN(EOMONTH(E89,0),IF(INDEX(Personnel!$K$5:$K$19,MATCH($A89,Personnel!$A$5:$A$19,0))="",EOMONTH(E89,0),INDEX(Personnel!$K$5:$K$19,MATCH($A89,Personnel!$A$5:$A$19,0))))-MAX(DATE(YEAR(E89),MONTH(E89),1),INDEX(Personnel!$J$5:$J$19,MATCH($A89,Personnel!$A$5:$A$19,0)))+1)/DAY(EOMONTH(E89,0))))),"")</f>
        <v/>
      </c>
      <c r="J89" s="43" t="str">
        <f aca="false">IF(OR(I89="",A89=""),"",(F89+G89+H89)-I89)</f>
        <v/>
      </c>
      <c r="K89" s="44" t="str">
        <f aca="false">IF(A89="","",IFERROR(INDEX(Personnel!$H$5:$H$19,MATCH($A89,Personnel!$A$5:$A$19,0)),""))</f>
        <v/>
      </c>
      <c r="L89" s="38" t="str">
        <f aca="false">IF(A89="","",IFERROR(INDEX(Personnel!$I$5:$I$19,MATCH($A89,Personnel!$A$5:$A$19,0)),""))</f>
        <v/>
      </c>
      <c r="M89" s="15" t="str">
        <f aca="false">IF(A89="","",F89*K89)</f>
        <v/>
      </c>
      <c r="N89" s="15" t="str">
        <f aca="false">IF(A89="","",IFERROR(G89*L89,0))</f>
        <v/>
      </c>
      <c r="O89" s="15" t="str">
        <f aca="false">IF(A89="","",H89*K89)</f>
        <v/>
      </c>
      <c r="P89" s="15" t="str">
        <f aca="false">IF(A89="","",SUM(M89:O89))</f>
        <v/>
      </c>
      <c r="Q89" s="28" t="str">
        <f aca="false">IF(P89="","",P89*Rates!$B$3)</f>
        <v/>
      </c>
      <c r="R89" s="28" t="str">
        <f aca="false">IF(P89="","",(P89+Q89)*Rates!$B$4)</f>
        <v/>
      </c>
      <c r="S89" s="15" t="str">
        <f aca="false">IF(P89="","",P89+Q89+R89)</f>
        <v/>
      </c>
    </row>
    <row r="90" customFormat="false" ht="15" hidden="false" customHeight="false" outlineLevel="0" collapsed="false">
      <c r="A90" s="16"/>
      <c r="B90" s="41" t="str">
        <f aca="false">IF(A90="","",IFERROR(INDEX(Personnel!$B$5:$B$19,MATCH($A90,Personnel!$A$5:$A$19,0)),"-- not found --"))</f>
        <v/>
      </c>
      <c r="C90" s="41" t="str">
        <f aca="false">IF(A90="","",IFERROR(INDEX(Personnel!$C$5:$C$19,MATCH($A90,Personnel!$A$5:$A$19,0)),""))</f>
        <v/>
      </c>
      <c r="D90" s="16"/>
      <c r="E90" s="32" t="str">
        <f aca="false">IF(D90="","",EDATE(Dashboard!$C$5,D90-1))</f>
        <v/>
      </c>
      <c r="F90" s="16"/>
      <c r="G90" s="16"/>
      <c r="H90" s="16"/>
      <c r="I90" s="45" t="str">
        <f aca="false">IFERROR(IF(OR(A90="",D90=""),"",MAX(0,(INDEX(Personnel!$G$5:$G$19,MATCH($A90,Personnel!$A$5:$A$19,0))/12)*((MIN(EOMONTH(E90,0),IF(INDEX(Personnel!$K$5:$K$19,MATCH($A90,Personnel!$A$5:$A$19,0))="",EOMONTH(E90,0),INDEX(Personnel!$K$5:$K$19,MATCH($A90,Personnel!$A$5:$A$19,0))))-MAX(DATE(YEAR(E90),MONTH(E90),1),INDEX(Personnel!$J$5:$J$19,MATCH($A90,Personnel!$A$5:$A$19,0)))+1)/DAY(EOMONTH(E90,0))))),"")</f>
        <v/>
      </c>
      <c r="J90" s="46" t="str">
        <f aca="false">IF(OR(I90="",A90=""),"",(F90+G90+H90)-I90)</f>
        <v/>
      </c>
      <c r="K90" s="47" t="str">
        <f aca="false">IF(A90="","",IFERROR(INDEX(Personnel!$H$5:$H$19,MATCH($A90,Personnel!$A$5:$A$19,0)),""))</f>
        <v/>
      </c>
      <c r="L90" s="41" t="str">
        <f aca="false">IF(A90="","",IFERROR(INDEX(Personnel!$I$5:$I$19,MATCH($A90,Personnel!$A$5:$A$19,0)),""))</f>
        <v/>
      </c>
      <c r="M90" s="19" t="str">
        <f aca="false">IF(A90="","",F90*K90)</f>
        <v/>
      </c>
      <c r="N90" s="19" t="str">
        <f aca="false">IF(A90="","",IFERROR(G90*L90,0))</f>
        <v/>
      </c>
      <c r="O90" s="19" t="str">
        <f aca="false">IF(A90="","",H90*K90)</f>
        <v/>
      </c>
      <c r="P90" s="19" t="str">
        <f aca="false">IF(A90="","",SUM(M90:O90))</f>
        <v/>
      </c>
      <c r="Q90" s="33" t="str">
        <f aca="false">IF(P90="","",P90*Rates!$B$3)</f>
        <v/>
      </c>
      <c r="R90" s="33" t="str">
        <f aca="false">IF(P90="","",(P90+Q90)*Rates!$B$4)</f>
        <v/>
      </c>
      <c r="S90" s="19" t="str">
        <f aca="false">IF(P90="","",P90+Q90+R90)</f>
        <v/>
      </c>
    </row>
    <row r="91" customFormat="false" ht="15" hidden="false" customHeight="false" outlineLevel="0" collapsed="false">
      <c r="A91" s="12"/>
      <c r="B91" s="38" t="str">
        <f aca="false">IF(A91="","",IFERROR(INDEX(Personnel!$B$5:$B$19,MATCH($A91,Personnel!$A$5:$A$19,0)),"-- not found --"))</f>
        <v/>
      </c>
      <c r="C91" s="38" t="str">
        <f aca="false">IF(A91="","",IFERROR(INDEX(Personnel!$C$5:$C$19,MATCH($A91,Personnel!$A$5:$A$19,0)),""))</f>
        <v/>
      </c>
      <c r="D91" s="12"/>
      <c r="E91" s="27" t="str">
        <f aca="false">IF(D91="","",EDATE(Dashboard!$C$5,D91-1))</f>
        <v/>
      </c>
      <c r="F91" s="12"/>
      <c r="G91" s="12"/>
      <c r="H91" s="12"/>
      <c r="I91" s="42" t="str">
        <f aca="false">IFERROR(IF(OR(A91="",D91=""),"",MAX(0,(INDEX(Personnel!$G$5:$G$19,MATCH($A91,Personnel!$A$5:$A$19,0))/12)*((MIN(EOMONTH(E91,0),IF(INDEX(Personnel!$K$5:$K$19,MATCH($A91,Personnel!$A$5:$A$19,0))="",EOMONTH(E91,0),INDEX(Personnel!$K$5:$K$19,MATCH($A91,Personnel!$A$5:$A$19,0))))-MAX(DATE(YEAR(E91),MONTH(E91),1),INDEX(Personnel!$J$5:$J$19,MATCH($A91,Personnel!$A$5:$A$19,0)))+1)/DAY(EOMONTH(E91,0))))),"")</f>
        <v/>
      </c>
      <c r="J91" s="43" t="str">
        <f aca="false">IF(OR(I91="",A91=""),"",(F91+G91+H91)-I91)</f>
        <v/>
      </c>
      <c r="K91" s="44" t="str">
        <f aca="false">IF(A91="","",IFERROR(INDEX(Personnel!$H$5:$H$19,MATCH($A91,Personnel!$A$5:$A$19,0)),""))</f>
        <v/>
      </c>
      <c r="L91" s="38" t="str">
        <f aca="false">IF(A91="","",IFERROR(INDEX(Personnel!$I$5:$I$19,MATCH($A91,Personnel!$A$5:$A$19,0)),""))</f>
        <v/>
      </c>
      <c r="M91" s="15" t="str">
        <f aca="false">IF(A91="","",F91*K91)</f>
        <v/>
      </c>
      <c r="N91" s="15" t="str">
        <f aca="false">IF(A91="","",IFERROR(G91*L91,0))</f>
        <v/>
      </c>
      <c r="O91" s="15" t="str">
        <f aca="false">IF(A91="","",H91*K91)</f>
        <v/>
      </c>
      <c r="P91" s="15" t="str">
        <f aca="false">IF(A91="","",SUM(M91:O91))</f>
        <v/>
      </c>
      <c r="Q91" s="28" t="str">
        <f aca="false">IF(P91="","",P91*Rates!$B$3)</f>
        <v/>
      </c>
      <c r="R91" s="28" t="str">
        <f aca="false">IF(P91="","",(P91+Q91)*Rates!$B$4)</f>
        <v/>
      </c>
      <c r="S91" s="15" t="str">
        <f aca="false">IF(P91="","",P91+Q91+R91)</f>
        <v/>
      </c>
    </row>
    <row r="92" customFormat="false" ht="15" hidden="false" customHeight="false" outlineLevel="0" collapsed="false">
      <c r="A92" s="16"/>
      <c r="B92" s="41" t="str">
        <f aca="false">IF(A92="","",IFERROR(INDEX(Personnel!$B$5:$B$19,MATCH($A92,Personnel!$A$5:$A$19,0)),"-- not found --"))</f>
        <v/>
      </c>
      <c r="C92" s="41" t="str">
        <f aca="false">IF(A92="","",IFERROR(INDEX(Personnel!$C$5:$C$19,MATCH($A92,Personnel!$A$5:$A$19,0)),""))</f>
        <v/>
      </c>
      <c r="D92" s="16"/>
      <c r="E92" s="32" t="str">
        <f aca="false">IF(D92="","",EDATE(Dashboard!$C$5,D92-1))</f>
        <v/>
      </c>
      <c r="F92" s="16"/>
      <c r="G92" s="16"/>
      <c r="H92" s="16"/>
      <c r="I92" s="45" t="str">
        <f aca="false">IFERROR(IF(OR(A92="",D92=""),"",MAX(0,(INDEX(Personnel!$G$5:$G$19,MATCH($A92,Personnel!$A$5:$A$19,0))/12)*((MIN(EOMONTH(E92,0),IF(INDEX(Personnel!$K$5:$K$19,MATCH($A92,Personnel!$A$5:$A$19,0))="",EOMONTH(E92,0),INDEX(Personnel!$K$5:$K$19,MATCH($A92,Personnel!$A$5:$A$19,0))))-MAX(DATE(YEAR(E92),MONTH(E92),1),INDEX(Personnel!$J$5:$J$19,MATCH($A92,Personnel!$A$5:$A$19,0)))+1)/DAY(EOMONTH(E92,0))))),"")</f>
        <v/>
      </c>
      <c r="J92" s="46" t="str">
        <f aca="false">IF(OR(I92="",A92=""),"",(F92+G92+H92)-I92)</f>
        <v/>
      </c>
      <c r="K92" s="47" t="str">
        <f aca="false">IF(A92="","",IFERROR(INDEX(Personnel!$H$5:$H$19,MATCH($A92,Personnel!$A$5:$A$19,0)),""))</f>
        <v/>
      </c>
      <c r="L92" s="41" t="str">
        <f aca="false">IF(A92="","",IFERROR(INDEX(Personnel!$I$5:$I$19,MATCH($A92,Personnel!$A$5:$A$19,0)),""))</f>
        <v/>
      </c>
      <c r="M92" s="19" t="str">
        <f aca="false">IF(A92="","",F92*K92)</f>
        <v/>
      </c>
      <c r="N92" s="19" t="str">
        <f aca="false">IF(A92="","",IFERROR(G92*L92,0))</f>
        <v/>
      </c>
      <c r="O92" s="19" t="str">
        <f aca="false">IF(A92="","",H92*K92)</f>
        <v/>
      </c>
      <c r="P92" s="19" t="str">
        <f aca="false">IF(A92="","",SUM(M92:O92))</f>
        <v/>
      </c>
      <c r="Q92" s="33" t="str">
        <f aca="false">IF(P92="","",P92*Rates!$B$3)</f>
        <v/>
      </c>
      <c r="R92" s="33" t="str">
        <f aca="false">IF(P92="","",(P92+Q92)*Rates!$B$4)</f>
        <v/>
      </c>
      <c r="S92" s="19" t="str">
        <f aca="false">IF(P92="","",P92+Q92+R92)</f>
        <v/>
      </c>
    </row>
    <row r="93" customFormat="false" ht="15" hidden="false" customHeight="false" outlineLevel="0" collapsed="false">
      <c r="A93" s="12"/>
      <c r="B93" s="38" t="str">
        <f aca="false">IF(A93="","",IFERROR(INDEX(Personnel!$B$5:$B$19,MATCH($A93,Personnel!$A$5:$A$19,0)),"-- not found --"))</f>
        <v/>
      </c>
      <c r="C93" s="38" t="str">
        <f aca="false">IF(A93="","",IFERROR(INDEX(Personnel!$C$5:$C$19,MATCH($A93,Personnel!$A$5:$A$19,0)),""))</f>
        <v/>
      </c>
      <c r="D93" s="12"/>
      <c r="E93" s="27" t="str">
        <f aca="false">IF(D93="","",EDATE(Dashboard!$C$5,D93-1))</f>
        <v/>
      </c>
      <c r="F93" s="12"/>
      <c r="G93" s="12"/>
      <c r="H93" s="12"/>
      <c r="I93" s="42" t="str">
        <f aca="false">IFERROR(IF(OR(A93="",D93=""),"",MAX(0,(INDEX(Personnel!$G$5:$G$19,MATCH($A93,Personnel!$A$5:$A$19,0))/12)*((MIN(EOMONTH(E93,0),IF(INDEX(Personnel!$K$5:$K$19,MATCH($A93,Personnel!$A$5:$A$19,0))="",EOMONTH(E93,0),INDEX(Personnel!$K$5:$K$19,MATCH($A93,Personnel!$A$5:$A$19,0))))-MAX(DATE(YEAR(E93),MONTH(E93),1),INDEX(Personnel!$J$5:$J$19,MATCH($A93,Personnel!$A$5:$A$19,0)))+1)/DAY(EOMONTH(E93,0))))),"")</f>
        <v/>
      </c>
      <c r="J93" s="43" t="str">
        <f aca="false">IF(OR(I93="",A93=""),"",(F93+G93+H93)-I93)</f>
        <v/>
      </c>
      <c r="K93" s="44" t="str">
        <f aca="false">IF(A93="","",IFERROR(INDEX(Personnel!$H$5:$H$19,MATCH($A93,Personnel!$A$5:$A$19,0)),""))</f>
        <v/>
      </c>
      <c r="L93" s="38" t="str">
        <f aca="false">IF(A93="","",IFERROR(INDEX(Personnel!$I$5:$I$19,MATCH($A93,Personnel!$A$5:$A$19,0)),""))</f>
        <v/>
      </c>
      <c r="M93" s="15" t="str">
        <f aca="false">IF(A93="","",F93*K93)</f>
        <v/>
      </c>
      <c r="N93" s="15" t="str">
        <f aca="false">IF(A93="","",IFERROR(G93*L93,0))</f>
        <v/>
      </c>
      <c r="O93" s="15" t="str">
        <f aca="false">IF(A93="","",H93*K93)</f>
        <v/>
      </c>
      <c r="P93" s="15" t="str">
        <f aca="false">IF(A93="","",SUM(M93:O93))</f>
        <v/>
      </c>
      <c r="Q93" s="28" t="str">
        <f aca="false">IF(P93="","",P93*Rates!$B$3)</f>
        <v/>
      </c>
      <c r="R93" s="28" t="str">
        <f aca="false">IF(P93="","",(P93+Q93)*Rates!$B$4)</f>
        <v/>
      </c>
      <c r="S93" s="15" t="str">
        <f aca="false">IF(P93="","",P93+Q93+R93)</f>
        <v/>
      </c>
    </row>
    <row r="94" customFormat="false" ht="15" hidden="false" customHeight="false" outlineLevel="0" collapsed="false">
      <c r="A94" s="16"/>
      <c r="B94" s="41" t="str">
        <f aca="false">IF(A94="","",IFERROR(INDEX(Personnel!$B$5:$B$19,MATCH($A94,Personnel!$A$5:$A$19,0)),"-- not found --"))</f>
        <v/>
      </c>
      <c r="C94" s="41" t="str">
        <f aca="false">IF(A94="","",IFERROR(INDEX(Personnel!$C$5:$C$19,MATCH($A94,Personnel!$A$5:$A$19,0)),""))</f>
        <v/>
      </c>
      <c r="D94" s="16"/>
      <c r="E94" s="32" t="str">
        <f aca="false">IF(D94="","",EDATE(Dashboard!$C$5,D94-1))</f>
        <v/>
      </c>
      <c r="F94" s="16"/>
      <c r="G94" s="16"/>
      <c r="H94" s="16"/>
      <c r="I94" s="45" t="str">
        <f aca="false">IFERROR(IF(OR(A94="",D94=""),"",MAX(0,(INDEX(Personnel!$G$5:$G$19,MATCH($A94,Personnel!$A$5:$A$19,0))/12)*((MIN(EOMONTH(E94,0),IF(INDEX(Personnel!$K$5:$K$19,MATCH($A94,Personnel!$A$5:$A$19,0))="",EOMONTH(E94,0),INDEX(Personnel!$K$5:$K$19,MATCH($A94,Personnel!$A$5:$A$19,0))))-MAX(DATE(YEAR(E94),MONTH(E94),1),INDEX(Personnel!$J$5:$J$19,MATCH($A94,Personnel!$A$5:$A$19,0)))+1)/DAY(EOMONTH(E94,0))))),"")</f>
        <v/>
      </c>
      <c r="J94" s="46" t="str">
        <f aca="false">IF(OR(I94="",A94=""),"",(F94+G94+H94)-I94)</f>
        <v/>
      </c>
      <c r="K94" s="47" t="str">
        <f aca="false">IF(A94="","",IFERROR(INDEX(Personnel!$H$5:$H$19,MATCH($A94,Personnel!$A$5:$A$19,0)),""))</f>
        <v/>
      </c>
      <c r="L94" s="41" t="str">
        <f aca="false">IF(A94="","",IFERROR(INDEX(Personnel!$I$5:$I$19,MATCH($A94,Personnel!$A$5:$A$19,0)),""))</f>
        <v/>
      </c>
      <c r="M94" s="19" t="str">
        <f aca="false">IF(A94="","",F94*K94)</f>
        <v/>
      </c>
      <c r="N94" s="19" t="str">
        <f aca="false">IF(A94="","",IFERROR(G94*L94,0))</f>
        <v/>
      </c>
      <c r="O94" s="19" t="str">
        <f aca="false">IF(A94="","",H94*K94)</f>
        <v/>
      </c>
      <c r="P94" s="19" t="str">
        <f aca="false">IF(A94="","",SUM(M94:O94))</f>
        <v/>
      </c>
      <c r="Q94" s="33" t="str">
        <f aca="false">IF(P94="","",P94*Rates!$B$3)</f>
        <v/>
      </c>
      <c r="R94" s="33" t="str">
        <f aca="false">IF(P94="","",(P94+Q94)*Rates!$B$4)</f>
        <v/>
      </c>
      <c r="S94" s="19" t="str">
        <f aca="false">IF(P94="","",P94+Q94+R94)</f>
        <v/>
      </c>
    </row>
    <row r="95" customFormat="false" ht="15" hidden="false" customHeight="false" outlineLevel="0" collapsed="false">
      <c r="A95" s="12"/>
      <c r="B95" s="38" t="str">
        <f aca="false">IF(A95="","",IFERROR(INDEX(Personnel!$B$5:$B$19,MATCH($A95,Personnel!$A$5:$A$19,0)),"-- not found --"))</f>
        <v/>
      </c>
      <c r="C95" s="38" t="str">
        <f aca="false">IF(A95="","",IFERROR(INDEX(Personnel!$C$5:$C$19,MATCH($A95,Personnel!$A$5:$A$19,0)),""))</f>
        <v/>
      </c>
      <c r="D95" s="12"/>
      <c r="E95" s="27" t="str">
        <f aca="false">IF(D95="","",EDATE(Dashboard!$C$5,D95-1))</f>
        <v/>
      </c>
      <c r="F95" s="12"/>
      <c r="G95" s="12"/>
      <c r="H95" s="12"/>
      <c r="I95" s="42" t="str">
        <f aca="false">IFERROR(IF(OR(A95="",D95=""),"",MAX(0,(INDEX(Personnel!$G$5:$G$19,MATCH($A95,Personnel!$A$5:$A$19,0))/12)*((MIN(EOMONTH(E95,0),IF(INDEX(Personnel!$K$5:$K$19,MATCH($A95,Personnel!$A$5:$A$19,0))="",EOMONTH(E95,0),INDEX(Personnel!$K$5:$K$19,MATCH($A95,Personnel!$A$5:$A$19,0))))-MAX(DATE(YEAR(E95),MONTH(E95),1),INDEX(Personnel!$J$5:$J$19,MATCH($A95,Personnel!$A$5:$A$19,0)))+1)/DAY(EOMONTH(E95,0))))),"")</f>
        <v/>
      </c>
      <c r="J95" s="43" t="str">
        <f aca="false">IF(OR(I95="",A95=""),"",(F95+G95+H95)-I95)</f>
        <v/>
      </c>
      <c r="K95" s="44" t="str">
        <f aca="false">IF(A95="","",IFERROR(INDEX(Personnel!$H$5:$H$19,MATCH($A95,Personnel!$A$5:$A$19,0)),""))</f>
        <v/>
      </c>
      <c r="L95" s="38" t="str">
        <f aca="false">IF(A95="","",IFERROR(INDEX(Personnel!$I$5:$I$19,MATCH($A95,Personnel!$A$5:$A$19,0)),""))</f>
        <v/>
      </c>
      <c r="M95" s="15" t="str">
        <f aca="false">IF(A95="","",F95*K95)</f>
        <v/>
      </c>
      <c r="N95" s="15" t="str">
        <f aca="false">IF(A95="","",IFERROR(G95*L95,0))</f>
        <v/>
      </c>
      <c r="O95" s="15" t="str">
        <f aca="false">IF(A95="","",H95*K95)</f>
        <v/>
      </c>
      <c r="P95" s="15" t="str">
        <f aca="false">IF(A95="","",SUM(M95:O95))</f>
        <v/>
      </c>
      <c r="Q95" s="28" t="str">
        <f aca="false">IF(P95="","",P95*Rates!$B$3)</f>
        <v/>
      </c>
      <c r="R95" s="28" t="str">
        <f aca="false">IF(P95="","",(P95+Q95)*Rates!$B$4)</f>
        <v/>
      </c>
      <c r="S95" s="15" t="str">
        <f aca="false">IF(P95="","",P95+Q95+R95)</f>
        <v/>
      </c>
    </row>
    <row r="96" customFormat="false" ht="15" hidden="false" customHeight="false" outlineLevel="0" collapsed="false">
      <c r="A96" s="16"/>
      <c r="B96" s="41" t="str">
        <f aca="false">IF(A96="","",IFERROR(INDEX(Personnel!$B$5:$B$19,MATCH($A96,Personnel!$A$5:$A$19,0)),"-- not found --"))</f>
        <v/>
      </c>
      <c r="C96" s="41" t="str">
        <f aca="false">IF(A96="","",IFERROR(INDEX(Personnel!$C$5:$C$19,MATCH($A96,Personnel!$A$5:$A$19,0)),""))</f>
        <v/>
      </c>
      <c r="D96" s="16"/>
      <c r="E96" s="32" t="str">
        <f aca="false">IF(D96="","",EDATE(Dashboard!$C$5,D96-1))</f>
        <v/>
      </c>
      <c r="F96" s="16"/>
      <c r="G96" s="16"/>
      <c r="H96" s="16"/>
      <c r="I96" s="45" t="str">
        <f aca="false">IFERROR(IF(OR(A96="",D96=""),"",MAX(0,(INDEX(Personnel!$G$5:$G$19,MATCH($A96,Personnel!$A$5:$A$19,0))/12)*((MIN(EOMONTH(E96,0),IF(INDEX(Personnel!$K$5:$K$19,MATCH($A96,Personnel!$A$5:$A$19,0))="",EOMONTH(E96,0),INDEX(Personnel!$K$5:$K$19,MATCH($A96,Personnel!$A$5:$A$19,0))))-MAX(DATE(YEAR(E96),MONTH(E96),1),INDEX(Personnel!$J$5:$J$19,MATCH($A96,Personnel!$A$5:$A$19,0)))+1)/DAY(EOMONTH(E96,0))))),"")</f>
        <v/>
      </c>
      <c r="J96" s="46" t="str">
        <f aca="false">IF(OR(I96="",A96=""),"",(F96+G96+H96)-I96)</f>
        <v/>
      </c>
      <c r="K96" s="47" t="str">
        <f aca="false">IF(A96="","",IFERROR(INDEX(Personnel!$H$5:$H$19,MATCH($A96,Personnel!$A$5:$A$19,0)),""))</f>
        <v/>
      </c>
      <c r="L96" s="41" t="str">
        <f aca="false">IF(A96="","",IFERROR(INDEX(Personnel!$I$5:$I$19,MATCH($A96,Personnel!$A$5:$A$19,0)),""))</f>
        <v/>
      </c>
      <c r="M96" s="19" t="str">
        <f aca="false">IF(A96="","",F96*K96)</f>
        <v/>
      </c>
      <c r="N96" s="19" t="str">
        <f aca="false">IF(A96="","",IFERROR(G96*L96,0))</f>
        <v/>
      </c>
      <c r="O96" s="19" t="str">
        <f aca="false">IF(A96="","",H96*K96)</f>
        <v/>
      </c>
      <c r="P96" s="19" t="str">
        <f aca="false">IF(A96="","",SUM(M96:O96))</f>
        <v/>
      </c>
      <c r="Q96" s="33" t="str">
        <f aca="false">IF(P96="","",P96*Rates!$B$3)</f>
        <v/>
      </c>
      <c r="R96" s="33" t="str">
        <f aca="false">IF(P96="","",(P96+Q96)*Rates!$B$4)</f>
        <v/>
      </c>
      <c r="S96" s="19" t="str">
        <f aca="false">IF(P96="","",P96+Q96+R96)</f>
        <v/>
      </c>
    </row>
    <row r="97" customFormat="false" ht="15" hidden="false" customHeight="false" outlineLevel="0" collapsed="false">
      <c r="A97" s="12"/>
      <c r="B97" s="38" t="str">
        <f aca="false">IF(A97="","",IFERROR(INDEX(Personnel!$B$5:$B$19,MATCH($A97,Personnel!$A$5:$A$19,0)),"-- not found --"))</f>
        <v/>
      </c>
      <c r="C97" s="38" t="str">
        <f aca="false">IF(A97="","",IFERROR(INDEX(Personnel!$C$5:$C$19,MATCH($A97,Personnel!$A$5:$A$19,0)),""))</f>
        <v/>
      </c>
      <c r="D97" s="12"/>
      <c r="E97" s="27" t="str">
        <f aca="false">IF(D97="","",EDATE(Dashboard!$C$5,D97-1))</f>
        <v/>
      </c>
      <c r="F97" s="12"/>
      <c r="G97" s="12"/>
      <c r="H97" s="12"/>
      <c r="I97" s="42" t="str">
        <f aca="false">IFERROR(IF(OR(A97="",D97=""),"",MAX(0,(INDEX(Personnel!$G$5:$G$19,MATCH($A97,Personnel!$A$5:$A$19,0))/12)*((MIN(EOMONTH(E97,0),IF(INDEX(Personnel!$K$5:$K$19,MATCH($A97,Personnel!$A$5:$A$19,0))="",EOMONTH(E97,0),INDEX(Personnel!$K$5:$K$19,MATCH($A97,Personnel!$A$5:$A$19,0))))-MAX(DATE(YEAR(E97),MONTH(E97),1),INDEX(Personnel!$J$5:$J$19,MATCH($A97,Personnel!$A$5:$A$19,0)))+1)/DAY(EOMONTH(E97,0))))),"")</f>
        <v/>
      </c>
      <c r="J97" s="43" t="str">
        <f aca="false">IF(OR(I97="",A97=""),"",(F97+G97+H97)-I97)</f>
        <v/>
      </c>
      <c r="K97" s="44" t="str">
        <f aca="false">IF(A97="","",IFERROR(INDEX(Personnel!$H$5:$H$19,MATCH($A97,Personnel!$A$5:$A$19,0)),""))</f>
        <v/>
      </c>
      <c r="L97" s="38" t="str">
        <f aca="false">IF(A97="","",IFERROR(INDEX(Personnel!$I$5:$I$19,MATCH($A97,Personnel!$A$5:$A$19,0)),""))</f>
        <v/>
      </c>
      <c r="M97" s="15" t="str">
        <f aca="false">IF(A97="","",F97*K97)</f>
        <v/>
      </c>
      <c r="N97" s="15" t="str">
        <f aca="false">IF(A97="","",IFERROR(G97*L97,0))</f>
        <v/>
      </c>
      <c r="O97" s="15" t="str">
        <f aca="false">IF(A97="","",H97*K97)</f>
        <v/>
      </c>
      <c r="P97" s="15" t="str">
        <f aca="false">IF(A97="","",SUM(M97:O97))</f>
        <v/>
      </c>
      <c r="Q97" s="28" t="str">
        <f aca="false">IF(P97="","",P97*Rates!$B$3)</f>
        <v/>
      </c>
      <c r="R97" s="28" t="str">
        <f aca="false">IF(P97="","",(P97+Q97)*Rates!$B$4)</f>
        <v/>
      </c>
      <c r="S97" s="15" t="str">
        <f aca="false">IF(P97="","",P97+Q97+R97)</f>
        <v/>
      </c>
    </row>
    <row r="98" customFormat="false" ht="15" hidden="false" customHeight="false" outlineLevel="0" collapsed="false">
      <c r="A98" s="16"/>
      <c r="B98" s="41" t="str">
        <f aca="false">IF(A98="","",IFERROR(INDEX(Personnel!$B$5:$B$19,MATCH($A98,Personnel!$A$5:$A$19,0)),"-- not found --"))</f>
        <v/>
      </c>
      <c r="C98" s="41" t="str">
        <f aca="false">IF(A98="","",IFERROR(INDEX(Personnel!$C$5:$C$19,MATCH($A98,Personnel!$A$5:$A$19,0)),""))</f>
        <v/>
      </c>
      <c r="D98" s="16"/>
      <c r="E98" s="32" t="str">
        <f aca="false">IF(D98="","",EDATE(Dashboard!$C$5,D98-1))</f>
        <v/>
      </c>
      <c r="F98" s="16"/>
      <c r="G98" s="16"/>
      <c r="H98" s="16"/>
      <c r="I98" s="45" t="str">
        <f aca="false">IFERROR(IF(OR(A98="",D98=""),"",MAX(0,(INDEX(Personnel!$G$5:$G$19,MATCH($A98,Personnel!$A$5:$A$19,0))/12)*((MIN(EOMONTH(E98,0),IF(INDEX(Personnel!$K$5:$K$19,MATCH($A98,Personnel!$A$5:$A$19,0))="",EOMONTH(E98,0),INDEX(Personnel!$K$5:$K$19,MATCH($A98,Personnel!$A$5:$A$19,0))))-MAX(DATE(YEAR(E98),MONTH(E98),1),INDEX(Personnel!$J$5:$J$19,MATCH($A98,Personnel!$A$5:$A$19,0)))+1)/DAY(EOMONTH(E98,0))))),"")</f>
        <v/>
      </c>
      <c r="J98" s="46" t="str">
        <f aca="false">IF(OR(I98="",A98=""),"",(F98+G98+H98)-I98)</f>
        <v/>
      </c>
      <c r="K98" s="47" t="str">
        <f aca="false">IF(A98="","",IFERROR(INDEX(Personnel!$H$5:$H$19,MATCH($A98,Personnel!$A$5:$A$19,0)),""))</f>
        <v/>
      </c>
      <c r="L98" s="41" t="str">
        <f aca="false">IF(A98="","",IFERROR(INDEX(Personnel!$I$5:$I$19,MATCH($A98,Personnel!$A$5:$A$19,0)),""))</f>
        <v/>
      </c>
      <c r="M98" s="19" t="str">
        <f aca="false">IF(A98="","",F98*K98)</f>
        <v/>
      </c>
      <c r="N98" s="19" t="str">
        <f aca="false">IF(A98="","",IFERROR(G98*L98,0))</f>
        <v/>
      </c>
      <c r="O98" s="19" t="str">
        <f aca="false">IF(A98="","",H98*K98)</f>
        <v/>
      </c>
      <c r="P98" s="19" t="str">
        <f aca="false">IF(A98="","",SUM(M98:O98))</f>
        <v/>
      </c>
      <c r="Q98" s="33" t="str">
        <f aca="false">IF(P98="","",P98*Rates!$B$3)</f>
        <v/>
      </c>
      <c r="R98" s="33" t="str">
        <f aca="false">IF(P98="","",(P98+Q98)*Rates!$B$4)</f>
        <v/>
      </c>
      <c r="S98" s="19" t="str">
        <f aca="false">IF(P98="","",P98+Q98+R98)</f>
        <v/>
      </c>
    </row>
    <row r="99" customFormat="false" ht="15" hidden="false" customHeight="false" outlineLevel="0" collapsed="false">
      <c r="A99" s="12"/>
      <c r="B99" s="38" t="str">
        <f aca="false">IF(A99="","",IFERROR(INDEX(Personnel!$B$5:$B$19,MATCH($A99,Personnel!$A$5:$A$19,0)),"-- not found --"))</f>
        <v/>
      </c>
      <c r="C99" s="38" t="str">
        <f aca="false">IF(A99="","",IFERROR(INDEX(Personnel!$C$5:$C$19,MATCH($A99,Personnel!$A$5:$A$19,0)),""))</f>
        <v/>
      </c>
      <c r="D99" s="12"/>
      <c r="E99" s="27" t="str">
        <f aca="false">IF(D99="","",EDATE(Dashboard!$C$5,D99-1))</f>
        <v/>
      </c>
      <c r="F99" s="12"/>
      <c r="G99" s="12"/>
      <c r="H99" s="12"/>
      <c r="I99" s="42" t="str">
        <f aca="false">IFERROR(IF(OR(A99="",D99=""),"",MAX(0,(INDEX(Personnel!$G$5:$G$19,MATCH($A99,Personnel!$A$5:$A$19,0))/12)*((MIN(EOMONTH(E99,0),IF(INDEX(Personnel!$K$5:$K$19,MATCH($A99,Personnel!$A$5:$A$19,0))="",EOMONTH(E99,0),INDEX(Personnel!$K$5:$K$19,MATCH($A99,Personnel!$A$5:$A$19,0))))-MAX(DATE(YEAR(E99),MONTH(E99),1),INDEX(Personnel!$J$5:$J$19,MATCH($A99,Personnel!$A$5:$A$19,0)))+1)/DAY(EOMONTH(E99,0))))),"")</f>
        <v/>
      </c>
      <c r="J99" s="43" t="str">
        <f aca="false">IF(OR(I99="",A99=""),"",(F99+G99+H99)-I99)</f>
        <v/>
      </c>
      <c r="K99" s="44" t="str">
        <f aca="false">IF(A99="","",IFERROR(INDEX(Personnel!$H$5:$H$19,MATCH($A99,Personnel!$A$5:$A$19,0)),""))</f>
        <v/>
      </c>
      <c r="L99" s="38" t="str">
        <f aca="false">IF(A99="","",IFERROR(INDEX(Personnel!$I$5:$I$19,MATCH($A99,Personnel!$A$5:$A$19,0)),""))</f>
        <v/>
      </c>
      <c r="M99" s="15" t="str">
        <f aca="false">IF(A99="","",F99*K99)</f>
        <v/>
      </c>
      <c r="N99" s="15" t="str">
        <f aca="false">IF(A99="","",IFERROR(G99*L99,0))</f>
        <v/>
      </c>
      <c r="O99" s="15" t="str">
        <f aca="false">IF(A99="","",H99*K99)</f>
        <v/>
      </c>
      <c r="P99" s="15" t="str">
        <f aca="false">IF(A99="","",SUM(M99:O99))</f>
        <v/>
      </c>
      <c r="Q99" s="28" t="str">
        <f aca="false">IF(P99="","",P99*Rates!$B$3)</f>
        <v/>
      </c>
      <c r="R99" s="28" t="str">
        <f aca="false">IF(P99="","",(P99+Q99)*Rates!$B$4)</f>
        <v/>
      </c>
      <c r="S99" s="15" t="str">
        <f aca="false">IF(P99="","",P99+Q99+R99)</f>
        <v/>
      </c>
    </row>
    <row r="100" customFormat="false" ht="15" hidden="false" customHeight="false" outlineLevel="0" collapsed="false">
      <c r="A100" s="16"/>
      <c r="B100" s="41" t="str">
        <f aca="false">IF(A100="","",IFERROR(INDEX(Personnel!$B$5:$B$19,MATCH($A100,Personnel!$A$5:$A$19,0)),"-- not found --"))</f>
        <v/>
      </c>
      <c r="C100" s="41" t="str">
        <f aca="false">IF(A100="","",IFERROR(INDEX(Personnel!$C$5:$C$19,MATCH($A100,Personnel!$A$5:$A$19,0)),""))</f>
        <v/>
      </c>
      <c r="D100" s="16"/>
      <c r="E100" s="32" t="str">
        <f aca="false">IF(D100="","",EDATE(Dashboard!$C$5,D100-1))</f>
        <v/>
      </c>
      <c r="F100" s="16"/>
      <c r="G100" s="16"/>
      <c r="H100" s="16"/>
      <c r="I100" s="45" t="str">
        <f aca="false">IFERROR(IF(OR(A100="",D100=""),"",MAX(0,(INDEX(Personnel!$G$5:$G$19,MATCH($A100,Personnel!$A$5:$A$19,0))/12)*((MIN(EOMONTH(E100,0),IF(INDEX(Personnel!$K$5:$K$19,MATCH($A100,Personnel!$A$5:$A$19,0))="",EOMONTH(E100,0),INDEX(Personnel!$K$5:$K$19,MATCH($A100,Personnel!$A$5:$A$19,0))))-MAX(DATE(YEAR(E100),MONTH(E100),1),INDEX(Personnel!$J$5:$J$19,MATCH($A100,Personnel!$A$5:$A$19,0)))+1)/DAY(EOMONTH(E100,0))))),"")</f>
        <v/>
      </c>
      <c r="J100" s="46" t="str">
        <f aca="false">IF(OR(I100="",A100=""),"",(F100+G100+H100)-I100)</f>
        <v/>
      </c>
      <c r="K100" s="47" t="str">
        <f aca="false">IF(A100="","",IFERROR(INDEX(Personnel!$H$5:$H$19,MATCH($A100,Personnel!$A$5:$A$19,0)),""))</f>
        <v/>
      </c>
      <c r="L100" s="41" t="str">
        <f aca="false">IF(A100="","",IFERROR(INDEX(Personnel!$I$5:$I$19,MATCH($A100,Personnel!$A$5:$A$19,0)),""))</f>
        <v/>
      </c>
      <c r="M100" s="19" t="str">
        <f aca="false">IF(A100="","",F100*K100)</f>
        <v/>
      </c>
      <c r="N100" s="19" t="str">
        <f aca="false">IF(A100="","",IFERROR(G100*L100,0))</f>
        <v/>
      </c>
      <c r="O100" s="19" t="str">
        <f aca="false">IF(A100="","",H100*K100)</f>
        <v/>
      </c>
      <c r="P100" s="19" t="str">
        <f aca="false">IF(A100="","",SUM(M100:O100))</f>
        <v/>
      </c>
      <c r="Q100" s="33" t="str">
        <f aca="false">IF(P100="","",P100*Rates!$B$3)</f>
        <v/>
      </c>
      <c r="R100" s="33" t="str">
        <f aca="false">IF(P100="","",(P100+Q100)*Rates!$B$4)</f>
        <v/>
      </c>
      <c r="S100" s="19" t="str">
        <f aca="false">IF(P100="","",P100+Q100+R100)</f>
        <v/>
      </c>
    </row>
    <row r="101" customFormat="false" ht="15" hidden="false" customHeight="false" outlineLevel="0" collapsed="false">
      <c r="A101" s="12"/>
      <c r="B101" s="38" t="str">
        <f aca="false">IF(A101="","",IFERROR(INDEX(Personnel!$B$5:$B$19,MATCH($A101,Personnel!$A$5:$A$19,0)),"-- not found --"))</f>
        <v/>
      </c>
      <c r="C101" s="38" t="str">
        <f aca="false">IF(A101="","",IFERROR(INDEX(Personnel!$C$5:$C$19,MATCH($A101,Personnel!$A$5:$A$19,0)),""))</f>
        <v/>
      </c>
      <c r="D101" s="12"/>
      <c r="E101" s="27" t="str">
        <f aca="false">IF(D101="","",EDATE(Dashboard!$C$5,D101-1))</f>
        <v/>
      </c>
      <c r="F101" s="12"/>
      <c r="G101" s="12"/>
      <c r="H101" s="12"/>
      <c r="I101" s="42" t="str">
        <f aca="false">IFERROR(IF(OR(A101="",D101=""),"",MAX(0,(INDEX(Personnel!$G$5:$G$19,MATCH($A101,Personnel!$A$5:$A$19,0))/12)*((MIN(EOMONTH(E101,0),IF(INDEX(Personnel!$K$5:$K$19,MATCH($A101,Personnel!$A$5:$A$19,0))="",EOMONTH(E101,0),INDEX(Personnel!$K$5:$K$19,MATCH($A101,Personnel!$A$5:$A$19,0))))-MAX(DATE(YEAR(E101),MONTH(E101),1),INDEX(Personnel!$J$5:$J$19,MATCH($A101,Personnel!$A$5:$A$19,0)))+1)/DAY(EOMONTH(E101,0))))),"")</f>
        <v/>
      </c>
      <c r="J101" s="43" t="str">
        <f aca="false">IF(OR(I101="",A101=""),"",(F101+G101+H101)-I101)</f>
        <v/>
      </c>
      <c r="K101" s="44" t="str">
        <f aca="false">IF(A101="","",IFERROR(INDEX(Personnel!$H$5:$H$19,MATCH($A101,Personnel!$A$5:$A$19,0)),""))</f>
        <v/>
      </c>
      <c r="L101" s="38" t="str">
        <f aca="false">IF(A101="","",IFERROR(INDEX(Personnel!$I$5:$I$19,MATCH($A101,Personnel!$A$5:$A$19,0)),""))</f>
        <v/>
      </c>
      <c r="M101" s="15" t="str">
        <f aca="false">IF(A101="","",F101*K101)</f>
        <v/>
      </c>
      <c r="N101" s="15" t="str">
        <f aca="false">IF(A101="","",IFERROR(G101*L101,0))</f>
        <v/>
      </c>
      <c r="O101" s="15" t="str">
        <f aca="false">IF(A101="","",H101*K101)</f>
        <v/>
      </c>
      <c r="P101" s="15" t="str">
        <f aca="false">IF(A101="","",SUM(M101:O101))</f>
        <v/>
      </c>
      <c r="Q101" s="28" t="str">
        <f aca="false">IF(P101="","",P101*Rates!$B$3)</f>
        <v/>
      </c>
      <c r="R101" s="28" t="str">
        <f aca="false">IF(P101="","",(P101+Q101)*Rates!$B$4)</f>
        <v/>
      </c>
      <c r="S101" s="15" t="str">
        <f aca="false">IF(P101="","",P101+Q101+R101)</f>
        <v/>
      </c>
    </row>
    <row r="102" customFormat="false" ht="15" hidden="false" customHeight="false" outlineLevel="0" collapsed="false">
      <c r="A102" s="16"/>
      <c r="B102" s="41" t="str">
        <f aca="false">IF(A102="","",IFERROR(INDEX(Personnel!$B$5:$B$19,MATCH($A102,Personnel!$A$5:$A$19,0)),"-- not found --"))</f>
        <v/>
      </c>
      <c r="C102" s="41" t="str">
        <f aca="false">IF(A102="","",IFERROR(INDEX(Personnel!$C$5:$C$19,MATCH($A102,Personnel!$A$5:$A$19,0)),""))</f>
        <v/>
      </c>
      <c r="D102" s="16"/>
      <c r="E102" s="32" t="str">
        <f aca="false">IF(D102="","",EDATE(Dashboard!$C$5,D102-1))</f>
        <v/>
      </c>
      <c r="F102" s="16"/>
      <c r="G102" s="16"/>
      <c r="H102" s="16"/>
      <c r="I102" s="45" t="str">
        <f aca="false">IFERROR(IF(OR(A102="",D102=""),"",MAX(0,(INDEX(Personnel!$G$5:$G$19,MATCH($A102,Personnel!$A$5:$A$19,0))/12)*((MIN(EOMONTH(E102,0),IF(INDEX(Personnel!$K$5:$K$19,MATCH($A102,Personnel!$A$5:$A$19,0))="",EOMONTH(E102,0),INDEX(Personnel!$K$5:$K$19,MATCH($A102,Personnel!$A$5:$A$19,0))))-MAX(DATE(YEAR(E102),MONTH(E102),1),INDEX(Personnel!$J$5:$J$19,MATCH($A102,Personnel!$A$5:$A$19,0)))+1)/DAY(EOMONTH(E102,0))))),"")</f>
        <v/>
      </c>
      <c r="J102" s="46" t="str">
        <f aca="false">IF(OR(I102="",A102=""),"",(F102+G102+H102)-I102)</f>
        <v/>
      </c>
      <c r="K102" s="47" t="str">
        <f aca="false">IF(A102="","",IFERROR(INDEX(Personnel!$H$5:$H$19,MATCH($A102,Personnel!$A$5:$A$19,0)),""))</f>
        <v/>
      </c>
      <c r="L102" s="41" t="str">
        <f aca="false">IF(A102="","",IFERROR(INDEX(Personnel!$I$5:$I$19,MATCH($A102,Personnel!$A$5:$A$19,0)),""))</f>
        <v/>
      </c>
      <c r="M102" s="19" t="str">
        <f aca="false">IF(A102="","",F102*K102)</f>
        <v/>
      </c>
      <c r="N102" s="19" t="str">
        <f aca="false">IF(A102="","",IFERROR(G102*L102,0))</f>
        <v/>
      </c>
      <c r="O102" s="19" t="str">
        <f aca="false">IF(A102="","",H102*K102)</f>
        <v/>
      </c>
      <c r="P102" s="19" t="str">
        <f aca="false">IF(A102="","",SUM(M102:O102))</f>
        <v/>
      </c>
      <c r="Q102" s="33" t="str">
        <f aca="false">IF(P102="","",P102*Rates!$B$3)</f>
        <v/>
      </c>
      <c r="R102" s="33" t="str">
        <f aca="false">IF(P102="","",(P102+Q102)*Rates!$B$4)</f>
        <v/>
      </c>
      <c r="S102" s="19" t="str">
        <f aca="false">IF(P102="","",P102+Q102+R102)</f>
        <v/>
      </c>
    </row>
    <row r="103" customFormat="false" ht="15" hidden="false" customHeight="false" outlineLevel="0" collapsed="false">
      <c r="A103" s="12"/>
      <c r="B103" s="38" t="str">
        <f aca="false">IF(A103="","",IFERROR(INDEX(Personnel!$B$5:$B$19,MATCH($A103,Personnel!$A$5:$A$19,0)),"-- not found --"))</f>
        <v/>
      </c>
      <c r="C103" s="38" t="str">
        <f aca="false">IF(A103="","",IFERROR(INDEX(Personnel!$C$5:$C$19,MATCH($A103,Personnel!$A$5:$A$19,0)),""))</f>
        <v/>
      </c>
      <c r="D103" s="12"/>
      <c r="E103" s="27" t="str">
        <f aca="false">IF(D103="","",EDATE(Dashboard!$C$5,D103-1))</f>
        <v/>
      </c>
      <c r="F103" s="12"/>
      <c r="G103" s="12"/>
      <c r="H103" s="12"/>
      <c r="I103" s="42" t="str">
        <f aca="false">IFERROR(IF(OR(A103="",D103=""),"",MAX(0,(INDEX(Personnel!$G$5:$G$19,MATCH($A103,Personnel!$A$5:$A$19,0))/12)*((MIN(EOMONTH(E103,0),IF(INDEX(Personnel!$K$5:$K$19,MATCH($A103,Personnel!$A$5:$A$19,0))="",EOMONTH(E103,0),INDEX(Personnel!$K$5:$K$19,MATCH($A103,Personnel!$A$5:$A$19,0))))-MAX(DATE(YEAR(E103),MONTH(E103),1),INDEX(Personnel!$J$5:$J$19,MATCH($A103,Personnel!$A$5:$A$19,0)))+1)/DAY(EOMONTH(E103,0))))),"")</f>
        <v/>
      </c>
      <c r="J103" s="43" t="str">
        <f aca="false">IF(OR(I103="",A103=""),"",(F103+G103+H103)-I103)</f>
        <v/>
      </c>
      <c r="K103" s="44" t="str">
        <f aca="false">IF(A103="","",IFERROR(INDEX(Personnel!$H$5:$H$19,MATCH($A103,Personnel!$A$5:$A$19,0)),""))</f>
        <v/>
      </c>
      <c r="L103" s="38" t="str">
        <f aca="false">IF(A103="","",IFERROR(INDEX(Personnel!$I$5:$I$19,MATCH($A103,Personnel!$A$5:$A$19,0)),""))</f>
        <v/>
      </c>
      <c r="M103" s="15" t="str">
        <f aca="false">IF(A103="","",F103*K103)</f>
        <v/>
      </c>
      <c r="N103" s="15" t="str">
        <f aca="false">IF(A103="","",IFERROR(G103*L103,0))</f>
        <v/>
      </c>
      <c r="O103" s="15" t="str">
        <f aca="false">IF(A103="","",H103*K103)</f>
        <v/>
      </c>
      <c r="P103" s="15" t="str">
        <f aca="false">IF(A103="","",SUM(M103:O103))</f>
        <v/>
      </c>
      <c r="Q103" s="28" t="str">
        <f aca="false">IF(P103="","",P103*Rates!$B$3)</f>
        <v/>
      </c>
      <c r="R103" s="28" t="str">
        <f aca="false">IF(P103="","",(P103+Q103)*Rates!$B$4)</f>
        <v/>
      </c>
      <c r="S103" s="15" t="str">
        <f aca="false">IF(P103="","",P103+Q103+R103)</f>
        <v/>
      </c>
    </row>
    <row r="104" customFormat="false" ht="15" hidden="false" customHeight="false" outlineLevel="0" collapsed="false">
      <c r="A104" s="16"/>
      <c r="B104" s="41" t="str">
        <f aca="false">IF(A104="","",IFERROR(INDEX(Personnel!$B$5:$B$19,MATCH($A104,Personnel!$A$5:$A$19,0)),"-- not found --"))</f>
        <v/>
      </c>
      <c r="C104" s="41" t="str">
        <f aca="false">IF(A104="","",IFERROR(INDEX(Personnel!$C$5:$C$19,MATCH($A104,Personnel!$A$5:$A$19,0)),""))</f>
        <v/>
      </c>
      <c r="D104" s="16"/>
      <c r="E104" s="32" t="str">
        <f aca="false">IF(D104="","",EDATE(Dashboard!$C$5,D104-1))</f>
        <v/>
      </c>
      <c r="F104" s="16"/>
      <c r="G104" s="16"/>
      <c r="H104" s="16"/>
      <c r="I104" s="45" t="str">
        <f aca="false">IFERROR(IF(OR(A104="",D104=""),"",MAX(0,(INDEX(Personnel!$G$5:$G$19,MATCH($A104,Personnel!$A$5:$A$19,0))/12)*((MIN(EOMONTH(E104,0),IF(INDEX(Personnel!$K$5:$K$19,MATCH($A104,Personnel!$A$5:$A$19,0))="",EOMONTH(E104,0),INDEX(Personnel!$K$5:$K$19,MATCH($A104,Personnel!$A$5:$A$19,0))))-MAX(DATE(YEAR(E104),MONTH(E104),1),INDEX(Personnel!$J$5:$J$19,MATCH($A104,Personnel!$A$5:$A$19,0)))+1)/DAY(EOMONTH(E104,0))))),"")</f>
        <v/>
      </c>
      <c r="J104" s="46" t="str">
        <f aca="false">IF(OR(I104="",A104=""),"",(F104+G104+H104)-I104)</f>
        <v/>
      </c>
      <c r="K104" s="47" t="str">
        <f aca="false">IF(A104="","",IFERROR(INDEX(Personnel!$H$5:$H$19,MATCH($A104,Personnel!$A$5:$A$19,0)),""))</f>
        <v/>
      </c>
      <c r="L104" s="41" t="str">
        <f aca="false">IF(A104="","",IFERROR(INDEX(Personnel!$I$5:$I$19,MATCH($A104,Personnel!$A$5:$A$19,0)),""))</f>
        <v/>
      </c>
      <c r="M104" s="19" t="str">
        <f aca="false">IF(A104="","",F104*K104)</f>
        <v/>
      </c>
      <c r="N104" s="19" t="str">
        <f aca="false">IF(A104="","",IFERROR(G104*L104,0))</f>
        <v/>
      </c>
      <c r="O104" s="19" t="str">
        <f aca="false">IF(A104="","",H104*K104)</f>
        <v/>
      </c>
      <c r="P104" s="19" t="str">
        <f aca="false">IF(A104="","",SUM(M104:O104))</f>
        <v/>
      </c>
      <c r="Q104" s="33" t="str">
        <f aca="false">IF(P104="","",P104*Rates!$B$3)</f>
        <v/>
      </c>
      <c r="R104" s="33" t="str">
        <f aca="false">IF(P104="","",(P104+Q104)*Rates!$B$4)</f>
        <v/>
      </c>
      <c r="S104" s="19" t="str">
        <f aca="false">IF(P104="","",P104+Q104+R104)</f>
        <v/>
      </c>
    </row>
    <row r="105" customFormat="false" ht="15" hidden="false" customHeight="false" outlineLevel="0" collapsed="false">
      <c r="A105" s="12"/>
      <c r="B105" s="38" t="str">
        <f aca="false">IF(A105="","",IFERROR(INDEX(Personnel!$B$5:$B$19,MATCH($A105,Personnel!$A$5:$A$19,0)),"-- not found --"))</f>
        <v/>
      </c>
      <c r="C105" s="38" t="str">
        <f aca="false">IF(A105="","",IFERROR(INDEX(Personnel!$C$5:$C$19,MATCH($A105,Personnel!$A$5:$A$19,0)),""))</f>
        <v/>
      </c>
      <c r="D105" s="12"/>
      <c r="E105" s="27" t="str">
        <f aca="false">IF(D105="","",EDATE(Dashboard!$C$5,D105-1))</f>
        <v/>
      </c>
      <c r="F105" s="12"/>
      <c r="G105" s="12"/>
      <c r="H105" s="12"/>
      <c r="I105" s="42" t="str">
        <f aca="false">IFERROR(IF(OR(A105="",D105=""),"",MAX(0,(INDEX(Personnel!$G$5:$G$19,MATCH($A105,Personnel!$A$5:$A$19,0))/12)*((MIN(EOMONTH(E105,0),IF(INDEX(Personnel!$K$5:$K$19,MATCH($A105,Personnel!$A$5:$A$19,0))="",EOMONTH(E105,0),INDEX(Personnel!$K$5:$K$19,MATCH($A105,Personnel!$A$5:$A$19,0))))-MAX(DATE(YEAR(E105),MONTH(E105),1),INDEX(Personnel!$J$5:$J$19,MATCH($A105,Personnel!$A$5:$A$19,0)))+1)/DAY(EOMONTH(E105,0))))),"")</f>
        <v/>
      </c>
      <c r="J105" s="43" t="str">
        <f aca="false">IF(OR(I105="",A105=""),"",(F105+G105+H105)-I105)</f>
        <v/>
      </c>
      <c r="K105" s="44" t="str">
        <f aca="false">IF(A105="","",IFERROR(INDEX(Personnel!$H$5:$H$19,MATCH($A105,Personnel!$A$5:$A$19,0)),""))</f>
        <v/>
      </c>
      <c r="L105" s="38" t="str">
        <f aca="false">IF(A105="","",IFERROR(INDEX(Personnel!$I$5:$I$19,MATCH($A105,Personnel!$A$5:$A$19,0)),""))</f>
        <v/>
      </c>
      <c r="M105" s="15" t="str">
        <f aca="false">IF(A105="","",F105*K105)</f>
        <v/>
      </c>
      <c r="N105" s="15" t="str">
        <f aca="false">IF(A105="","",IFERROR(G105*L105,0))</f>
        <v/>
      </c>
      <c r="O105" s="15" t="str">
        <f aca="false">IF(A105="","",H105*K105)</f>
        <v/>
      </c>
      <c r="P105" s="15" t="str">
        <f aca="false">IF(A105="","",SUM(M105:O105))</f>
        <v/>
      </c>
      <c r="Q105" s="28" t="str">
        <f aca="false">IF(P105="","",P105*Rates!$B$3)</f>
        <v/>
      </c>
      <c r="R105" s="28" t="str">
        <f aca="false">IF(P105="","",(P105+Q105)*Rates!$B$4)</f>
        <v/>
      </c>
      <c r="S105" s="15" t="str">
        <f aca="false">IF(P105="","",P105+Q105+R105)</f>
        <v/>
      </c>
    </row>
    <row r="106" customFormat="false" ht="15" hidden="false" customHeight="false" outlineLevel="0" collapsed="false">
      <c r="A106" s="16"/>
      <c r="B106" s="41" t="str">
        <f aca="false">IF(A106="","",IFERROR(INDEX(Personnel!$B$5:$B$19,MATCH($A106,Personnel!$A$5:$A$19,0)),"-- not found --"))</f>
        <v/>
      </c>
      <c r="C106" s="41" t="str">
        <f aca="false">IF(A106="","",IFERROR(INDEX(Personnel!$C$5:$C$19,MATCH($A106,Personnel!$A$5:$A$19,0)),""))</f>
        <v/>
      </c>
      <c r="D106" s="16"/>
      <c r="E106" s="32" t="str">
        <f aca="false">IF(D106="","",EDATE(Dashboard!$C$5,D106-1))</f>
        <v/>
      </c>
      <c r="F106" s="16"/>
      <c r="G106" s="16"/>
      <c r="H106" s="16"/>
      <c r="I106" s="45" t="str">
        <f aca="false">IFERROR(IF(OR(A106="",D106=""),"",MAX(0,(INDEX(Personnel!$G$5:$G$19,MATCH($A106,Personnel!$A$5:$A$19,0))/12)*((MIN(EOMONTH(E106,0),IF(INDEX(Personnel!$K$5:$K$19,MATCH($A106,Personnel!$A$5:$A$19,0))="",EOMONTH(E106,0),INDEX(Personnel!$K$5:$K$19,MATCH($A106,Personnel!$A$5:$A$19,0))))-MAX(DATE(YEAR(E106),MONTH(E106),1),INDEX(Personnel!$J$5:$J$19,MATCH($A106,Personnel!$A$5:$A$19,0)))+1)/DAY(EOMONTH(E106,0))))),"")</f>
        <v/>
      </c>
      <c r="J106" s="46" t="str">
        <f aca="false">IF(OR(I106="",A106=""),"",(F106+G106+H106)-I106)</f>
        <v/>
      </c>
      <c r="K106" s="47" t="str">
        <f aca="false">IF(A106="","",IFERROR(INDEX(Personnel!$H$5:$H$19,MATCH($A106,Personnel!$A$5:$A$19,0)),""))</f>
        <v/>
      </c>
      <c r="L106" s="41" t="str">
        <f aca="false">IF(A106="","",IFERROR(INDEX(Personnel!$I$5:$I$19,MATCH($A106,Personnel!$A$5:$A$19,0)),""))</f>
        <v/>
      </c>
      <c r="M106" s="19" t="str">
        <f aca="false">IF(A106="","",F106*K106)</f>
        <v/>
      </c>
      <c r="N106" s="19" t="str">
        <f aca="false">IF(A106="","",IFERROR(G106*L106,0))</f>
        <v/>
      </c>
      <c r="O106" s="19" t="str">
        <f aca="false">IF(A106="","",H106*K106)</f>
        <v/>
      </c>
      <c r="P106" s="19" t="str">
        <f aca="false">IF(A106="","",SUM(M106:O106))</f>
        <v/>
      </c>
      <c r="Q106" s="33" t="str">
        <f aca="false">IF(P106="","",P106*Rates!$B$3)</f>
        <v/>
      </c>
      <c r="R106" s="33" t="str">
        <f aca="false">IF(P106="","",(P106+Q106)*Rates!$B$4)</f>
        <v/>
      </c>
      <c r="S106" s="19" t="str">
        <f aca="false">IF(P106="","",P106+Q106+R106)</f>
        <v/>
      </c>
    </row>
    <row r="107" customFormat="false" ht="15" hidden="false" customHeight="false" outlineLevel="0" collapsed="false">
      <c r="A107" s="12"/>
      <c r="B107" s="38" t="str">
        <f aca="false">IF(A107="","",IFERROR(INDEX(Personnel!$B$5:$B$19,MATCH($A107,Personnel!$A$5:$A$19,0)),"-- not found --"))</f>
        <v/>
      </c>
      <c r="C107" s="38" t="str">
        <f aca="false">IF(A107="","",IFERROR(INDEX(Personnel!$C$5:$C$19,MATCH($A107,Personnel!$A$5:$A$19,0)),""))</f>
        <v/>
      </c>
      <c r="D107" s="12"/>
      <c r="E107" s="27" t="str">
        <f aca="false">IF(D107="","",EDATE(Dashboard!$C$5,D107-1))</f>
        <v/>
      </c>
      <c r="F107" s="12"/>
      <c r="G107" s="12"/>
      <c r="H107" s="12"/>
      <c r="I107" s="42" t="str">
        <f aca="false">IFERROR(IF(OR(A107="",D107=""),"",MAX(0,(INDEX(Personnel!$G$5:$G$19,MATCH($A107,Personnel!$A$5:$A$19,0))/12)*((MIN(EOMONTH(E107,0),IF(INDEX(Personnel!$K$5:$K$19,MATCH($A107,Personnel!$A$5:$A$19,0))="",EOMONTH(E107,0),INDEX(Personnel!$K$5:$K$19,MATCH($A107,Personnel!$A$5:$A$19,0))))-MAX(DATE(YEAR(E107),MONTH(E107),1),INDEX(Personnel!$J$5:$J$19,MATCH($A107,Personnel!$A$5:$A$19,0)))+1)/DAY(EOMONTH(E107,0))))),"")</f>
        <v/>
      </c>
      <c r="J107" s="43" t="str">
        <f aca="false">IF(OR(I107="",A107=""),"",(F107+G107+H107)-I107)</f>
        <v/>
      </c>
      <c r="K107" s="44" t="str">
        <f aca="false">IF(A107="","",IFERROR(INDEX(Personnel!$H$5:$H$19,MATCH($A107,Personnel!$A$5:$A$19,0)),""))</f>
        <v/>
      </c>
      <c r="L107" s="38" t="str">
        <f aca="false">IF(A107="","",IFERROR(INDEX(Personnel!$I$5:$I$19,MATCH($A107,Personnel!$A$5:$A$19,0)),""))</f>
        <v/>
      </c>
      <c r="M107" s="15" t="str">
        <f aca="false">IF(A107="","",F107*K107)</f>
        <v/>
      </c>
      <c r="N107" s="15" t="str">
        <f aca="false">IF(A107="","",IFERROR(G107*L107,0))</f>
        <v/>
      </c>
      <c r="O107" s="15" t="str">
        <f aca="false">IF(A107="","",H107*K107)</f>
        <v/>
      </c>
      <c r="P107" s="15" t="str">
        <f aca="false">IF(A107="","",SUM(M107:O107))</f>
        <v/>
      </c>
      <c r="Q107" s="28" t="str">
        <f aca="false">IF(P107="","",P107*Rates!$B$3)</f>
        <v/>
      </c>
      <c r="R107" s="28" t="str">
        <f aca="false">IF(P107="","",(P107+Q107)*Rates!$B$4)</f>
        <v/>
      </c>
      <c r="S107" s="15" t="str">
        <f aca="false">IF(P107="","",P107+Q107+R107)</f>
        <v/>
      </c>
    </row>
    <row r="108" customFormat="false" ht="15" hidden="false" customHeight="false" outlineLevel="0" collapsed="false">
      <c r="A108" s="16"/>
      <c r="B108" s="41" t="str">
        <f aca="false">IF(A108="","",IFERROR(INDEX(Personnel!$B$5:$B$19,MATCH($A108,Personnel!$A$5:$A$19,0)),"-- not found --"))</f>
        <v/>
      </c>
      <c r="C108" s="41" t="str">
        <f aca="false">IF(A108="","",IFERROR(INDEX(Personnel!$C$5:$C$19,MATCH($A108,Personnel!$A$5:$A$19,0)),""))</f>
        <v/>
      </c>
      <c r="D108" s="16"/>
      <c r="E108" s="32" t="str">
        <f aca="false">IF(D108="","",EDATE(Dashboard!$C$5,D108-1))</f>
        <v/>
      </c>
      <c r="F108" s="16"/>
      <c r="G108" s="16"/>
      <c r="H108" s="16"/>
      <c r="I108" s="45" t="str">
        <f aca="false">IFERROR(IF(OR(A108="",D108=""),"",MAX(0,(INDEX(Personnel!$G$5:$G$19,MATCH($A108,Personnel!$A$5:$A$19,0))/12)*((MIN(EOMONTH(E108,0),IF(INDEX(Personnel!$K$5:$K$19,MATCH($A108,Personnel!$A$5:$A$19,0))="",EOMONTH(E108,0),INDEX(Personnel!$K$5:$K$19,MATCH($A108,Personnel!$A$5:$A$19,0))))-MAX(DATE(YEAR(E108),MONTH(E108),1),INDEX(Personnel!$J$5:$J$19,MATCH($A108,Personnel!$A$5:$A$19,0)))+1)/DAY(EOMONTH(E108,0))))),"")</f>
        <v/>
      </c>
      <c r="J108" s="46" t="str">
        <f aca="false">IF(OR(I108="",A108=""),"",(F108+G108+H108)-I108)</f>
        <v/>
      </c>
      <c r="K108" s="47" t="str">
        <f aca="false">IF(A108="","",IFERROR(INDEX(Personnel!$H$5:$H$19,MATCH($A108,Personnel!$A$5:$A$19,0)),""))</f>
        <v/>
      </c>
      <c r="L108" s="41" t="str">
        <f aca="false">IF(A108="","",IFERROR(INDEX(Personnel!$I$5:$I$19,MATCH($A108,Personnel!$A$5:$A$19,0)),""))</f>
        <v/>
      </c>
      <c r="M108" s="19" t="str">
        <f aca="false">IF(A108="","",F108*K108)</f>
        <v/>
      </c>
      <c r="N108" s="19" t="str">
        <f aca="false">IF(A108="","",IFERROR(G108*L108,0))</f>
        <v/>
      </c>
      <c r="O108" s="19" t="str">
        <f aca="false">IF(A108="","",H108*K108)</f>
        <v/>
      </c>
      <c r="P108" s="19" t="str">
        <f aca="false">IF(A108="","",SUM(M108:O108))</f>
        <v/>
      </c>
      <c r="Q108" s="33" t="str">
        <f aca="false">IF(P108="","",P108*Rates!$B$3)</f>
        <v/>
      </c>
      <c r="R108" s="33" t="str">
        <f aca="false">IF(P108="","",(P108+Q108)*Rates!$B$4)</f>
        <v/>
      </c>
      <c r="S108" s="19" t="str">
        <f aca="false">IF(P108="","",P108+Q108+R108)</f>
        <v/>
      </c>
    </row>
    <row r="109" customFormat="false" ht="15" hidden="false" customHeight="false" outlineLevel="0" collapsed="false">
      <c r="A109" s="12"/>
      <c r="B109" s="38" t="str">
        <f aca="false">IF(A109="","",IFERROR(INDEX(Personnel!$B$5:$B$19,MATCH($A109,Personnel!$A$5:$A$19,0)),"-- not found --"))</f>
        <v/>
      </c>
      <c r="C109" s="38" t="str">
        <f aca="false">IF(A109="","",IFERROR(INDEX(Personnel!$C$5:$C$19,MATCH($A109,Personnel!$A$5:$A$19,0)),""))</f>
        <v/>
      </c>
      <c r="D109" s="12"/>
      <c r="E109" s="27" t="str">
        <f aca="false">IF(D109="","",EDATE(Dashboard!$C$5,D109-1))</f>
        <v/>
      </c>
      <c r="F109" s="12"/>
      <c r="G109" s="12"/>
      <c r="H109" s="12"/>
      <c r="I109" s="42" t="str">
        <f aca="false">IFERROR(IF(OR(A109="",D109=""),"",MAX(0,(INDEX(Personnel!$G$5:$G$19,MATCH($A109,Personnel!$A$5:$A$19,0))/12)*((MIN(EOMONTH(E109,0),IF(INDEX(Personnel!$K$5:$K$19,MATCH($A109,Personnel!$A$5:$A$19,0))="",EOMONTH(E109,0),INDEX(Personnel!$K$5:$K$19,MATCH($A109,Personnel!$A$5:$A$19,0))))-MAX(DATE(YEAR(E109),MONTH(E109),1),INDEX(Personnel!$J$5:$J$19,MATCH($A109,Personnel!$A$5:$A$19,0)))+1)/DAY(EOMONTH(E109,0))))),"")</f>
        <v/>
      </c>
      <c r="J109" s="43" t="str">
        <f aca="false">IF(OR(I109="",A109=""),"",(F109+G109+H109)-I109)</f>
        <v/>
      </c>
      <c r="K109" s="44" t="str">
        <f aca="false">IF(A109="","",IFERROR(INDEX(Personnel!$H$5:$H$19,MATCH($A109,Personnel!$A$5:$A$19,0)),""))</f>
        <v/>
      </c>
      <c r="L109" s="38" t="str">
        <f aca="false">IF(A109="","",IFERROR(INDEX(Personnel!$I$5:$I$19,MATCH($A109,Personnel!$A$5:$A$19,0)),""))</f>
        <v/>
      </c>
      <c r="M109" s="15" t="str">
        <f aca="false">IF(A109="","",F109*K109)</f>
        <v/>
      </c>
      <c r="N109" s="15" t="str">
        <f aca="false">IF(A109="","",IFERROR(G109*L109,0))</f>
        <v/>
      </c>
      <c r="O109" s="15" t="str">
        <f aca="false">IF(A109="","",H109*K109)</f>
        <v/>
      </c>
      <c r="P109" s="15" t="str">
        <f aca="false">IF(A109="","",SUM(M109:O109))</f>
        <v/>
      </c>
      <c r="Q109" s="28" t="str">
        <f aca="false">IF(P109="","",P109*Rates!$B$3)</f>
        <v/>
      </c>
      <c r="R109" s="28" t="str">
        <f aca="false">IF(P109="","",(P109+Q109)*Rates!$B$4)</f>
        <v/>
      </c>
      <c r="S109" s="15" t="str">
        <f aca="false">IF(P109="","",P109+Q109+R109)</f>
        <v/>
      </c>
    </row>
    <row r="110" customFormat="false" ht="15" hidden="false" customHeight="false" outlineLevel="0" collapsed="false">
      <c r="A110" s="16"/>
      <c r="B110" s="41" t="str">
        <f aca="false">IF(A110="","",IFERROR(INDEX(Personnel!$B$5:$B$19,MATCH($A110,Personnel!$A$5:$A$19,0)),"-- not found --"))</f>
        <v/>
      </c>
      <c r="C110" s="41" t="str">
        <f aca="false">IF(A110="","",IFERROR(INDEX(Personnel!$C$5:$C$19,MATCH($A110,Personnel!$A$5:$A$19,0)),""))</f>
        <v/>
      </c>
      <c r="D110" s="16"/>
      <c r="E110" s="32" t="str">
        <f aca="false">IF(D110="","",EDATE(Dashboard!$C$5,D110-1))</f>
        <v/>
      </c>
      <c r="F110" s="16"/>
      <c r="G110" s="16"/>
      <c r="H110" s="16"/>
      <c r="I110" s="45" t="str">
        <f aca="false">IFERROR(IF(OR(A110="",D110=""),"",MAX(0,(INDEX(Personnel!$G$5:$G$19,MATCH($A110,Personnel!$A$5:$A$19,0))/12)*((MIN(EOMONTH(E110,0),IF(INDEX(Personnel!$K$5:$K$19,MATCH($A110,Personnel!$A$5:$A$19,0))="",EOMONTH(E110,0),INDEX(Personnel!$K$5:$K$19,MATCH($A110,Personnel!$A$5:$A$19,0))))-MAX(DATE(YEAR(E110),MONTH(E110),1),INDEX(Personnel!$J$5:$J$19,MATCH($A110,Personnel!$A$5:$A$19,0)))+1)/DAY(EOMONTH(E110,0))))),"")</f>
        <v/>
      </c>
      <c r="J110" s="46" t="str">
        <f aca="false">IF(OR(I110="",A110=""),"",(F110+G110+H110)-I110)</f>
        <v/>
      </c>
      <c r="K110" s="47" t="str">
        <f aca="false">IF(A110="","",IFERROR(INDEX(Personnel!$H$5:$H$19,MATCH($A110,Personnel!$A$5:$A$19,0)),""))</f>
        <v/>
      </c>
      <c r="L110" s="41" t="str">
        <f aca="false">IF(A110="","",IFERROR(INDEX(Personnel!$I$5:$I$19,MATCH($A110,Personnel!$A$5:$A$19,0)),""))</f>
        <v/>
      </c>
      <c r="M110" s="19" t="str">
        <f aca="false">IF(A110="","",F110*K110)</f>
        <v/>
      </c>
      <c r="N110" s="19" t="str">
        <f aca="false">IF(A110="","",IFERROR(G110*L110,0))</f>
        <v/>
      </c>
      <c r="O110" s="19" t="str">
        <f aca="false">IF(A110="","",H110*K110)</f>
        <v/>
      </c>
      <c r="P110" s="19" t="str">
        <f aca="false">IF(A110="","",SUM(M110:O110))</f>
        <v/>
      </c>
      <c r="Q110" s="33" t="str">
        <f aca="false">IF(P110="","",P110*Rates!$B$3)</f>
        <v/>
      </c>
      <c r="R110" s="33" t="str">
        <f aca="false">IF(P110="","",(P110+Q110)*Rates!$B$4)</f>
        <v/>
      </c>
      <c r="S110" s="19" t="str">
        <f aca="false">IF(P110="","",P110+Q110+R110)</f>
        <v/>
      </c>
    </row>
    <row r="111" customFormat="false" ht="15" hidden="false" customHeight="false" outlineLevel="0" collapsed="false">
      <c r="A111" s="12"/>
      <c r="B111" s="38" t="str">
        <f aca="false">IF(A111="","",IFERROR(INDEX(Personnel!$B$5:$B$19,MATCH($A111,Personnel!$A$5:$A$19,0)),"-- not found --"))</f>
        <v/>
      </c>
      <c r="C111" s="38" t="str">
        <f aca="false">IF(A111="","",IFERROR(INDEX(Personnel!$C$5:$C$19,MATCH($A111,Personnel!$A$5:$A$19,0)),""))</f>
        <v/>
      </c>
      <c r="D111" s="12"/>
      <c r="E111" s="27" t="str">
        <f aca="false">IF(D111="","",EDATE(Dashboard!$C$5,D111-1))</f>
        <v/>
      </c>
      <c r="F111" s="12"/>
      <c r="G111" s="12"/>
      <c r="H111" s="12"/>
      <c r="I111" s="42" t="str">
        <f aca="false">IFERROR(IF(OR(A111="",D111=""),"",MAX(0,(INDEX(Personnel!$G$5:$G$19,MATCH($A111,Personnel!$A$5:$A$19,0))/12)*((MIN(EOMONTH(E111,0),IF(INDEX(Personnel!$K$5:$K$19,MATCH($A111,Personnel!$A$5:$A$19,0))="",EOMONTH(E111,0),INDEX(Personnel!$K$5:$K$19,MATCH($A111,Personnel!$A$5:$A$19,0))))-MAX(DATE(YEAR(E111),MONTH(E111),1),INDEX(Personnel!$J$5:$J$19,MATCH($A111,Personnel!$A$5:$A$19,0)))+1)/DAY(EOMONTH(E111,0))))),"")</f>
        <v/>
      </c>
      <c r="J111" s="43" t="str">
        <f aca="false">IF(OR(I111="",A111=""),"",(F111+G111+H111)-I111)</f>
        <v/>
      </c>
      <c r="K111" s="44" t="str">
        <f aca="false">IF(A111="","",IFERROR(INDEX(Personnel!$H$5:$H$19,MATCH($A111,Personnel!$A$5:$A$19,0)),""))</f>
        <v/>
      </c>
      <c r="L111" s="38" t="str">
        <f aca="false">IF(A111="","",IFERROR(INDEX(Personnel!$I$5:$I$19,MATCH($A111,Personnel!$A$5:$A$19,0)),""))</f>
        <v/>
      </c>
      <c r="M111" s="15" t="str">
        <f aca="false">IF(A111="","",F111*K111)</f>
        <v/>
      </c>
      <c r="N111" s="15" t="str">
        <f aca="false">IF(A111="","",IFERROR(G111*L111,0))</f>
        <v/>
      </c>
      <c r="O111" s="15" t="str">
        <f aca="false">IF(A111="","",H111*K111)</f>
        <v/>
      </c>
      <c r="P111" s="15" t="str">
        <f aca="false">IF(A111="","",SUM(M111:O111))</f>
        <v/>
      </c>
      <c r="Q111" s="28" t="str">
        <f aca="false">IF(P111="","",P111*Rates!$B$3)</f>
        <v/>
      </c>
      <c r="R111" s="28" t="str">
        <f aca="false">IF(P111="","",(P111+Q111)*Rates!$B$4)</f>
        <v/>
      </c>
      <c r="S111" s="15" t="str">
        <f aca="false">IF(P111="","",P111+Q111+R111)</f>
        <v/>
      </c>
    </row>
    <row r="112" customFormat="false" ht="15" hidden="false" customHeight="false" outlineLevel="0" collapsed="false">
      <c r="A112" s="16"/>
      <c r="B112" s="41" t="str">
        <f aca="false">IF(A112="","",IFERROR(INDEX(Personnel!$B$5:$B$19,MATCH($A112,Personnel!$A$5:$A$19,0)),"-- not found --"))</f>
        <v/>
      </c>
      <c r="C112" s="41" t="str">
        <f aca="false">IF(A112="","",IFERROR(INDEX(Personnel!$C$5:$C$19,MATCH($A112,Personnel!$A$5:$A$19,0)),""))</f>
        <v/>
      </c>
      <c r="D112" s="16"/>
      <c r="E112" s="32" t="str">
        <f aca="false">IF(D112="","",EDATE(Dashboard!$C$5,D112-1))</f>
        <v/>
      </c>
      <c r="F112" s="16"/>
      <c r="G112" s="16"/>
      <c r="H112" s="16"/>
      <c r="I112" s="45" t="str">
        <f aca="false">IFERROR(IF(OR(A112="",D112=""),"",MAX(0,(INDEX(Personnel!$G$5:$G$19,MATCH($A112,Personnel!$A$5:$A$19,0))/12)*((MIN(EOMONTH(E112,0),IF(INDEX(Personnel!$K$5:$K$19,MATCH($A112,Personnel!$A$5:$A$19,0))="",EOMONTH(E112,0),INDEX(Personnel!$K$5:$K$19,MATCH($A112,Personnel!$A$5:$A$19,0))))-MAX(DATE(YEAR(E112),MONTH(E112),1),INDEX(Personnel!$J$5:$J$19,MATCH($A112,Personnel!$A$5:$A$19,0)))+1)/DAY(EOMONTH(E112,0))))),"")</f>
        <v/>
      </c>
      <c r="J112" s="46" t="str">
        <f aca="false">IF(OR(I112="",A112=""),"",(F112+G112+H112)-I112)</f>
        <v/>
      </c>
      <c r="K112" s="47" t="str">
        <f aca="false">IF(A112="","",IFERROR(INDEX(Personnel!$H$5:$H$19,MATCH($A112,Personnel!$A$5:$A$19,0)),""))</f>
        <v/>
      </c>
      <c r="L112" s="41" t="str">
        <f aca="false">IF(A112="","",IFERROR(INDEX(Personnel!$I$5:$I$19,MATCH($A112,Personnel!$A$5:$A$19,0)),""))</f>
        <v/>
      </c>
      <c r="M112" s="19" t="str">
        <f aca="false">IF(A112="","",F112*K112)</f>
        <v/>
      </c>
      <c r="N112" s="19" t="str">
        <f aca="false">IF(A112="","",IFERROR(G112*L112,0))</f>
        <v/>
      </c>
      <c r="O112" s="19" t="str">
        <f aca="false">IF(A112="","",H112*K112)</f>
        <v/>
      </c>
      <c r="P112" s="19" t="str">
        <f aca="false">IF(A112="","",SUM(M112:O112))</f>
        <v/>
      </c>
      <c r="Q112" s="33" t="str">
        <f aca="false">IF(P112="","",P112*Rates!$B$3)</f>
        <v/>
      </c>
      <c r="R112" s="33" t="str">
        <f aca="false">IF(P112="","",(P112+Q112)*Rates!$B$4)</f>
        <v/>
      </c>
      <c r="S112" s="19" t="str">
        <f aca="false">IF(P112="","",P112+Q112+R112)</f>
        <v/>
      </c>
    </row>
    <row r="113" customFormat="false" ht="15" hidden="false" customHeight="false" outlineLevel="0" collapsed="false">
      <c r="A113" s="12"/>
      <c r="B113" s="38" t="str">
        <f aca="false">IF(A113="","",IFERROR(INDEX(Personnel!$B$5:$B$19,MATCH($A113,Personnel!$A$5:$A$19,0)),"-- not found --"))</f>
        <v/>
      </c>
      <c r="C113" s="38" t="str">
        <f aca="false">IF(A113="","",IFERROR(INDEX(Personnel!$C$5:$C$19,MATCH($A113,Personnel!$A$5:$A$19,0)),""))</f>
        <v/>
      </c>
      <c r="D113" s="12"/>
      <c r="E113" s="27" t="str">
        <f aca="false">IF(D113="","",EDATE(Dashboard!$C$5,D113-1))</f>
        <v/>
      </c>
      <c r="F113" s="12"/>
      <c r="G113" s="12"/>
      <c r="H113" s="12"/>
      <c r="I113" s="42" t="str">
        <f aca="false">IFERROR(IF(OR(A113="",D113=""),"",MAX(0,(INDEX(Personnel!$G$5:$G$19,MATCH($A113,Personnel!$A$5:$A$19,0))/12)*((MIN(EOMONTH(E113,0),IF(INDEX(Personnel!$K$5:$K$19,MATCH($A113,Personnel!$A$5:$A$19,0))="",EOMONTH(E113,0),INDEX(Personnel!$K$5:$K$19,MATCH($A113,Personnel!$A$5:$A$19,0))))-MAX(DATE(YEAR(E113),MONTH(E113),1),INDEX(Personnel!$J$5:$J$19,MATCH($A113,Personnel!$A$5:$A$19,0)))+1)/DAY(EOMONTH(E113,0))))),"")</f>
        <v/>
      </c>
      <c r="J113" s="43" t="str">
        <f aca="false">IF(OR(I113="",A113=""),"",(F113+G113+H113)-I113)</f>
        <v/>
      </c>
      <c r="K113" s="44" t="str">
        <f aca="false">IF(A113="","",IFERROR(INDEX(Personnel!$H$5:$H$19,MATCH($A113,Personnel!$A$5:$A$19,0)),""))</f>
        <v/>
      </c>
      <c r="L113" s="38" t="str">
        <f aca="false">IF(A113="","",IFERROR(INDEX(Personnel!$I$5:$I$19,MATCH($A113,Personnel!$A$5:$A$19,0)),""))</f>
        <v/>
      </c>
      <c r="M113" s="15" t="str">
        <f aca="false">IF(A113="","",F113*K113)</f>
        <v/>
      </c>
      <c r="N113" s="15" t="str">
        <f aca="false">IF(A113="","",IFERROR(G113*L113,0))</f>
        <v/>
      </c>
      <c r="O113" s="15" t="str">
        <f aca="false">IF(A113="","",H113*K113)</f>
        <v/>
      </c>
      <c r="P113" s="15" t="str">
        <f aca="false">IF(A113="","",SUM(M113:O113))</f>
        <v/>
      </c>
      <c r="Q113" s="28" t="str">
        <f aca="false">IF(P113="","",P113*Rates!$B$3)</f>
        <v/>
      </c>
      <c r="R113" s="28" t="str">
        <f aca="false">IF(P113="","",(P113+Q113)*Rates!$B$4)</f>
        <v/>
      </c>
      <c r="S113" s="15" t="str">
        <f aca="false">IF(P113="","",P113+Q113+R113)</f>
        <v/>
      </c>
    </row>
    <row r="114" customFormat="false" ht="15" hidden="false" customHeight="false" outlineLevel="0" collapsed="false">
      <c r="A114" s="16"/>
      <c r="B114" s="41" t="str">
        <f aca="false">IF(A114="","",IFERROR(INDEX(Personnel!$B$5:$B$19,MATCH($A114,Personnel!$A$5:$A$19,0)),"-- not found --"))</f>
        <v/>
      </c>
      <c r="C114" s="41" t="str">
        <f aca="false">IF(A114="","",IFERROR(INDEX(Personnel!$C$5:$C$19,MATCH($A114,Personnel!$A$5:$A$19,0)),""))</f>
        <v/>
      </c>
      <c r="D114" s="16"/>
      <c r="E114" s="32" t="str">
        <f aca="false">IF(D114="","",EDATE(Dashboard!$C$5,D114-1))</f>
        <v/>
      </c>
      <c r="F114" s="16"/>
      <c r="G114" s="16"/>
      <c r="H114" s="16"/>
      <c r="I114" s="45" t="str">
        <f aca="false">IFERROR(IF(OR(A114="",D114=""),"",MAX(0,(INDEX(Personnel!$G$5:$G$19,MATCH($A114,Personnel!$A$5:$A$19,0))/12)*((MIN(EOMONTH(E114,0),IF(INDEX(Personnel!$K$5:$K$19,MATCH($A114,Personnel!$A$5:$A$19,0))="",EOMONTH(E114,0),INDEX(Personnel!$K$5:$K$19,MATCH($A114,Personnel!$A$5:$A$19,0))))-MAX(DATE(YEAR(E114),MONTH(E114),1),INDEX(Personnel!$J$5:$J$19,MATCH($A114,Personnel!$A$5:$A$19,0)))+1)/DAY(EOMONTH(E114,0))))),"")</f>
        <v/>
      </c>
      <c r="J114" s="46" t="str">
        <f aca="false">IF(OR(I114="",A114=""),"",(F114+G114+H114)-I114)</f>
        <v/>
      </c>
      <c r="K114" s="47" t="str">
        <f aca="false">IF(A114="","",IFERROR(INDEX(Personnel!$H$5:$H$19,MATCH($A114,Personnel!$A$5:$A$19,0)),""))</f>
        <v/>
      </c>
      <c r="L114" s="41" t="str">
        <f aca="false">IF(A114="","",IFERROR(INDEX(Personnel!$I$5:$I$19,MATCH($A114,Personnel!$A$5:$A$19,0)),""))</f>
        <v/>
      </c>
      <c r="M114" s="19" t="str">
        <f aca="false">IF(A114="","",F114*K114)</f>
        <v/>
      </c>
      <c r="N114" s="19" t="str">
        <f aca="false">IF(A114="","",IFERROR(G114*L114,0))</f>
        <v/>
      </c>
      <c r="O114" s="19" t="str">
        <f aca="false">IF(A114="","",H114*K114)</f>
        <v/>
      </c>
      <c r="P114" s="19" t="str">
        <f aca="false">IF(A114="","",SUM(M114:O114))</f>
        <v/>
      </c>
      <c r="Q114" s="33" t="str">
        <f aca="false">IF(P114="","",P114*Rates!$B$3)</f>
        <v/>
      </c>
      <c r="R114" s="33" t="str">
        <f aca="false">IF(P114="","",(P114+Q114)*Rates!$B$4)</f>
        <v/>
      </c>
      <c r="S114" s="19" t="str">
        <f aca="false">IF(P114="","",P114+Q114+R114)</f>
        <v/>
      </c>
    </row>
    <row r="115" customFormat="false" ht="15" hidden="false" customHeight="false" outlineLevel="0" collapsed="false">
      <c r="A115" s="12"/>
      <c r="B115" s="38" t="str">
        <f aca="false">IF(A115="","",IFERROR(INDEX(Personnel!$B$5:$B$19,MATCH($A115,Personnel!$A$5:$A$19,0)),"-- not found --"))</f>
        <v/>
      </c>
      <c r="C115" s="38" t="str">
        <f aca="false">IF(A115="","",IFERROR(INDEX(Personnel!$C$5:$C$19,MATCH($A115,Personnel!$A$5:$A$19,0)),""))</f>
        <v/>
      </c>
      <c r="D115" s="12"/>
      <c r="E115" s="27" t="str">
        <f aca="false">IF(D115="","",EDATE(Dashboard!$C$5,D115-1))</f>
        <v/>
      </c>
      <c r="F115" s="12"/>
      <c r="G115" s="12"/>
      <c r="H115" s="12"/>
      <c r="I115" s="42" t="str">
        <f aca="false">IFERROR(IF(OR(A115="",D115=""),"",MAX(0,(INDEX(Personnel!$G$5:$G$19,MATCH($A115,Personnel!$A$5:$A$19,0))/12)*((MIN(EOMONTH(E115,0),IF(INDEX(Personnel!$K$5:$K$19,MATCH($A115,Personnel!$A$5:$A$19,0))="",EOMONTH(E115,0),INDEX(Personnel!$K$5:$K$19,MATCH($A115,Personnel!$A$5:$A$19,0))))-MAX(DATE(YEAR(E115),MONTH(E115),1),INDEX(Personnel!$J$5:$J$19,MATCH($A115,Personnel!$A$5:$A$19,0)))+1)/DAY(EOMONTH(E115,0))))),"")</f>
        <v/>
      </c>
      <c r="J115" s="43" t="str">
        <f aca="false">IF(OR(I115="",A115=""),"",(F115+G115+H115)-I115)</f>
        <v/>
      </c>
      <c r="K115" s="44" t="str">
        <f aca="false">IF(A115="","",IFERROR(INDEX(Personnel!$H$5:$H$19,MATCH($A115,Personnel!$A$5:$A$19,0)),""))</f>
        <v/>
      </c>
      <c r="L115" s="38" t="str">
        <f aca="false">IF(A115="","",IFERROR(INDEX(Personnel!$I$5:$I$19,MATCH($A115,Personnel!$A$5:$A$19,0)),""))</f>
        <v/>
      </c>
      <c r="M115" s="15" t="str">
        <f aca="false">IF(A115="","",F115*K115)</f>
        <v/>
      </c>
      <c r="N115" s="15" t="str">
        <f aca="false">IF(A115="","",IFERROR(G115*L115,0))</f>
        <v/>
      </c>
      <c r="O115" s="15" t="str">
        <f aca="false">IF(A115="","",H115*K115)</f>
        <v/>
      </c>
      <c r="P115" s="15" t="str">
        <f aca="false">IF(A115="","",SUM(M115:O115))</f>
        <v/>
      </c>
      <c r="Q115" s="28" t="str">
        <f aca="false">IF(P115="","",P115*Rates!$B$3)</f>
        <v/>
      </c>
      <c r="R115" s="28" t="str">
        <f aca="false">IF(P115="","",(P115+Q115)*Rates!$B$4)</f>
        <v/>
      </c>
      <c r="S115" s="15" t="str">
        <f aca="false">IF(P115="","",P115+Q115+R115)</f>
        <v/>
      </c>
    </row>
    <row r="116" customFormat="false" ht="15" hidden="false" customHeight="false" outlineLevel="0" collapsed="false">
      <c r="A116" s="16"/>
      <c r="B116" s="41" t="str">
        <f aca="false">IF(A116="","",IFERROR(INDEX(Personnel!$B$5:$B$19,MATCH($A116,Personnel!$A$5:$A$19,0)),"-- not found --"))</f>
        <v/>
      </c>
      <c r="C116" s="41" t="str">
        <f aca="false">IF(A116="","",IFERROR(INDEX(Personnel!$C$5:$C$19,MATCH($A116,Personnel!$A$5:$A$19,0)),""))</f>
        <v/>
      </c>
      <c r="D116" s="16"/>
      <c r="E116" s="32" t="str">
        <f aca="false">IF(D116="","",EDATE(Dashboard!$C$5,D116-1))</f>
        <v/>
      </c>
      <c r="F116" s="16"/>
      <c r="G116" s="16"/>
      <c r="H116" s="16"/>
      <c r="I116" s="45" t="str">
        <f aca="false">IFERROR(IF(OR(A116="",D116=""),"",MAX(0,(INDEX(Personnel!$G$5:$G$19,MATCH($A116,Personnel!$A$5:$A$19,0))/12)*((MIN(EOMONTH(E116,0),IF(INDEX(Personnel!$K$5:$K$19,MATCH($A116,Personnel!$A$5:$A$19,0))="",EOMONTH(E116,0),INDEX(Personnel!$K$5:$K$19,MATCH($A116,Personnel!$A$5:$A$19,0))))-MAX(DATE(YEAR(E116),MONTH(E116),1),INDEX(Personnel!$J$5:$J$19,MATCH($A116,Personnel!$A$5:$A$19,0)))+1)/DAY(EOMONTH(E116,0))))),"")</f>
        <v/>
      </c>
      <c r="J116" s="46" t="str">
        <f aca="false">IF(OR(I116="",A116=""),"",(F116+G116+H116)-I116)</f>
        <v/>
      </c>
      <c r="K116" s="47" t="str">
        <f aca="false">IF(A116="","",IFERROR(INDEX(Personnel!$H$5:$H$19,MATCH($A116,Personnel!$A$5:$A$19,0)),""))</f>
        <v/>
      </c>
      <c r="L116" s="41" t="str">
        <f aca="false">IF(A116="","",IFERROR(INDEX(Personnel!$I$5:$I$19,MATCH($A116,Personnel!$A$5:$A$19,0)),""))</f>
        <v/>
      </c>
      <c r="M116" s="19" t="str">
        <f aca="false">IF(A116="","",F116*K116)</f>
        <v/>
      </c>
      <c r="N116" s="19" t="str">
        <f aca="false">IF(A116="","",IFERROR(G116*L116,0))</f>
        <v/>
      </c>
      <c r="O116" s="19" t="str">
        <f aca="false">IF(A116="","",H116*K116)</f>
        <v/>
      </c>
      <c r="P116" s="19" t="str">
        <f aca="false">IF(A116="","",SUM(M116:O116))</f>
        <v/>
      </c>
      <c r="Q116" s="33" t="str">
        <f aca="false">IF(P116="","",P116*Rates!$B$3)</f>
        <v/>
      </c>
      <c r="R116" s="33" t="str">
        <f aca="false">IF(P116="","",(P116+Q116)*Rates!$B$4)</f>
        <v/>
      </c>
      <c r="S116" s="19" t="str">
        <f aca="false">IF(P116="","",P116+Q116+R116)</f>
        <v/>
      </c>
    </row>
    <row r="117" customFormat="false" ht="15" hidden="false" customHeight="false" outlineLevel="0" collapsed="false">
      <c r="A117" s="12"/>
      <c r="B117" s="38" t="str">
        <f aca="false">IF(A117="","",IFERROR(INDEX(Personnel!$B$5:$B$19,MATCH($A117,Personnel!$A$5:$A$19,0)),"-- not found --"))</f>
        <v/>
      </c>
      <c r="C117" s="38" t="str">
        <f aca="false">IF(A117="","",IFERROR(INDEX(Personnel!$C$5:$C$19,MATCH($A117,Personnel!$A$5:$A$19,0)),""))</f>
        <v/>
      </c>
      <c r="D117" s="12"/>
      <c r="E117" s="27" t="str">
        <f aca="false">IF(D117="","",EDATE(Dashboard!$C$5,D117-1))</f>
        <v/>
      </c>
      <c r="F117" s="12"/>
      <c r="G117" s="12"/>
      <c r="H117" s="12"/>
      <c r="I117" s="42" t="str">
        <f aca="false">IFERROR(IF(OR(A117="",D117=""),"",MAX(0,(INDEX(Personnel!$G$5:$G$19,MATCH($A117,Personnel!$A$5:$A$19,0))/12)*((MIN(EOMONTH(E117,0),IF(INDEX(Personnel!$K$5:$K$19,MATCH($A117,Personnel!$A$5:$A$19,0))="",EOMONTH(E117,0),INDEX(Personnel!$K$5:$K$19,MATCH($A117,Personnel!$A$5:$A$19,0))))-MAX(DATE(YEAR(E117),MONTH(E117),1),INDEX(Personnel!$J$5:$J$19,MATCH($A117,Personnel!$A$5:$A$19,0)))+1)/DAY(EOMONTH(E117,0))))),"")</f>
        <v/>
      </c>
      <c r="J117" s="43" t="str">
        <f aca="false">IF(OR(I117="",A117=""),"",(F117+G117+H117)-I117)</f>
        <v/>
      </c>
      <c r="K117" s="44" t="str">
        <f aca="false">IF(A117="","",IFERROR(INDEX(Personnel!$H$5:$H$19,MATCH($A117,Personnel!$A$5:$A$19,0)),""))</f>
        <v/>
      </c>
      <c r="L117" s="38" t="str">
        <f aca="false">IF(A117="","",IFERROR(INDEX(Personnel!$I$5:$I$19,MATCH($A117,Personnel!$A$5:$A$19,0)),""))</f>
        <v/>
      </c>
      <c r="M117" s="15" t="str">
        <f aca="false">IF(A117="","",F117*K117)</f>
        <v/>
      </c>
      <c r="N117" s="15" t="str">
        <f aca="false">IF(A117="","",IFERROR(G117*L117,0))</f>
        <v/>
      </c>
      <c r="O117" s="15" t="str">
        <f aca="false">IF(A117="","",H117*K117)</f>
        <v/>
      </c>
      <c r="P117" s="15" t="str">
        <f aca="false">IF(A117="","",SUM(M117:O117))</f>
        <v/>
      </c>
      <c r="Q117" s="28" t="str">
        <f aca="false">IF(P117="","",P117*Rates!$B$3)</f>
        <v/>
      </c>
      <c r="R117" s="28" t="str">
        <f aca="false">IF(P117="","",(P117+Q117)*Rates!$B$4)</f>
        <v/>
      </c>
      <c r="S117" s="15" t="str">
        <f aca="false">IF(P117="","",P117+Q117+R117)</f>
        <v/>
      </c>
    </row>
    <row r="118" customFormat="false" ht="15" hidden="false" customHeight="false" outlineLevel="0" collapsed="false">
      <c r="A118" s="16"/>
      <c r="B118" s="41" t="str">
        <f aca="false">IF(A118="","",IFERROR(INDEX(Personnel!$B$5:$B$19,MATCH($A118,Personnel!$A$5:$A$19,0)),"-- not found --"))</f>
        <v/>
      </c>
      <c r="C118" s="41" t="str">
        <f aca="false">IF(A118="","",IFERROR(INDEX(Personnel!$C$5:$C$19,MATCH($A118,Personnel!$A$5:$A$19,0)),""))</f>
        <v/>
      </c>
      <c r="D118" s="16"/>
      <c r="E118" s="32" t="str">
        <f aca="false">IF(D118="","",EDATE(Dashboard!$C$5,D118-1))</f>
        <v/>
      </c>
      <c r="F118" s="16"/>
      <c r="G118" s="16"/>
      <c r="H118" s="16"/>
      <c r="I118" s="45" t="str">
        <f aca="false">IFERROR(IF(OR(A118="",D118=""),"",MAX(0,(INDEX(Personnel!$G$5:$G$19,MATCH($A118,Personnel!$A$5:$A$19,0))/12)*((MIN(EOMONTH(E118,0),IF(INDEX(Personnel!$K$5:$K$19,MATCH($A118,Personnel!$A$5:$A$19,0))="",EOMONTH(E118,0),INDEX(Personnel!$K$5:$K$19,MATCH($A118,Personnel!$A$5:$A$19,0))))-MAX(DATE(YEAR(E118),MONTH(E118),1),INDEX(Personnel!$J$5:$J$19,MATCH($A118,Personnel!$A$5:$A$19,0)))+1)/DAY(EOMONTH(E118,0))))),"")</f>
        <v/>
      </c>
      <c r="J118" s="46" t="str">
        <f aca="false">IF(OR(I118="",A118=""),"",(F118+G118+H118)-I118)</f>
        <v/>
      </c>
      <c r="K118" s="47" t="str">
        <f aca="false">IF(A118="","",IFERROR(INDEX(Personnel!$H$5:$H$19,MATCH($A118,Personnel!$A$5:$A$19,0)),""))</f>
        <v/>
      </c>
      <c r="L118" s="41" t="str">
        <f aca="false">IF(A118="","",IFERROR(INDEX(Personnel!$I$5:$I$19,MATCH($A118,Personnel!$A$5:$A$19,0)),""))</f>
        <v/>
      </c>
      <c r="M118" s="19" t="str">
        <f aca="false">IF(A118="","",F118*K118)</f>
        <v/>
      </c>
      <c r="N118" s="19" t="str">
        <f aca="false">IF(A118="","",IFERROR(G118*L118,0))</f>
        <v/>
      </c>
      <c r="O118" s="19" t="str">
        <f aca="false">IF(A118="","",H118*K118)</f>
        <v/>
      </c>
      <c r="P118" s="19" t="str">
        <f aca="false">IF(A118="","",SUM(M118:O118))</f>
        <v/>
      </c>
      <c r="Q118" s="33" t="str">
        <f aca="false">IF(P118="","",P118*Rates!$B$3)</f>
        <v/>
      </c>
      <c r="R118" s="33" t="str">
        <f aca="false">IF(P118="","",(P118+Q118)*Rates!$B$4)</f>
        <v/>
      </c>
      <c r="S118" s="19" t="str">
        <f aca="false">IF(P118="","",P118+Q118+R118)</f>
        <v/>
      </c>
    </row>
    <row r="119" customFormat="false" ht="15" hidden="false" customHeight="false" outlineLevel="0" collapsed="false">
      <c r="A119" s="12"/>
      <c r="B119" s="38" t="str">
        <f aca="false">IF(A119="","",IFERROR(INDEX(Personnel!$B$5:$B$19,MATCH($A119,Personnel!$A$5:$A$19,0)),"-- not found --"))</f>
        <v/>
      </c>
      <c r="C119" s="38" t="str">
        <f aca="false">IF(A119="","",IFERROR(INDEX(Personnel!$C$5:$C$19,MATCH($A119,Personnel!$A$5:$A$19,0)),""))</f>
        <v/>
      </c>
      <c r="D119" s="12"/>
      <c r="E119" s="27" t="str">
        <f aca="false">IF(D119="","",EDATE(Dashboard!$C$5,D119-1))</f>
        <v/>
      </c>
      <c r="F119" s="12"/>
      <c r="G119" s="12"/>
      <c r="H119" s="12"/>
      <c r="I119" s="42" t="str">
        <f aca="false">IFERROR(IF(OR(A119="",D119=""),"",MAX(0,(INDEX(Personnel!$G$5:$G$19,MATCH($A119,Personnel!$A$5:$A$19,0))/12)*((MIN(EOMONTH(E119,0),IF(INDEX(Personnel!$K$5:$K$19,MATCH($A119,Personnel!$A$5:$A$19,0))="",EOMONTH(E119,0),INDEX(Personnel!$K$5:$K$19,MATCH($A119,Personnel!$A$5:$A$19,0))))-MAX(DATE(YEAR(E119),MONTH(E119),1),INDEX(Personnel!$J$5:$J$19,MATCH($A119,Personnel!$A$5:$A$19,0)))+1)/DAY(EOMONTH(E119,0))))),"")</f>
        <v/>
      </c>
      <c r="J119" s="43" t="str">
        <f aca="false">IF(OR(I119="",A119=""),"",(F119+G119+H119)-I119)</f>
        <v/>
      </c>
      <c r="K119" s="44" t="str">
        <f aca="false">IF(A119="","",IFERROR(INDEX(Personnel!$H$5:$H$19,MATCH($A119,Personnel!$A$5:$A$19,0)),""))</f>
        <v/>
      </c>
      <c r="L119" s="38" t="str">
        <f aca="false">IF(A119="","",IFERROR(INDEX(Personnel!$I$5:$I$19,MATCH($A119,Personnel!$A$5:$A$19,0)),""))</f>
        <v/>
      </c>
      <c r="M119" s="15" t="str">
        <f aca="false">IF(A119="","",F119*K119)</f>
        <v/>
      </c>
      <c r="N119" s="15" t="str">
        <f aca="false">IF(A119="","",IFERROR(G119*L119,0))</f>
        <v/>
      </c>
      <c r="O119" s="15" t="str">
        <f aca="false">IF(A119="","",H119*K119)</f>
        <v/>
      </c>
      <c r="P119" s="15" t="str">
        <f aca="false">IF(A119="","",SUM(M119:O119))</f>
        <v/>
      </c>
      <c r="Q119" s="28" t="str">
        <f aca="false">IF(P119="","",P119*Rates!$B$3)</f>
        <v/>
      </c>
      <c r="R119" s="28" t="str">
        <f aca="false">IF(P119="","",(P119+Q119)*Rates!$B$4)</f>
        <v/>
      </c>
      <c r="S119" s="15" t="str">
        <f aca="false">IF(P119="","",P119+Q119+R119)</f>
        <v/>
      </c>
    </row>
    <row r="120" customFormat="false" ht="15" hidden="false" customHeight="false" outlineLevel="0" collapsed="false">
      <c r="A120" s="16"/>
      <c r="B120" s="41" t="str">
        <f aca="false">IF(A120="","",IFERROR(INDEX(Personnel!$B$5:$B$19,MATCH($A120,Personnel!$A$5:$A$19,0)),"-- not found --"))</f>
        <v/>
      </c>
      <c r="C120" s="41" t="str">
        <f aca="false">IF(A120="","",IFERROR(INDEX(Personnel!$C$5:$C$19,MATCH($A120,Personnel!$A$5:$A$19,0)),""))</f>
        <v/>
      </c>
      <c r="D120" s="16"/>
      <c r="E120" s="32" t="str">
        <f aca="false">IF(D120="","",EDATE(Dashboard!$C$5,D120-1))</f>
        <v/>
      </c>
      <c r="F120" s="16"/>
      <c r="G120" s="16"/>
      <c r="H120" s="16"/>
      <c r="I120" s="45" t="str">
        <f aca="false">IFERROR(IF(OR(A120="",D120=""),"",MAX(0,(INDEX(Personnel!$G$5:$G$19,MATCH($A120,Personnel!$A$5:$A$19,0))/12)*((MIN(EOMONTH(E120,0),IF(INDEX(Personnel!$K$5:$K$19,MATCH($A120,Personnel!$A$5:$A$19,0))="",EOMONTH(E120,0),INDEX(Personnel!$K$5:$K$19,MATCH($A120,Personnel!$A$5:$A$19,0))))-MAX(DATE(YEAR(E120),MONTH(E120),1),INDEX(Personnel!$J$5:$J$19,MATCH($A120,Personnel!$A$5:$A$19,0)))+1)/DAY(EOMONTH(E120,0))))),"")</f>
        <v/>
      </c>
      <c r="J120" s="46" t="str">
        <f aca="false">IF(OR(I120="",A120=""),"",(F120+G120+H120)-I120)</f>
        <v/>
      </c>
      <c r="K120" s="47" t="str">
        <f aca="false">IF(A120="","",IFERROR(INDEX(Personnel!$H$5:$H$19,MATCH($A120,Personnel!$A$5:$A$19,0)),""))</f>
        <v/>
      </c>
      <c r="L120" s="41" t="str">
        <f aca="false">IF(A120="","",IFERROR(INDEX(Personnel!$I$5:$I$19,MATCH($A120,Personnel!$A$5:$A$19,0)),""))</f>
        <v/>
      </c>
      <c r="M120" s="19" t="str">
        <f aca="false">IF(A120="","",F120*K120)</f>
        <v/>
      </c>
      <c r="N120" s="19" t="str">
        <f aca="false">IF(A120="","",IFERROR(G120*L120,0))</f>
        <v/>
      </c>
      <c r="O120" s="19" t="str">
        <f aca="false">IF(A120="","",H120*K120)</f>
        <v/>
      </c>
      <c r="P120" s="19" t="str">
        <f aca="false">IF(A120="","",SUM(M120:O120))</f>
        <v/>
      </c>
      <c r="Q120" s="33" t="str">
        <f aca="false">IF(P120="","",P120*Rates!$B$3)</f>
        <v/>
      </c>
      <c r="R120" s="33" t="str">
        <f aca="false">IF(P120="","",(P120+Q120)*Rates!$B$4)</f>
        <v/>
      </c>
      <c r="S120" s="19" t="str">
        <f aca="false">IF(P120="","",P120+Q120+R120)</f>
        <v/>
      </c>
    </row>
    <row r="121" customFormat="false" ht="15" hidden="false" customHeight="false" outlineLevel="0" collapsed="false">
      <c r="A121" s="12"/>
      <c r="B121" s="38" t="str">
        <f aca="false">IF(A121="","",IFERROR(INDEX(Personnel!$B$5:$B$19,MATCH($A121,Personnel!$A$5:$A$19,0)),"-- not found --"))</f>
        <v/>
      </c>
      <c r="C121" s="38" t="str">
        <f aca="false">IF(A121="","",IFERROR(INDEX(Personnel!$C$5:$C$19,MATCH($A121,Personnel!$A$5:$A$19,0)),""))</f>
        <v/>
      </c>
      <c r="D121" s="12"/>
      <c r="E121" s="27" t="str">
        <f aca="false">IF(D121="","",EDATE(Dashboard!$C$5,D121-1))</f>
        <v/>
      </c>
      <c r="F121" s="12"/>
      <c r="G121" s="12"/>
      <c r="H121" s="12"/>
      <c r="I121" s="42" t="str">
        <f aca="false">IFERROR(IF(OR(A121="",D121=""),"",MAX(0,(INDEX(Personnel!$G$5:$G$19,MATCH($A121,Personnel!$A$5:$A$19,0))/12)*((MIN(EOMONTH(E121,0),IF(INDEX(Personnel!$K$5:$K$19,MATCH($A121,Personnel!$A$5:$A$19,0))="",EOMONTH(E121,0),INDEX(Personnel!$K$5:$K$19,MATCH($A121,Personnel!$A$5:$A$19,0))))-MAX(DATE(YEAR(E121),MONTH(E121),1),INDEX(Personnel!$J$5:$J$19,MATCH($A121,Personnel!$A$5:$A$19,0)))+1)/DAY(EOMONTH(E121,0))))),"")</f>
        <v/>
      </c>
      <c r="J121" s="43" t="str">
        <f aca="false">IF(OR(I121="",A121=""),"",(F121+G121+H121)-I121)</f>
        <v/>
      </c>
      <c r="K121" s="44" t="str">
        <f aca="false">IF(A121="","",IFERROR(INDEX(Personnel!$H$5:$H$19,MATCH($A121,Personnel!$A$5:$A$19,0)),""))</f>
        <v/>
      </c>
      <c r="L121" s="38" t="str">
        <f aca="false">IF(A121="","",IFERROR(INDEX(Personnel!$I$5:$I$19,MATCH($A121,Personnel!$A$5:$A$19,0)),""))</f>
        <v/>
      </c>
      <c r="M121" s="15" t="str">
        <f aca="false">IF(A121="","",F121*K121)</f>
        <v/>
      </c>
      <c r="N121" s="15" t="str">
        <f aca="false">IF(A121="","",IFERROR(G121*L121,0))</f>
        <v/>
      </c>
      <c r="O121" s="15" t="str">
        <f aca="false">IF(A121="","",H121*K121)</f>
        <v/>
      </c>
      <c r="P121" s="15" t="str">
        <f aca="false">IF(A121="","",SUM(M121:O121))</f>
        <v/>
      </c>
      <c r="Q121" s="28" t="str">
        <f aca="false">IF(P121="","",P121*Rates!$B$3)</f>
        <v/>
      </c>
      <c r="R121" s="28" t="str">
        <f aca="false">IF(P121="","",(P121+Q121)*Rates!$B$4)</f>
        <v/>
      </c>
      <c r="S121" s="15" t="str">
        <f aca="false">IF(P121="","",P121+Q121+R121)</f>
        <v/>
      </c>
    </row>
    <row r="122" customFormat="false" ht="15" hidden="false" customHeight="false" outlineLevel="0" collapsed="false">
      <c r="A122" s="16"/>
      <c r="B122" s="41" t="str">
        <f aca="false">IF(A122="","",IFERROR(INDEX(Personnel!$B$5:$B$19,MATCH($A122,Personnel!$A$5:$A$19,0)),"-- not found --"))</f>
        <v/>
      </c>
      <c r="C122" s="41" t="str">
        <f aca="false">IF(A122="","",IFERROR(INDEX(Personnel!$C$5:$C$19,MATCH($A122,Personnel!$A$5:$A$19,0)),""))</f>
        <v/>
      </c>
      <c r="D122" s="16"/>
      <c r="E122" s="32" t="str">
        <f aca="false">IF(D122="","",EDATE(Dashboard!$C$5,D122-1))</f>
        <v/>
      </c>
      <c r="F122" s="16"/>
      <c r="G122" s="16"/>
      <c r="H122" s="16"/>
      <c r="I122" s="45" t="str">
        <f aca="false">IFERROR(IF(OR(A122="",D122=""),"",MAX(0,(INDEX(Personnel!$G$5:$G$19,MATCH($A122,Personnel!$A$5:$A$19,0))/12)*((MIN(EOMONTH(E122,0),IF(INDEX(Personnel!$K$5:$K$19,MATCH($A122,Personnel!$A$5:$A$19,0))="",EOMONTH(E122,0),INDEX(Personnel!$K$5:$K$19,MATCH($A122,Personnel!$A$5:$A$19,0))))-MAX(DATE(YEAR(E122),MONTH(E122),1),INDEX(Personnel!$J$5:$J$19,MATCH($A122,Personnel!$A$5:$A$19,0)))+1)/DAY(EOMONTH(E122,0))))),"")</f>
        <v/>
      </c>
      <c r="J122" s="46" t="str">
        <f aca="false">IF(OR(I122="",A122=""),"",(F122+G122+H122)-I122)</f>
        <v/>
      </c>
      <c r="K122" s="47" t="str">
        <f aca="false">IF(A122="","",IFERROR(INDEX(Personnel!$H$5:$H$19,MATCH($A122,Personnel!$A$5:$A$19,0)),""))</f>
        <v/>
      </c>
      <c r="L122" s="41" t="str">
        <f aca="false">IF(A122="","",IFERROR(INDEX(Personnel!$I$5:$I$19,MATCH($A122,Personnel!$A$5:$A$19,0)),""))</f>
        <v/>
      </c>
      <c r="M122" s="19" t="str">
        <f aca="false">IF(A122="","",F122*K122)</f>
        <v/>
      </c>
      <c r="N122" s="19" t="str">
        <f aca="false">IF(A122="","",IFERROR(G122*L122,0))</f>
        <v/>
      </c>
      <c r="O122" s="19" t="str">
        <f aca="false">IF(A122="","",H122*K122)</f>
        <v/>
      </c>
      <c r="P122" s="19" t="str">
        <f aca="false">IF(A122="","",SUM(M122:O122))</f>
        <v/>
      </c>
      <c r="Q122" s="33" t="str">
        <f aca="false">IF(P122="","",P122*Rates!$B$3)</f>
        <v/>
      </c>
      <c r="R122" s="33" t="str">
        <f aca="false">IF(P122="","",(P122+Q122)*Rates!$B$4)</f>
        <v/>
      </c>
      <c r="S122" s="19" t="str">
        <f aca="false">IF(P122="","",P122+Q122+R122)</f>
        <v/>
      </c>
    </row>
    <row r="123" customFormat="false" ht="15" hidden="false" customHeight="false" outlineLevel="0" collapsed="false">
      <c r="A123" s="12"/>
      <c r="B123" s="38" t="str">
        <f aca="false">IF(A123="","",IFERROR(INDEX(Personnel!$B$5:$B$19,MATCH($A123,Personnel!$A$5:$A$19,0)),"-- not found --"))</f>
        <v/>
      </c>
      <c r="C123" s="38" t="str">
        <f aca="false">IF(A123="","",IFERROR(INDEX(Personnel!$C$5:$C$19,MATCH($A123,Personnel!$A$5:$A$19,0)),""))</f>
        <v/>
      </c>
      <c r="D123" s="12"/>
      <c r="E123" s="27" t="str">
        <f aca="false">IF(D123="","",EDATE(Dashboard!$C$5,D123-1))</f>
        <v/>
      </c>
      <c r="F123" s="12"/>
      <c r="G123" s="12"/>
      <c r="H123" s="12"/>
      <c r="I123" s="42" t="str">
        <f aca="false">IFERROR(IF(OR(A123="",D123=""),"",MAX(0,(INDEX(Personnel!$G$5:$G$19,MATCH($A123,Personnel!$A$5:$A$19,0))/12)*((MIN(EOMONTH(E123,0),IF(INDEX(Personnel!$K$5:$K$19,MATCH($A123,Personnel!$A$5:$A$19,0))="",EOMONTH(E123,0),INDEX(Personnel!$K$5:$K$19,MATCH($A123,Personnel!$A$5:$A$19,0))))-MAX(DATE(YEAR(E123),MONTH(E123),1),INDEX(Personnel!$J$5:$J$19,MATCH($A123,Personnel!$A$5:$A$19,0)))+1)/DAY(EOMONTH(E123,0))))),"")</f>
        <v/>
      </c>
      <c r="J123" s="43" t="str">
        <f aca="false">IF(OR(I123="",A123=""),"",(F123+G123+H123)-I123)</f>
        <v/>
      </c>
      <c r="K123" s="44" t="str">
        <f aca="false">IF(A123="","",IFERROR(INDEX(Personnel!$H$5:$H$19,MATCH($A123,Personnel!$A$5:$A$19,0)),""))</f>
        <v/>
      </c>
      <c r="L123" s="38" t="str">
        <f aca="false">IF(A123="","",IFERROR(INDEX(Personnel!$I$5:$I$19,MATCH($A123,Personnel!$A$5:$A$19,0)),""))</f>
        <v/>
      </c>
      <c r="M123" s="15" t="str">
        <f aca="false">IF(A123="","",F123*K123)</f>
        <v/>
      </c>
      <c r="N123" s="15" t="str">
        <f aca="false">IF(A123="","",IFERROR(G123*L123,0))</f>
        <v/>
      </c>
      <c r="O123" s="15" t="str">
        <f aca="false">IF(A123="","",H123*K123)</f>
        <v/>
      </c>
      <c r="P123" s="15" t="str">
        <f aca="false">IF(A123="","",SUM(M123:O123))</f>
        <v/>
      </c>
      <c r="Q123" s="28" t="str">
        <f aca="false">IF(P123="","",P123*Rates!$B$3)</f>
        <v/>
      </c>
      <c r="R123" s="28" t="str">
        <f aca="false">IF(P123="","",(P123+Q123)*Rates!$B$4)</f>
        <v/>
      </c>
      <c r="S123" s="15" t="str">
        <f aca="false">IF(P123="","",P123+Q123+R123)</f>
        <v/>
      </c>
    </row>
    <row r="124" customFormat="false" ht="15" hidden="false" customHeight="false" outlineLevel="0" collapsed="false">
      <c r="A124" s="16"/>
      <c r="B124" s="41" t="str">
        <f aca="false">IF(A124="","",IFERROR(INDEX(Personnel!$B$5:$B$19,MATCH($A124,Personnel!$A$5:$A$19,0)),"-- not found --"))</f>
        <v/>
      </c>
      <c r="C124" s="41" t="str">
        <f aca="false">IF(A124="","",IFERROR(INDEX(Personnel!$C$5:$C$19,MATCH($A124,Personnel!$A$5:$A$19,0)),""))</f>
        <v/>
      </c>
      <c r="D124" s="16"/>
      <c r="E124" s="32" t="str">
        <f aca="false">IF(D124="","",EDATE(Dashboard!$C$5,D124-1))</f>
        <v/>
      </c>
      <c r="F124" s="16"/>
      <c r="G124" s="16"/>
      <c r="H124" s="16"/>
      <c r="I124" s="45" t="str">
        <f aca="false">IFERROR(IF(OR(A124="",D124=""),"",MAX(0,(INDEX(Personnel!$G$5:$G$19,MATCH($A124,Personnel!$A$5:$A$19,0))/12)*((MIN(EOMONTH(E124,0),IF(INDEX(Personnel!$K$5:$K$19,MATCH($A124,Personnel!$A$5:$A$19,0))="",EOMONTH(E124,0),INDEX(Personnel!$K$5:$K$19,MATCH($A124,Personnel!$A$5:$A$19,0))))-MAX(DATE(YEAR(E124),MONTH(E124),1),INDEX(Personnel!$J$5:$J$19,MATCH($A124,Personnel!$A$5:$A$19,0)))+1)/DAY(EOMONTH(E124,0))))),"")</f>
        <v/>
      </c>
      <c r="J124" s="46" t="str">
        <f aca="false">IF(OR(I124="",A124=""),"",(F124+G124+H124)-I124)</f>
        <v/>
      </c>
      <c r="K124" s="47" t="str">
        <f aca="false">IF(A124="","",IFERROR(INDEX(Personnel!$H$5:$H$19,MATCH($A124,Personnel!$A$5:$A$19,0)),""))</f>
        <v/>
      </c>
      <c r="L124" s="41" t="str">
        <f aca="false">IF(A124="","",IFERROR(INDEX(Personnel!$I$5:$I$19,MATCH($A124,Personnel!$A$5:$A$19,0)),""))</f>
        <v/>
      </c>
      <c r="M124" s="19" t="str">
        <f aca="false">IF(A124="","",F124*K124)</f>
        <v/>
      </c>
      <c r="N124" s="19" t="str">
        <f aca="false">IF(A124="","",IFERROR(G124*L124,0))</f>
        <v/>
      </c>
      <c r="O124" s="19" t="str">
        <f aca="false">IF(A124="","",H124*K124)</f>
        <v/>
      </c>
      <c r="P124" s="19" t="str">
        <f aca="false">IF(A124="","",SUM(M124:O124))</f>
        <v/>
      </c>
      <c r="Q124" s="33" t="str">
        <f aca="false">IF(P124="","",P124*Rates!$B$3)</f>
        <v/>
      </c>
      <c r="R124" s="33" t="str">
        <f aca="false">IF(P124="","",(P124+Q124)*Rates!$B$4)</f>
        <v/>
      </c>
      <c r="S124" s="19" t="str">
        <f aca="false">IF(P124="","",P124+Q124+R124)</f>
        <v/>
      </c>
    </row>
    <row r="127" customFormat="false" ht="15" hidden="false" customHeight="false" outlineLevel="0" collapsed="false">
      <c r="A127" s="25" t="s">
        <v>164</v>
      </c>
    </row>
    <row r="128" customFormat="false" ht="35.05" hidden="false" customHeight="false" outlineLevel="0" collapsed="false">
      <c r="A128" s="11" t="s">
        <v>105</v>
      </c>
      <c r="B128" s="11" t="s">
        <v>106</v>
      </c>
      <c r="C128" s="11" t="s">
        <v>165</v>
      </c>
    </row>
    <row r="129" customFormat="false" ht="15" hidden="false" customHeight="false" outlineLevel="0" collapsed="false">
      <c r="A129" s="26" t="n">
        <v>1</v>
      </c>
      <c r="B129" s="27" t="n">
        <f aca="false">EDATE(Dashboard!$C$5,A129-1)</f>
        <v>46023</v>
      </c>
      <c r="C129" s="15" t="n">
        <f aca="false">SUMIFS($S$5:$S$124,$D$5:$D$124,A129)</f>
        <v>40118.1443870192</v>
      </c>
    </row>
    <row r="130" customFormat="false" ht="15" hidden="false" customHeight="false" outlineLevel="0" collapsed="false">
      <c r="A130" s="31" t="n">
        <v>2</v>
      </c>
      <c r="B130" s="32" t="n">
        <f aca="false">EDATE(Dashboard!$C$5,A130-1)</f>
        <v>46054</v>
      </c>
      <c r="C130" s="19" t="n">
        <f aca="false">SUMIFS($S$5:$S$124,$D$5:$D$124,A130)</f>
        <v>28771.3216947115</v>
      </c>
    </row>
    <row r="131" customFormat="false" ht="15" hidden="false" customHeight="false" outlineLevel="0" collapsed="false">
      <c r="A131" s="26" t="n">
        <v>3</v>
      </c>
      <c r="B131" s="27" t="n">
        <f aca="false">EDATE(Dashboard!$C$5,A131-1)</f>
        <v>46082</v>
      </c>
      <c r="C131" s="15" t="n">
        <f aca="false">SUMIFS($S$5:$S$124,$D$5:$D$124,A131)</f>
        <v>0</v>
      </c>
    </row>
    <row r="132" customFormat="false" ht="15" hidden="false" customHeight="false" outlineLevel="0" collapsed="false">
      <c r="A132" s="31" t="n">
        <v>4</v>
      </c>
      <c r="B132" s="32" t="n">
        <f aca="false">EDATE(Dashboard!$C$5,A132-1)</f>
        <v>46113</v>
      </c>
      <c r="C132" s="19" t="n">
        <f aca="false">SUMIFS($S$5:$S$124,$D$5:$D$124,A132)</f>
        <v>0</v>
      </c>
    </row>
    <row r="133" customFormat="false" ht="15" hidden="false" customHeight="false" outlineLevel="0" collapsed="false">
      <c r="A133" s="26" t="n">
        <v>5</v>
      </c>
      <c r="B133" s="27" t="n">
        <f aca="false">EDATE(Dashboard!$C$5,A133-1)</f>
        <v>46143</v>
      </c>
      <c r="C133" s="15" t="n">
        <f aca="false">SUMIFS($S$5:$S$124,$D$5:$D$124,A133)</f>
        <v>0</v>
      </c>
    </row>
    <row r="134" customFormat="false" ht="15" hidden="false" customHeight="false" outlineLevel="0" collapsed="false">
      <c r="A134" s="31" t="n">
        <v>6</v>
      </c>
      <c r="B134" s="32" t="n">
        <f aca="false">EDATE(Dashboard!$C$5,A134-1)</f>
        <v>46174</v>
      </c>
      <c r="C134" s="19" t="n">
        <f aca="false">SUMIFS($S$5:$S$124,$D$5:$D$124,A134)</f>
        <v>0</v>
      </c>
    </row>
    <row r="135" customFormat="false" ht="15" hidden="false" customHeight="false" outlineLevel="0" collapsed="false">
      <c r="A135" s="26" t="n">
        <v>7</v>
      </c>
      <c r="B135" s="27" t="n">
        <f aca="false">EDATE(Dashboard!$C$5,A135-1)</f>
        <v>46204</v>
      </c>
      <c r="C135" s="15" t="n">
        <f aca="false">SUMIFS($S$5:$S$124,$D$5:$D$124,A135)</f>
        <v>9054.08653846154</v>
      </c>
    </row>
    <row r="136" customFormat="false" ht="15" hidden="false" customHeight="false" outlineLevel="0" collapsed="false">
      <c r="A136" s="31" t="n">
        <v>8</v>
      </c>
      <c r="B136" s="32" t="n">
        <f aca="false">EDATE(Dashboard!$C$5,A136-1)</f>
        <v>46235</v>
      </c>
      <c r="C136" s="19" t="n">
        <f aca="false">SUMIFS($S$5:$S$124,$D$5:$D$124,A136)</f>
        <v>26155.7469951923</v>
      </c>
    </row>
    <row r="137" customFormat="false" ht="15" hidden="false" customHeight="false" outlineLevel="0" collapsed="false">
      <c r="A137" s="26" t="n">
        <v>9</v>
      </c>
      <c r="B137" s="27" t="n">
        <f aca="false">EDATE(Dashboard!$C$5,A137-1)</f>
        <v>46266</v>
      </c>
      <c r="C137" s="15" t="n">
        <f aca="false">SUMIFS($S$5:$S$124,$D$5:$D$124,A137)</f>
        <v>0</v>
      </c>
    </row>
    <row r="138" customFormat="false" ht="15" hidden="false" customHeight="false" outlineLevel="0" collapsed="false">
      <c r="A138" s="31" t="n">
        <v>10</v>
      </c>
      <c r="B138" s="32" t="n">
        <f aca="false">EDATE(Dashboard!$C$5,A138-1)</f>
        <v>46296</v>
      </c>
      <c r="C138" s="19" t="n">
        <f aca="false">SUMIFS($S$5:$S$124,$D$5:$D$124,A138)</f>
        <v>0</v>
      </c>
    </row>
    <row r="139" customFormat="false" ht="15" hidden="false" customHeight="false" outlineLevel="0" collapsed="false">
      <c r="A139" s="26" t="n">
        <v>11</v>
      </c>
      <c r="B139" s="27" t="n">
        <f aca="false">EDATE(Dashboard!$C$5,A139-1)</f>
        <v>46327</v>
      </c>
      <c r="C139" s="15" t="n">
        <f aca="false">SUMIFS($S$5:$S$124,$D$5:$D$124,A139)</f>
        <v>0</v>
      </c>
    </row>
    <row r="140" customFormat="false" ht="15" hidden="false" customHeight="false" outlineLevel="0" collapsed="false">
      <c r="A140" s="31" t="n">
        <v>12</v>
      </c>
      <c r="B140" s="32" t="n">
        <f aca="false">EDATE(Dashboard!$C$5,A140-1)</f>
        <v>46357</v>
      </c>
      <c r="C140" s="19" t="n">
        <f aca="false">SUMIFS($S$5:$S$124,$D$5:$D$124,A140)</f>
        <v>0</v>
      </c>
    </row>
    <row r="142" customFormat="false" ht="15" hidden="false" customHeight="false" outlineLevel="0" collapsed="false">
      <c r="A142" s="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21.75" hidden="false" customHeight="true" outlineLevel="0" collapsed="false">
      <c r="B1" s="3" t="s">
        <v>166</v>
      </c>
      <c r="E1" s="6" t="s">
        <v>56</v>
      </c>
    </row>
    <row r="3" customFormat="false" ht="15" hidden="false" customHeight="false" outlineLevel="0" collapsed="false">
      <c r="A3" s="25" t="s">
        <v>167</v>
      </c>
    </row>
    <row r="4" customFormat="false" ht="15" hidden="false" customHeight="false" outlineLevel="0" collapsed="false">
      <c r="A4" s="48" t="s">
        <v>76</v>
      </c>
      <c r="B4" s="48" t="s">
        <v>168</v>
      </c>
      <c r="C4" s="48" t="s">
        <v>77</v>
      </c>
      <c r="D4" s="48" t="s">
        <v>105</v>
      </c>
      <c r="E4" s="48" t="s">
        <v>169</v>
      </c>
    </row>
    <row r="5" customFormat="false" ht="15" hidden="false" customHeight="false" outlineLevel="0" collapsed="false">
      <c r="A5" s="13" t="n">
        <v>46036</v>
      </c>
      <c r="B5" s="12" t="s">
        <v>170</v>
      </c>
      <c r="C5" s="12" t="s">
        <v>171</v>
      </c>
      <c r="D5" s="12" t="n">
        <v>1</v>
      </c>
      <c r="E5" s="14" t="n">
        <v>14200</v>
      </c>
    </row>
    <row r="6" customFormat="false" ht="15" hidden="false" customHeight="false" outlineLevel="0" collapsed="false">
      <c r="A6" s="17" t="n">
        <v>46056</v>
      </c>
      <c r="B6" s="16" t="s">
        <v>172</v>
      </c>
      <c r="C6" s="16" t="s">
        <v>173</v>
      </c>
      <c r="D6" s="16" t="n">
        <v>2</v>
      </c>
      <c r="E6" s="18" t="n">
        <v>3100</v>
      </c>
    </row>
    <row r="7" customFormat="false" ht="15" hidden="false" customHeight="false" outlineLevel="0" collapsed="false">
      <c r="A7" s="13" t="n">
        <v>46132</v>
      </c>
      <c r="B7" s="12" t="s">
        <v>170</v>
      </c>
      <c r="C7" s="12" t="s">
        <v>174</v>
      </c>
      <c r="D7" s="12" t="n">
        <v>4</v>
      </c>
      <c r="E7" s="14" t="n">
        <v>8600</v>
      </c>
    </row>
    <row r="8" customFormat="false" ht="15" hidden="false" customHeight="false" outlineLevel="0" collapsed="false">
      <c r="A8" s="17"/>
      <c r="B8" s="16"/>
      <c r="C8" s="16"/>
      <c r="D8" s="16"/>
      <c r="E8" s="18"/>
    </row>
    <row r="9" customFormat="false" ht="15" hidden="false" customHeight="false" outlineLevel="0" collapsed="false">
      <c r="A9" s="13"/>
      <c r="B9" s="12"/>
      <c r="C9" s="12"/>
      <c r="D9" s="12"/>
      <c r="E9" s="14"/>
    </row>
    <row r="10" customFormat="false" ht="15" hidden="false" customHeight="false" outlineLevel="0" collapsed="false">
      <c r="A10" s="17"/>
      <c r="B10" s="16"/>
      <c r="C10" s="16"/>
      <c r="D10" s="16"/>
      <c r="E10" s="18"/>
    </row>
    <row r="11" customFormat="false" ht="15" hidden="false" customHeight="false" outlineLevel="0" collapsed="false">
      <c r="A11" s="13"/>
      <c r="B11" s="12"/>
      <c r="C11" s="12"/>
      <c r="D11" s="12"/>
      <c r="E11" s="14"/>
    </row>
    <row r="12" customFormat="false" ht="15" hidden="false" customHeight="false" outlineLevel="0" collapsed="false">
      <c r="A12" s="17"/>
      <c r="B12" s="16"/>
      <c r="C12" s="16"/>
      <c r="D12" s="16"/>
      <c r="E12" s="18"/>
    </row>
    <row r="13" customFormat="false" ht="15" hidden="false" customHeight="false" outlineLevel="0" collapsed="false">
      <c r="A13" s="13"/>
      <c r="B13" s="12"/>
      <c r="C13" s="12"/>
      <c r="D13" s="12"/>
      <c r="E13" s="14"/>
    </row>
    <row r="14" customFormat="false" ht="15" hidden="false" customHeight="false" outlineLevel="0" collapsed="false">
      <c r="A14" s="17"/>
      <c r="B14" s="16"/>
      <c r="C14" s="16"/>
      <c r="D14" s="16"/>
      <c r="E14" s="18"/>
    </row>
    <row r="15" customFormat="false" ht="15" hidden="false" customHeight="false" outlineLevel="0" collapsed="false">
      <c r="A15" s="13"/>
      <c r="B15" s="12"/>
      <c r="C15" s="12"/>
      <c r="D15" s="12"/>
      <c r="E15" s="14"/>
    </row>
    <row r="16" customFormat="false" ht="15" hidden="false" customHeight="false" outlineLevel="0" collapsed="false">
      <c r="A16" s="17"/>
      <c r="B16" s="16"/>
      <c r="C16" s="16"/>
      <c r="D16" s="16"/>
      <c r="E16" s="18"/>
    </row>
    <row r="17" customFormat="false" ht="15" hidden="false" customHeight="false" outlineLevel="0" collapsed="false">
      <c r="A17" s="13"/>
      <c r="B17" s="12"/>
      <c r="C17" s="12"/>
      <c r="D17" s="12"/>
      <c r="E17" s="14"/>
    </row>
    <row r="18" customFormat="false" ht="15" hidden="false" customHeight="false" outlineLevel="0" collapsed="false">
      <c r="A18" s="17"/>
      <c r="B18" s="16"/>
      <c r="C18" s="16"/>
      <c r="D18" s="16"/>
      <c r="E18" s="18"/>
    </row>
    <row r="19" customFormat="false" ht="15" hidden="false" customHeight="false" outlineLevel="0" collapsed="false">
      <c r="A19" s="13"/>
      <c r="B19" s="12"/>
      <c r="C19" s="12"/>
      <c r="D19" s="12"/>
      <c r="E19" s="14"/>
    </row>
    <row r="20" customFormat="false" ht="15" hidden="false" customHeight="false" outlineLevel="0" collapsed="false">
      <c r="A20" s="17"/>
      <c r="B20" s="16"/>
      <c r="C20" s="16"/>
      <c r="D20" s="16"/>
      <c r="E20" s="18"/>
    </row>
    <row r="21" customFormat="false" ht="15" hidden="false" customHeight="false" outlineLevel="0" collapsed="false">
      <c r="A21" s="13"/>
      <c r="B21" s="12"/>
      <c r="C21" s="12"/>
      <c r="D21" s="12"/>
      <c r="E21" s="14"/>
    </row>
    <row r="22" customFormat="false" ht="15" hidden="false" customHeight="false" outlineLevel="0" collapsed="false">
      <c r="A22" s="17"/>
      <c r="B22" s="16"/>
      <c r="C22" s="16"/>
      <c r="D22" s="16"/>
      <c r="E22" s="18"/>
    </row>
    <row r="23" customFormat="false" ht="15" hidden="false" customHeight="false" outlineLevel="0" collapsed="false">
      <c r="B23" s="5" t="s">
        <v>175</v>
      </c>
      <c r="E23" s="49" t="n">
        <f aca="false">SUM(E5:E22)</f>
        <v>25900</v>
      </c>
    </row>
    <row r="25" customFormat="false" ht="15" hidden="false" customHeight="false" outlineLevel="0" collapsed="false">
      <c r="A25" s="25" t="s">
        <v>164</v>
      </c>
    </row>
    <row r="26" customFormat="false" ht="15" hidden="false" customHeight="false" outlineLevel="0" collapsed="false">
      <c r="A26" s="48" t="s">
        <v>105</v>
      </c>
      <c r="B26" s="48" t="s">
        <v>106</v>
      </c>
      <c r="C26" s="48" t="s">
        <v>176</v>
      </c>
    </row>
    <row r="27" customFormat="false" ht="15" hidden="false" customHeight="false" outlineLevel="0" collapsed="false">
      <c r="A27" s="26" t="n">
        <v>1</v>
      </c>
      <c r="B27" s="27" t="n">
        <f aca="false">EDATE(Dashboard!$C$5,A27-1)</f>
        <v>46023</v>
      </c>
      <c r="C27" s="15" t="n">
        <f aca="false">SUMIFS($E$5:$E$22,$D$5:$D$22,A27)</f>
        <v>14200</v>
      </c>
    </row>
    <row r="28" customFormat="false" ht="15" hidden="false" customHeight="false" outlineLevel="0" collapsed="false">
      <c r="A28" s="31" t="n">
        <v>2</v>
      </c>
      <c r="B28" s="32" t="n">
        <f aca="false">EDATE(Dashboard!$C$5,A28-1)</f>
        <v>46054</v>
      </c>
      <c r="C28" s="19" t="n">
        <f aca="false">SUMIFS($E$5:$E$22,$D$5:$D$22,A28)</f>
        <v>3100</v>
      </c>
    </row>
    <row r="29" customFormat="false" ht="15" hidden="false" customHeight="false" outlineLevel="0" collapsed="false">
      <c r="A29" s="26" t="n">
        <v>3</v>
      </c>
      <c r="B29" s="27" t="n">
        <f aca="false">EDATE(Dashboard!$C$5,A29-1)</f>
        <v>46082</v>
      </c>
      <c r="C29" s="15" t="n">
        <f aca="false">SUMIFS($E$5:$E$22,$D$5:$D$22,A29)</f>
        <v>0</v>
      </c>
    </row>
    <row r="30" customFormat="false" ht="15" hidden="false" customHeight="false" outlineLevel="0" collapsed="false">
      <c r="A30" s="31" t="n">
        <v>4</v>
      </c>
      <c r="B30" s="32" t="n">
        <f aca="false">EDATE(Dashboard!$C$5,A30-1)</f>
        <v>46113</v>
      </c>
      <c r="C30" s="19" t="n">
        <f aca="false">SUMIFS($E$5:$E$22,$D$5:$D$22,A30)</f>
        <v>8600</v>
      </c>
    </row>
    <row r="31" customFormat="false" ht="15" hidden="false" customHeight="false" outlineLevel="0" collapsed="false">
      <c r="A31" s="26" t="n">
        <v>5</v>
      </c>
      <c r="B31" s="27" t="n">
        <f aca="false">EDATE(Dashboard!$C$5,A31-1)</f>
        <v>46143</v>
      </c>
      <c r="C31" s="15" t="n">
        <f aca="false">SUMIFS($E$5:$E$22,$D$5:$D$22,A31)</f>
        <v>0</v>
      </c>
    </row>
    <row r="32" customFormat="false" ht="15" hidden="false" customHeight="false" outlineLevel="0" collapsed="false">
      <c r="A32" s="31" t="n">
        <v>6</v>
      </c>
      <c r="B32" s="32" t="n">
        <f aca="false">EDATE(Dashboard!$C$5,A32-1)</f>
        <v>46174</v>
      </c>
      <c r="C32" s="19" t="n">
        <f aca="false">SUMIFS($E$5:$E$22,$D$5:$D$22,A32)</f>
        <v>0</v>
      </c>
    </row>
    <row r="33" customFormat="false" ht="15" hidden="false" customHeight="false" outlineLevel="0" collapsed="false">
      <c r="A33" s="26" t="n">
        <v>7</v>
      </c>
      <c r="B33" s="27" t="n">
        <f aca="false">EDATE(Dashboard!$C$5,A33-1)</f>
        <v>46204</v>
      </c>
      <c r="C33" s="15" t="n">
        <f aca="false">SUMIFS($E$5:$E$22,$D$5:$D$22,A33)</f>
        <v>0</v>
      </c>
    </row>
    <row r="34" customFormat="false" ht="15" hidden="false" customHeight="false" outlineLevel="0" collapsed="false">
      <c r="A34" s="31" t="n">
        <v>8</v>
      </c>
      <c r="B34" s="32" t="n">
        <f aca="false">EDATE(Dashboard!$C$5,A34-1)</f>
        <v>46235</v>
      </c>
      <c r="C34" s="19" t="n">
        <f aca="false">SUMIFS($E$5:$E$22,$D$5:$D$22,A34)</f>
        <v>0</v>
      </c>
    </row>
    <row r="35" customFormat="false" ht="15" hidden="false" customHeight="false" outlineLevel="0" collapsed="false">
      <c r="A35" s="26" t="n">
        <v>9</v>
      </c>
      <c r="B35" s="27" t="n">
        <f aca="false">EDATE(Dashboard!$C$5,A35-1)</f>
        <v>46266</v>
      </c>
      <c r="C35" s="15" t="n">
        <f aca="false">SUMIFS($E$5:$E$22,$D$5:$D$22,A35)</f>
        <v>0</v>
      </c>
    </row>
    <row r="36" customFormat="false" ht="15" hidden="false" customHeight="false" outlineLevel="0" collapsed="false">
      <c r="A36" s="31" t="n">
        <v>10</v>
      </c>
      <c r="B36" s="32" t="n">
        <f aca="false">EDATE(Dashboard!$C$5,A36-1)</f>
        <v>46296</v>
      </c>
      <c r="C36" s="19" t="n">
        <f aca="false">SUMIFS($E$5:$E$22,$D$5:$D$22,A36)</f>
        <v>0</v>
      </c>
    </row>
    <row r="37" customFormat="false" ht="15" hidden="false" customHeight="false" outlineLevel="0" collapsed="false">
      <c r="A37" s="26" t="n">
        <v>11</v>
      </c>
      <c r="B37" s="27" t="n">
        <f aca="false">EDATE(Dashboard!$C$5,A37-1)</f>
        <v>46327</v>
      </c>
      <c r="C37" s="15" t="n">
        <f aca="false">SUMIFS($E$5:$E$22,$D$5:$D$22,A37)</f>
        <v>0</v>
      </c>
    </row>
    <row r="38" customFormat="false" ht="15" hidden="false" customHeight="false" outlineLevel="0" collapsed="false">
      <c r="A38" s="31" t="n">
        <v>12</v>
      </c>
      <c r="B38" s="32" t="n">
        <f aca="false">EDATE(Dashboard!$C$5,A38-1)</f>
        <v>46357</v>
      </c>
      <c r="C38" s="19" t="n">
        <f aca="false">SUMIFS($E$5:$E$22,$D$5:$D$22,A38)</f>
        <v>0</v>
      </c>
    </row>
    <row r="40" customFormat="false" ht="15" hidden="false" customHeight="false" outlineLevel="0" collapsed="false">
      <c r="A40" s="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21.75" hidden="false" customHeight="true" outlineLevel="0" collapsed="false">
      <c r="B1" s="3" t="s">
        <v>177</v>
      </c>
      <c r="E1" s="6" t="s">
        <v>56</v>
      </c>
    </row>
    <row r="3" customFormat="false" ht="15" hidden="false" customHeight="false" outlineLevel="0" collapsed="false">
      <c r="A3" s="25" t="s">
        <v>167</v>
      </c>
    </row>
    <row r="4" customFormat="false" ht="15" hidden="false" customHeight="false" outlineLevel="0" collapsed="false">
      <c r="A4" s="48" t="s">
        <v>76</v>
      </c>
      <c r="B4" s="48" t="s">
        <v>168</v>
      </c>
      <c r="C4" s="48" t="s">
        <v>77</v>
      </c>
      <c r="D4" s="48" t="s">
        <v>105</v>
      </c>
      <c r="E4" s="48" t="s">
        <v>169</v>
      </c>
    </row>
    <row r="5" customFormat="false" ht="15" hidden="false" customHeight="false" outlineLevel="0" collapsed="false">
      <c r="A5" s="13" t="n">
        <v>46042</v>
      </c>
      <c r="B5" s="12" t="s">
        <v>178</v>
      </c>
      <c r="C5" s="12" t="s">
        <v>179</v>
      </c>
      <c r="D5" s="12" t="n">
        <v>1</v>
      </c>
      <c r="E5" s="14" t="n">
        <v>480</v>
      </c>
    </row>
    <row r="6" customFormat="false" ht="15" hidden="false" customHeight="false" outlineLevel="0" collapsed="false">
      <c r="A6" s="17" t="n">
        <v>46042</v>
      </c>
      <c r="B6" s="16" t="s">
        <v>180</v>
      </c>
      <c r="C6" s="16" t="s">
        <v>181</v>
      </c>
      <c r="D6" s="16" t="n">
        <v>1</v>
      </c>
      <c r="E6" s="18" t="n">
        <v>610</v>
      </c>
    </row>
    <row r="7" customFormat="false" ht="15" hidden="false" customHeight="false" outlineLevel="0" collapsed="false">
      <c r="A7" s="13" t="n">
        <v>46091</v>
      </c>
      <c r="B7" s="12" t="s">
        <v>182</v>
      </c>
      <c r="C7" s="12" t="s">
        <v>183</v>
      </c>
      <c r="D7" s="12" t="n">
        <v>3</v>
      </c>
      <c r="E7" s="14" t="n">
        <v>1150</v>
      </c>
    </row>
    <row r="8" customFormat="false" ht="15" hidden="false" customHeight="false" outlineLevel="0" collapsed="false">
      <c r="A8" s="17"/>
      <c r="B8" s="16"/>
      <c r="C8" s="16"/>
      <c r="D8" s="16"/>
      <c r="E8" s="18"/>
    </row>
    <row r="9" customFormat="false" ht="15" hidden="false" customHeight="false" outlineLevel="0" collapsed="false">
      <c r="A9" s="13"/>
      <c r="B9" s="12"/>
      <c r="C9" s="12"/>
      <c r="D9" s="12"/>
      <c r="E9" s="14"/>
    </row>
    <row r="10" customFormat="false" ht="15" hidden="false" customHeight="false" outlineLevel="0" collapsed="false">
      <c r="A10" s="17"/>
      <c r="B10" s="16"/>
      <c r="C10" s="16"/>
      <c r="D10" s="16"/>
      <c r="E10" s="18"/>
    </row>
    <row r="11" customFormat="false" ht="15" hidden="false" customHeight="false" outlineLevel="0" collapsed="false">
      <c r="A11" s="13"/>
      <c r="B11" s="12"/>
      <c r="C11" s="12"/>
      <c r="D11" s="12"/>
      <c r="E11" s="14"/>
    </row>
    <row r="12" customFormat="false" ht="15" hidden="false" customHeight="false" outlineLevel="0" collapsed="false">
      <c r="A12" s="17"/>
      <c r="B12" s="16"/>
      <c r="C12" s="16"/>
      <c r="D12" s="16"/>
      <c r="E12" s="18"/>
    </row>
    <row r="13" customFormat="false" ht="15" hidden="false" customHeight="false" outlineLevel="0" collapsed="false">
      <c r="A13" s="13"/>
      <c r="B13" s="12"/>
      <c r="C13" s="12"/>
      <c r="D13" s="12"/>
      <c r="E13" s="14"/>
    </row>
    <row r="14" customFormat="false" ht="15" hidden="false" customHeight="false" outlineLevel="0" collapsed="false">
      <c r="A14" s="17"/>
      <c r="B14" s="16"/>
      <c r="C14" s="16"/>
      <c r="D14" s="16"/>
      <c r="E14" s="18"/>
    </row>
    <row r="15" customFormat="false" ht="15" hidden="false" customHeight="false" outlineLevel="0" collapsed="false">
      <c r="A15" s="13"/>
      <c r="B15" s="12"/>
      <c r="C15" s="12"/>
      <c r="D15" s="12"/>
      <c r="E15" s="14"/>
    </row>
    <row r="16" customFormat="false" ht="15" hidden="false" customHeight="false" outlineLevel="0" collapsed="false">
      <c r="A16" s="17"/>
      <c r="B16" s="16"/>
      <c r="C16" s="16"/>
      <c r="D16" s="16"/>
      <c r="E16" s="18"/>
    </row>
    <row r="17" customFormat="false" ht="15" hidden="false" customHeight="false" outlineLevel="0" collapsed="false">
      <c r="A17" s="13"/>
      <c r="B17" s="12"/>
      <c r="C17" s="12"/>
      <c r="D17" s="12"/>
      <c r="E17" s="14"/>
    </row>
    <row r="18" customFormat="false" ht="15" hidden="false" customHeight="false" outlineLevel="0" collapsed="false">
      <c r="A18" s="17"/>
      <c r="B18" s="16"/>
      <c r="C18" s="16"/>
      <c r="D18" s="16"/>
      <c r="E18" s="18"/>
    </row>
    <row r="19" customFormat="false" ht="15" hidden="false" customHeight="false" outlineLevel="0" collapsed="false">
      <c r="A19" s="13"/>
      <c r="B19" s="12"/>
      <c r="C19" s="12"/>
      <c r="D19" s="12"/>
      <c r="E19" s="14"/>
    </row>
    <row r="20" customFormat="false" ht="15" hidden="false" customHeight="false" outlineLevel="0" collapsed="false">
      <c r="A20" s="17"/>
      <c r="B20" s="16"/>
      <c r="C20" s="16"/>
      <c r="D20" s="16"/>
      <c r="E20" s="18"/>
    </row>
    <row r="21" customFormat="false" ht="15" hidden="false" customHeight="false" outlineLevel="0" collapsed="false">
      <c r="A21" s="13"/>
      <c r="B21" s="12"/>
      <c r="C21" s="12"/>
      <c r="D21" s="12"/>
      <c r="E21" s="14"/>
    </row>
    <row r="22" customFormat="false" ht="15" hidden="false" customHeight="false" outlineLevel="0" collapsed="false">
      <c r="A22" s="17"/>
      <c r="B22" s="16"/>
      <c r="C22" s="16"/>
      <c r="D22" s="16"/>
      <c r="E22" s="18"/>
    </row>
    <row r="23" customFormat="false" ht="15" hidden="false" customHeight="false" outlineLevel="0" collapsed="false">
      <c r="B23" s="5" t="s">
        <v>175</v>
      </c>
      <c r="E23" s="49" t="n">
        <f aca="false">SUM(E5:E22)</f>
        <v>2240</v>
      </c>
    </row>
    <row r="25" customFormat="false" ht="15" hidden="false" customHeight="false" outlineLevel="0" collapsed="false">
      <c r="A25" s="25" t="s">
        <v>164</v>
      </c>
    </row>
    <row r="26" customFormat="false" ht="15" hidden="false" customHeight="false" outlineLevel="0" collapsed="false">
      <c r="A26" s="48" t="s">
        <v>105</v>
      </c>
      <c r="B26" s="48" t="s">
        <v>106</v>
      </c>
      <c r="C26" s="48" t="s">
        <v>184</v>
      </c>
    </row>
    <row r="27" customFormat="false" ht="15" hidden="false" customHeight="false" outlineLevel="0" collapsed="false">
      <c r="A27" s="26" t="n">
        <v>1</v>
      </c>
      <c r="B27" s="27" t="n">
        <f aca="false">EDATE(Dashboard!$C$5,A27-1)</f>
        <v>46023</v>
      </c>
      <c r="C27" s="15" t="n">
        <f aca="false">SUMIFS($E$5:$E$22,$D$5:$D$22,A27)</f>
        <v>1090</v>
      </c>
    </row>
    <row r="28" customFormat="false" ht="15" hidden="false" customHeight="false" outlineLevel="0" collapsed="false">
      <c r="A28" s="31" t="n">
        <v>2</v>
      </c>
      <c r="B28" s="32" t="n">
        <f aca="false">EDATE(Dashboard!$C$5,A28-1)</f>
        <v>46054</v>
      </c>
      <c r="C28" s="19" t="n">
        <f aca="false">SUMIFS($E$5:$E$22,$D$5:$D$22,A28)</f>
        <v>0</v>
      </c>
    </row>
    <row r="29" customFormat="false" ht="15" hidden="false" customHeight="false" outlineLevel="0" collapsed="false">
      <c r="A29" s="26" t="n">
        <v>3</v>
      </c>
      <c r="B29" s="27" t="n">
        <f aca="false">EDATE(Dashboard!$C$5,A29-1)</f>
        <v>46082</v>
      </c>
      <c r="C29" s="15" t="n">
        <f aca="false">SUMIFS($E$5:$E$22,$D$5:$D$22,A29)</f>
        <v>1150</v>
      </c>
    </row>
    <row r="30" customFormat="false" ht="15" hidden="false" customHeight="false" outlineLevel="0" collapsed="false">
      <c r="A30" s="31" t="n">
        <v>4</v>
      </c>
      <c r="B30" s="32" t="n">
        <f aca="false">EDATE(Dashboard!$C$5,A30-1)</f>
        <v>46113</v>
      </c>
      <c r="C30" s="19" t="n">
        <f aca="false">SUMIFS($E$5:$E$22,$D$5:$D$22,A30)</f>
        <v>0</v>
      </c>
    </row>
    <row r="31" customFormat="false" ht="15" hidden="false" customHeight="false" outlineLevel="0" collapsed="false">
      <c r="A31" s="26" t="n">
        <v>5</v>
      </c>
      <c r="B31" s="27" t="n">
        <f aca="false">EDATE(Dashboard!$C$5,A31-1)</f>
        <v>46143</v>
      </c>
      <c r="C31" s="15" t="n">
        <f aca="false">SUMIFS($E$5:$E$22,$D$5:$D$22,A31)</f>
        <v>0</v>
      </c>
    </row>
    <row r="32" customFormat="false" ht="15" hidden="false" customHeight="false" outlineLevel="0" collapsed="false">
      <c r="A32" s="31" t="n">
        <v>6</v>
      </c>
      <c r="B32" s="32" t="n">
        <f aca="false">EDATE(Dashboard!$C$5,A32-1)</f>
        <v>46174</v>
      </c>
      <c r="C32" s="19" t="n">
        <f aca="false">SUMIFS($E$5:$E$22,$D$5:$D$22,A32)</f>
        <v>0</v>
      </c>
    </row>
    <row r="33" customFormat="false" ht="15" hidden="false" customHeight="false" outlineLevel="0" collapsed="false">
      <c r="A33" s="26" t="n">
        <v>7</v>
      </c>
      <c r="B33" s="27" t="n">
        <f aca="false">EDATE(Dashboard!$C$5,A33-1)</f>
        <v>46204</v>
      </c>
      <c r="C33" s="15" t="n">
        <f aca="false">SUMIFS($E$5:$E$22,$D$5:$D$22,A33)</f>
        <v>0</v>
      </c>
    </row>
    <row r="34" customFormat="false" ht="15" hidden="false" customHeight="false" outlineLevel="0" collapsed="false">
      <c r="A34" s="31" t="n">
        <v>8</v>
      </c>
      <c r="B34" s="32" t="n">
        <f aca="false">EDATE(Dashboard!$C$5,A34-1)</f>
        <v>46235</v>
      </c>
      <c r="C34" s="19" t="n">
        <f aca="false">SUMIFS($E$5:$E$22,$D$5:$D$22,A34)</f>
        <v>0</v>
      </c>
    </row>
    <row r="35" customFormat="false" ht="15" hidden="false" customHeight="false" outlineLevel="0" collapsed="false">
      <c r="A35" s="26" t="n">
        <v>9</v>
      </c>
      <c r="B35" s="27" t="n">
        <f aca="false">EDATE(Dashboard!$C$5,A35-1)</f>
        <v>46266</v>
      </c>
      <c r="C35" s="15" t="n">
        <f aca="false">SUMIFS($E$5:$E$22,$D$5:$D$22,A35)</f>
        <v>0</v>
      </c>
    </row>
    <row r="36" customFormat="false" ht="15" hidden="false" customHeight="false" outlineLevel="0" collapsed="false">
      <c r="A36" s="31" t="n">
        <v>10</v>
      </c>
      <c r="B36" s="32" t="n">
        <f aca="false">EDATE(Dashboard!$C$5,A36-1)</f>
        <v>46296</v>
      </c>
      <c r="C36" s="19" t="n">
        <f aca="false">SUMIFS($E$5:$E$22,$D$5:$D$22,A36)</f>
        <v>0</v>
      </c>
    </row>
    <row r="37" customFormat="false" ht="15" hidden="false" customHeight="false" outlineLevel="0" collapsed="false">
      <c r="A37" s="26" t="n">
        <v>11</v>
      </c>
      <c r="B37" s="27" t="n">
        <f aca="false">EDATE(Dashboard!$C$5,A37-1)</f>
        <v>46327</v>
      </c>
      <c r="C37" s="15" t="n">
        <f aca="false">SUMIFS($E$5:$E$22,$D$5:$D$22,A37)</f>
        <v>0</v>
      </c>
    </row>
    <row r="38" customFormat="false" ht="15" hidden="false" customHeight="false" outlineLevel="0" collapsed="false">
      <c r="A38" s="31" t="n">
        <v>12</v>
      </c>
      <c r="B38" s="32" t="n">
        <f aca="false">EDATE(Dashboard!$C$5,A38-1)</f>
        <v>46357</v>
      </c>
      <c r="C38" s="19" t="n">
        <f aca="false">SUMIFS($E$5:$E$22,$D$5:$D$22,A38)</f>
        <v>0</v>
      </c>
    </row>
    <row r="40" customFormat="false" ht="15" hidden="false" customHeight="false" outlineLevel="0" collapsed="false">
      <c r="A40" s="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2026-08-12T12:29:20Z</dcterms:created>
  <dc:creator>openpyxl</dc:creator>
  <dc:description/>
  <dc:language>en-US</dc:language>
  <cp:lastModifiedBy/>
  <dcterms:modified xsi:type="dcterms:W3CDTF">2026-08-12T12:29:20Z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