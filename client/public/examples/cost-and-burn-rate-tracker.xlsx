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Rates" sheetId="2" state="visible" r:id="rId4"/>
    <sheet name="FundingMods" sheetId="3" state="visible" r:id="rId5"/>
    <sheet name="Projects" sheetId="4" state="visible" r:id="rId6"/>
    <sheet name="Dashboard" sheetId="5" state="visible" r:id="rId7"/>
    <sheet name="Personnel" sheetId="6" state="visible" r:id="rId8"/>
    <sheet name="PTO Planner" sheetId="7" state="visible" r:id="rId9"/>
    <sheet name="Labor" sheetId="8" state="visible" r:id="rId10"/>
    <sheet name="ODCs" sheetId="9" state="visible" r:id="rId11"/>
    <sheet name="Travel" sheetId="10" state="visible" r:id="rId12"/>
    <sheet name="M&amp;E" sheetId="11" state="visible" r:id="rId13"/>
    <sheet name="ROM Calculator" sheetId="12" state="visible" r:id="rId14"/>
  </sheets>
  <definedNames>
    <definedName function="false" hidden="true" localSheetId="7" name="_xlnm._FilterDatabase" vbProcedure="false">Labor!$A$4:$G$25</definedName>
    <definedName function="false" hidden="true" localSheetId="10" name="_xlnm._FilterDatabase" vbProcedure="false">'M&amp;E'!$A$4:$F$22</definedName>
    <definedName function="false" hidden="true" localSheetId="8" name="_xlnm._FilterDatabase" vbProcedure="false">ODCs!$A$4:$F$22</definedName>
    <definedName function="false" hidden="true" localSheetId="3" name="_xlnm._FilterDatabase" vbProcedure="false">Projects!$A$4:$G$13</definedName>
    <definedName function="false" hidden="true" localSheetId="9" name="_xlnm._FilterDatabase" vbProcedure="false">Travel!$A$4:$F$22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<sst xmlns="http://schemas.openxmlformats.org/spreadsheetml/2006/main" count="537" uniqueCount="301">
  <si>
    <t xml:space="preserve">Acqlerate</t>
  </si>
  <si>
    <t xml:space="preserve">DoD Acquisition Training  ·  acqlerate.com</t>
  </si>
  <si>
    <t xml:space="preserve">Cost &amp; Burn Rate Tracker — How to Use This</t>
  </si>
  <si>
    <t xml:space="preserve">What this is:</t>
  </si>
  <si>
    <t xml:space="preserve">A working cost model for a contractor PM: enter your negotiated rates once, log labor, ODCs, and</t>
  </si>
  <si>
    <t xml:space="preserve">travel as they happen, and the Dashboard tab builds up your fully burdened cost, applies G&amp;A and fee,</t>
  </si>
  <si>
    <t xml:space="preserve">and tracks it against your funded ceiling month by month — the same buildup your finance team runs,</t>
  </si>
  <si>
    <t xml:space="preserve">just visible to you instead of buried in a system you don't have access to.</t>
  </si>
  <si>
    <t xml:space="preserve">Tab order — fill these in first, in this order:</t>
  </si>
  <si>
    <t xml:space="preserve">1. Rates — your negotiated Fringe, Overhead, G&amp;A, and Fee rates. Everything else depends on these.</t>
  </si>
  <si>
    <t xml:space="preserve">2. Projects — one row per project/task order you run under this contract (or "PMO" for internal/</t>
  </si>
  <si>
    <t xml:space="preserve">   overhead time). Enter Labor/Travel/ODC/M&amp;E Funded $ per project here — this is the ONLY place you</t>
  </si>
  <si>
    <t xml:space="preserve">   edit funding. The Program/Task Order Overview at the bottom shows spend against each project's</t>
  </si>
  <si>
    <t xml:space="preserve">   funding automatically, so a USG client only ever sees their own project draw down their own money.</t>
  </si>
  <si>
    <t xml:space="preserve">3. FundingMods — optional historical log of the mods that built up to your current TOA (P00000 award,</t>
  </si>
  <si>
    <t xml:space="preserve">   then each incremental mod). Informational only now — it no longer feeds the Dashboard.</t>
  </si>
  <si>
    <t xml:space="preserve">4. Dashboard — enter Program Name, Contract #, and Period of Performance dates near the top.</t>
  </si>
  <si>
    <t xml:space="preserve">5. Personnel — one row per person on the program: Employee #, name, LCAT, Exempt or Non-Exempt,</t>
  </si>
  <si>
    <t xml:space="preserve">   salary (exempt) or hourly rate (non-exempt), standard annual hours (2080 is the usual default),</t>
  </si>
  <si>
    <t xml:space="preserve">   and start/end date. This is the roster the Labor tab looks people up from — set it up before</t>
  </si>
  <si>
    <t xml:space="preserve">   you touch Labor.</t>
  </si>
  <si>
    <t xml:space="preserve">Then, log costs as they happen:</t>
  </si>
  <si>
    <t xml:space="preserve">6. Labor — one row per person PER PROJECT. Type the Employee #; name, LCAT, and hourly rate fill</t>
  </si>
  <si>
    <t xml:space="preserve">   in automatically from Personnel. Enter Prime or Sub, and pick a Project (or PMO) from the</t>
  </si>
  <si>
    <t xml:space="preserve">   dropdown — someone splitting time across two projects gets two rows, same Employee #, different</t>
  </si>
  <si>
    <t xml:space="preserve">   Project. For each month you only type Recorded Hours and (Non-Exempt only) OT Hours — Max Hours</t>
  </si>
  <si>
    <t xml:space="preserve">   prorates that person's standard capacity automatically, and Unburdened Cost $ calculates from</t>
  </si>
  <si>
    <t xml:space="preserve">   hours x rate. OT pays at 1.5x and is grayed out for Exempt rows. Use the filter arrow on the</t>
  </si>
  <si>
    <t xml:space="preserve">   header row to show just one project at a time. The Monthly Rollup at the bottom totals</t>
  </si>
  <si>
    <t xml:space="preserve">   everyone's Unburdened $ per month and applies Fringe and OH once, there — that's what feeds</t>
  </si>
  <si>
    <t xml:space="preserve">   the Dashboard.</t>
  </si>
  <si>
    <t xml:space="preserve">7. ODCs / Travel / M&amp;E — log each line item (date, category, description, Project, month #,</t>
  </si>
  <si>
    <t xml:space="preserve">   amount). Same filter-by-project trick works here too. Monthly Rollup totals them by month;</t>
  </si>
  <si>
    <t xml:space="preserve">   M&amp;E is kept separate from ODCs because it's usually its own CLIN on a real contract.</t>
  </si>
  <si>
    <t xml:space="preserve">8. PTO Planner — separate from all of the above. One row per person, planned and actual PTO</t>
  </si>
  <si>
    <t xml:space="preserve">   hours by month. It's a heads-up so you (and the USG) can see PTO coming — it doesn't feed</t>
  </si>
  <si>
    <t xml:space="preserve">   Labor's hour math, since PTO cost already lives inside your Fringe rate.</t>
  </si>
  <si>
    <t xml:space="preserve">The Dashboard tab does the rest automatically:</t>
  </si>
  <si>
    <t xml:space="preserve">Labor + ODCs + M&amp;E + Travel → Subtotal → + G&amp;A → Total Cost → + Fee → Total Billed for the month.</t>
  </si>
  <si>
    <t xml:space="preserve">That rolls into cumulative spend, variance against your straight-line plan, a 3-month rolling burn</t>
  </si>
  <si>
    <t xml:space="preserve">rate, a projected fund-exhaustion date, and a plain-language status flag. This view stays</t>
  </si>
  <si>
    <t xml:space="preserve">contract-wide/blended — for a per-project breakdown, use Projects tab's Program Overview instead.</t>
  </si>
  <si>
    <t xml:space="preserve">One more tab, separate from all of the above — ROM Calculator:</t>
  </si>
  <si>
    <t xml:space="preserve">This one doesn't log anything or touch your totals. It's a standalone what-if: type in a role,</t>
  </si>
  <si>
    <t xml:space="preserve">salary or hourly rate, a start and end date, and pick from four common location/allowance adders</t>
  </si>
  <si>
    <t xml:space="preserve">(COLA, LQA, Relocation, Other — edit any of them). It runs the same Fringe/OH/G&amp;A/Fee buildup as</t>
  </si>
  <si>
    <t xml:space="preserve">the rest of the workbook and gives you a single fully burdened number, plus a copy-paste sentence</t>
  </si>
  <si>
    <t xml:space="preserve">you can drop straight into an email.</t>
  </si>
  <si>
    <t xml:space="preserve">travel-heavy in others, or your burdened rate is high, your actual Total Billed will naturally run</t>
  </si>
  <si>
    <t xml:space="preserve">above or below that flat line even when you're executing exactly to your real program plan. Use the</t>
  </si>
  <si>
    <t xml:space="preserve">variance and burn rate as a trend to watch, not a hard pass/fail on any single month.</t>
  </si>
  <si>
    <t xml:space="preserve">Color legend:</t>
  </si>
  <si>
    <t xml:space="preserve">  Blue text   = your inputs. Edit these.</t>
  </si>
  <si>
    <t xml:space="preserve">  Green text  = formulas that pull from another tab.</t>
  </si>
  <si>
    <t xml:space="preserve">  Black text  = formulas within the same tab. Don't overwrite these.</t>
  </si>
  <si>
    <t xml:space="preserve">  Yellow fill = key assumptions that drive the whole workbook (rates, TOA inputs).</t>
  </si>
  <si>
    <t xml:space="preserve">A note on Max Hours:</t>
  </si>
  <si>
    <t xml:space="preserve">Max Hours is a simple day-in-month proration of a person's standard annual hours ÷ 12 — it's an</t>
  </si>
  <si>
    <t xml:space="preserve">approximation for spotting under/over-recorded time at a glance, not a payroll-grade calendar.</t>
  </si>
  <si>
    <t xml:space="preserve">PTO now lives entirely on its own PTO Planner tab (planned + actual hours), separate from Labor —</t>
  </si>
  <si>
    <t xml:space="preserve">it's a heads-up view, not a deduction from anyone's billable capacity.</t>
  </si>
  <si>
    <t xml:space="preserve">This is a planning and early-warning tool, not your official cost report.</t>
  </si>
  <si>
    <t xml:space="preserve">It doesn't replace your contract's EVM reporting, your cost analyst's numbers, or a certified</t>
  </si>
  <si>
    <t xml:space="preserve">Incurred Cost Submission. Reconcile it against your actual accounting system — this is only as</t>
  </si>
  <si>
    <t xml:space="preserve">accurate as what you type in. And double-check your fee base and G&amp;A base against your own</t>
  </si>
  <si>
    <t xml:space="preserve">company's DCAA-approved rate structure — the defaults here are common conventions, not universal ones.</t>
  </si>
  <si>
    <t xml:space="preserve">Negotiated Rates</t>
  </si>
  <si>
    <t xml:space="preserve">Acqlerate  ·  acqlerate.com</t>
  </si>
  <si>
    <t xml:space="preserve">INDIRECT RATES</t>
  </si>
  <si>
    <t xml:space="preserve">Applied in sequence: Fringe -&gt; Overhead -&gt; G&amp;A. These drive every burdened cost figure on this sheet and on Labor.</t>
  </si>
  <si>
    <t xml:space="preserve">Fringe Rate (%)</t>
  </si>
  <si>
    <t xml:space="preserve">Applied to Direct Labor. Covers benefits (health, retirement, PTO).</t>
  </si>
  <si>
    <t xml:space="preserve">Overhead (OH) Rate (%)</t>
  </si>
  <si>
    <t xml:space="preserve">Applied to (Direct Labor + Fringe). Covers indirect labor, facilities, and fringe on indirect staff. Base varies by company — check your DCAA-approved rate agreement.</t>
  </si>
  <si>
    <t xml:space="preserve">G&amp;A Rate (%)</t>
  </si>
  <si>
    <t xml:space="preserve">Applied to Total Cost Input (fully burdened labor + ODCs + Travel + M&amp;E). Covers company-wide G&amp;A: executive, finance, HR, business development.</t>
  </si>
  <si>
    <t xml:space="preserve">FEE STRUCTURE</t>
  </si>
  <si>
    <t xml:space="preserve">Pick Fixed or Award from the dropdown — the Applicable Fee Rate below switches automatically.</t>
  </si>
  <si>
    <t xml:space="preserve">Fee Type in Use</t>
  </si>
  <si>
    <t xml:space="preserve">Fixed</t>
  </si>
  <si>
    <t xml:space="preserve">Fixed = flat % of Total Cost (CPFF). Award = pool rate, actual earned fee depends on your award fee score.</t>
  </si>
  <si>
    <t xml:space="preserve">Fixed Fee Rate (%)</t>
  </si>
  <si>
    <t xml:space="preserve">Used if Fee Type = Fixed. A flat % of Total Cost that doesn't vary with performance.</t>
  </si>
  <si>
    <t xml:space="preserve">Target Award Fee Rate (%)</t>
  </si>
  <si>
    <t xml:space="preserve">Used if Fee Type = Award. This is the MAX pool rate (see the CPAF lesson). This tracker assumes 100% earned for planning; adjust down if you have a current-period score.</t>
  </si>
  <si>
    <t xml:space="preserve">Applicable Fee Rate</t>
  </si>
  <si>
    <t xml:space="preserve">This is what the Dashboard tab actually uses.</t>
  </si>
  <si>
    <t xml:space="preserve">Fee base note: this tracker applies fee to Total Cost (burdened labor + ODCs + Travel + M&amp;E + G&amp;A). Some contracts exclude ODCs, travel, M&amp;E, or facilities capital cost of money from the fee base — check your specific contract's fee clause (FAR 52.216 series) before relying on this for real billing.</t>
  </si>
  <si>
    <t xml:space="preserve">Funding Modification Log</t>
  </si>
  <si>
    <t xml:space="preserve">HISTORICAL AUDIT LOG — for reference only. This no longer feeds the Dashboard or the CLIN Funding Status table below; those now read live TOA from the Projects tab. Keep logging mods here anyway — it's the paper trail a real contract needs, split across CLIN and (optionally) Project the same way as before.</t>
  </si>
  <si>
    <t xml:space="preserve">Mod #</t>
  </si>
  <si>
    <t xml:space="preserve">Date</t>
  </si>
  <si>
    <t xml:space="preserve">Description</t>
  </si>
  <si>
    <t xml:space="preserve">Project
(optional)</t>
  </si>
  <si>
    <t xml:space="preserve">Labor CLIN
$</t>
  </si>
  <si>
    <t xml:space="preserve">Travel CLIN
$</t>
  </si>
  <si>
    <t xml:space="preserve">ODC CLIN
$</t>
  </si>
  <si>
    <t xml:space="preserve">M&amp;E CLIN
$</t>
  </si>
  <si>
    <t xml:space="preserve">Mod Total
$</t>
  </si>
  <si>
    <t xml:space="preserve">Cum. Labor
TOA $</t>
  </si>
  <si>
    <t xml:space="preserve">Cum. Travel
TOA $</t>
  </si>
  <si>
    <t xml:space="preserve">Cum. ODC
TOA $</t>
  </si>
  <si>
    <t xml:space="preserve">Cum. M&amp;E
TOA $</t>
  </si>
  <si>
    <t xml:space="preserve">Cum. Total
TOA $</t>
  </si>
  <si>
    <t xml:space="preserve">P00000 (Award)</t>
  </si>
  <si>
    <t xml:space="preserve">Original award — base period</t>
  </si>
  <si>
    <t xml:space="preserve">P00001</t>
  </si>
  <si>
    <t xml:space="preserve">Incremental funding — added scope</t>
  </si>
  <si>
    <t xml:space="preserve">CLIN Funding Status (auto — reads Projects tab, not this log)</t>
  </si>
  <si>
    <t xml:space="preserve">CLIN</t>
  </si>
  <si>
    <t xml:space="preserve">Cumulative
TOA $</t>
  </si>
  <si>
    <t xml:space="preserve">Spent to
Date $</t>
  </si>
  <si>
    <t xml:space="preserve">Remaining
$</t>
  </si>
  <si>
    <t xml:space="preserve">% Used</t>
  </si>
  <si>
    <t xml:space="preserve">Labor</t>
  </si>
  <si>
    <t xml:space="preserve">Travel</t>
  </si>
  <si>
    <t xml:space="preserve">ODC</t>
  </si>
  <si>
    <t xml:space="preserve">M&amp;E</t>
  </si>
  <si>
    <t xml:space="preserve">TOTAL</t>
  </si>
  <si>
    <t xml:space="preserve">Acqlerate  ·  DoD Acquisition Training  ·  acqlerate.com</t>
  </si>
  <si>
    <t xml:space="preserve">Projects</t>
  </si>
  <si>
    <t xml:space="preserve">One row per project or task order funded by a distinct USG client. This is the ONLY place you edit funding amounts — everything else (Dashboard TOA, per-project spend on Labor/ODCs/Travel/M&amp;E) reads from here. Add "PMO" as a row if you want to track internal/overhead time separately (leave its funding at $0 if the USG doesn't fund it directly).</t>
  </si>
  <si>
    <t xml:space="preserve">Project #</t>
  </si>
  <si>
    <t xml:space="preserve">Project Name</t>
  </si>
  <si>
    <t xml:space="preserve">Labor Funded
$</t>
  </si>
  <si>
    <t xml:space="preserve">Travel Funded
$</t>
  </si>
  <si>
    <t xml:space="preserve">ODC Funded
$</t>
  </si>
  <si>
    <t xml:space="preserve">M&amp;E Funded
$</t>
  </si>
  <si>
    <t xml:space="preserve">Total Funded
$</t>
  </si>
  <si>
    <t xml:space="preserve">PMO</t>
  </si>
  <si>
    <t xml:space="preserve">Program Mgmt Office (internal/overhead)</t>
  </si>
  <si>
    <t xml:space="preserve">P1</t>
  </si>
  <si>
    <t xml:space="preserve">Project X — Fleet Readiness Module</t>
  </si>
  <si>
    <t xml:space="preserve">P2</t>
  </si>
  <si>
    <t xml:space="preserve">Project Y — Depot Optimization</t>
  </si>
  <si>
    <t xml:space="preserve">CONTRACT TOTAL (feeds Dashboard TOA)</t>
  </si>
  <si>
    <t xml:space="preserve">PROGRAM / TASK ORDER OVERVIEW (auto)</t>
  </si>
  <si>
    <t xml:space="preserve">Spend-to-date pulls straight from each CLIN tab's Project column — nothing to enter here. Labor is burdened the same way as the Dashboard (Fringe + OH on Prime, Sub passes through at cost); Travel/ODC/M&amp;E shown pre-G&amp;A, same convention as the CLIN Funding Status table on FundingMods.</t>
  </si>
  <si>
    <t xml:space="preserve">Funded $</t>
  </si>
  <si>
    <t xml:space="preserve">Spent to Date $</t>
  </si>
  <si>
    <t xml:space="preserve">Remaining $</t>
  </si>
  <si>
    <t xml:space="preserve">Cost &amp; Burn Rate Dashboard</t>
  </si>
  <si>
    <t xml:space="preserve">Program / Contract Name</t>
  </si>
  <si>
    <t xml:space="preserve">Example: Fleet Sustainment Support Services</t>
  </si>
  <si>
    <t xml:space="preserve">Contract / Task Order #</t>
  </si>
  <si>
    <t xml:space="preserve">N00019-25-F-0142</t>
  </si>
  <si>
    <t xml:space="preserve">Period of Performance — Start</t>
  </si>
  <si>
    <t xml:space="preserve">Period of Performance — End</t>
  </si>
  <si>
    <t xml:space="preserve">Months in Period</t>
  </si>
  <si>
    <t xml:space="preserve">Current TOA (from Projects tab)</t>
  </si>
  <si>
    <t xml:space="preserve">Straight-Line Monthly Plan</t>
  </si>
  <si>
    <t xml:space="preserve">SUMMARY</t>
  </si>
  <si>
    <t xml:space="preserve">Months of Actuals Entered</t>
  </si>
  <si>
    <t xml:space="preserve">Spent to Date</t>
  </si>
  <si>
    <t xml:space="preserve">Remaining Funds</t>
  </si>
  <si>
    <t xml:space="preserve">% of TOA Spent</t>
  </si>
  <si>
    <t xml:space="preserve">Current Monthly Burn Rate (3-mo avg)</t>
  </si>
  <si>
    <t xml:space="preserve">Projected Months to Exhaustion</t>
  </si>
  <si>
    <t xml:space="preserve">Status</t>
  </si>
  <si>
    <t xml:space="preserve">Month #</t>
  </si>
  <si>
    <t xml:space="preserve">Month</t>
  </si>
  <si>
    <t xml:space="preserve">Planned
Cumulative $</t>
  </si>
  <si>
    <t xml:space="preserve">Labor $</t>
  </si>
  <si>
    <t xml:space="preserve">ODCs $</t>
  </si>
  <si>
    <t xml:space="preserve">M&amp;E $</t>
  </si>
  <si>
    <t xml:space="preserve">Travel $</t>
  </si>
  <si>
    <t xml:space="preserve">Subtotal
(L+O+M+T)</t>
  </si>
  <si>
    <t xml:space="preserve">G&amp;A $</t>
  </si>
  <si>
    <t xml:space="preserve">Total
Cost</t>
  </si>
  <si>
    <t xml:space="preserve">Fee $</t>
  </si>
  <si>
    <t xml:space="preserve">Total Billed
(This Month)</t>
  </si>
  <si>
    <t xml:space="preserve">Actual
Cumulative $</t>
  </si>
  <si>
    <t xml:space="preserve">Variance $</t>
  </si>
  <si>
    <t xml:space="preserve">Variance %</t>
  </si>
  <si>
    <t xml:space="preserve">Remaining
Funds $</t>
  </si>
  <si>
    <t xml:space="preserve">Personnel</t>
  </si>
  <si>
    <t xml:space="preserve">One row per person. Enter Employee Type as exactly "Exempt" (salaried) or "Non-Exempt" (hourly, OT-eligible). PTO is tracked on the PTO Planner tab, not here — it doesn't bill separately since it's already embedded in your Fringe rate.</t>
  </si>
  <si>
    <t xml:space="preserve">Employee #</t>
  </si>
  <si>
    <t xml:space="preserve">Employee Name</t>
  </si>
  <si>
    <t xml:space="preserve">LCAT</t>
  </si>
  <si>
    <t xml:space="preserve">Employee Type</t>
  </si>
  <si>
    <t xml:space="preserve">Annual Salary
(Exempt only)</t>
  </si>
  <si>
    <t xml:space="preserve">Direct Hourly Rate
(Non-Exempt only)</t>
  </si>
  <si>
    <t xml:space="preserve">Standard
Annual Hours</t>
  </si>
  <si>
    <t xml:space="preserve">Straight-Time
Rate $/hr</t>
  </si>
  <si>
    <t xml:space="preserve">OT Rate
$/hr (1.5x)</t>
  </si>
  <si>
    <t xml:space="preserve">Start Date</t>
  </si>
  <si>
    <t xml:space="preserve">End Date
(optional)</t>
  </si>
  <si>
    <t xml:space="preserve">John Smith</t>
  </si>
  <si>
    <t xml:space="preserve">Engineer 4</t>
  </si>
  <si>
    <t xml:space="preserve">Exempt</t>
  </si>
  <si>
    <t xml:space="preserve">Maria Alvarez</t>
  </si>
  <si>
    <t xml:space="preserve">Program Manager</t>
  </si>
  <si>
    <t xml:space="preserve">Dave Chen</t>
  </si>
  <si>
    <t xml:space="preserve">Admin Support</t>
  </si>
  <si>
    <t xml:space="preserve">Non-Exempt</t>
  </si>
  <si>
    <t xml:space="preserve">PTO Planner</t>
  </si>
  <si>
    <t xml:space="preserve">One row per person. Just hours — planned (what they intend to take, so you can see it coming and reduce direct cost to the USG that month) and actual (what they took). This is a heads-up tool, not payroll: PTO cost is already inside your Fringe rate, so it isn't wired into Labor's hour math.</t>
  </si>
  <si>
    <t xml:space="preserve">Employee
Name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</si>
  <si>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</si>
  <si>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</si>
  <si>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</si>
  <si>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</si>
  <si>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</si>
  <si>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</si>
  <si>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</si>
  <si>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</si>
  <si>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</si>
  <si>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</si>
  <si>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</si>
  <si>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</si>
  <si>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Yearly
Planned Hrs</t>
  </si>
  <si>
    <t xml:space="preserve">Yearly
Actual Hrs</t>
  </si>
  <si>
    <t xml:space="preserve">Planned
Hrs</t>
  </si>
  <si>
    <t xml:space="preserve">Actual
Hrs</t>
  </si>
  <si>
    <t xml:space="preserve">One row per person PER PROJECT. If someone splits time across projects (or PMO), give them one row per project — same Employee #, different Project. Max Hrs = prorated standard capacity for that month. OT Hrs grays out for Exempt people and Subs.</t>
  </si>
  <si>
    <t xml:space="preserve">Hourly
Rate $</t>
  </si>
  <si>
    <t xml:space="preserve">Prime /
Sub</t>
  </si>
  <si>
    <t xml:space="preserve">Employee
Type</t>
  </si>
  <si>
    <t xml:space="preserve">Project /
PMO</t>
  </si>
  <si>
    <t xml:space="preserve">Yearly Max
Hours</t>
  </si>
  <si>
    <t xml:space="preserve">Yearly Recorded
Hours</t>
  </si>
  <si>
    <t xml:space="preserve">Max Cost
(unburdened)</t>
  </si>
  <si>
    <t xml:space="preserve">Recorded Cost
(unburdened)</t>
  </si>
  <si>
    <t xml:space="preserve">Max
Hrs</t>
  </si>
  <si>
    <t xml:space="preserve">Recorded
Hrs</t>
  </si>
  <si>
    <t xml:space="preserve">OT
Hrs</t>
  </si>
  <si>
    <t xml:space="preserve">Unburdened
$</t>
  </si>
  <si>
    <t xml:space="preserve">Prime</t>
  </si>
  <si>
    <t xml:space="preserve">Monthly Rollup (auto) — Prime gets Fringe/OH, Sub passes through at cost</t>
  </si>
  <si>
    <t xml:space="preserve">Prime
Unburdened $</t>
  </si>
  <si>
    <t xml:space="preserve">Prime
Fringe $</t>
  </si>
  <si>
    <t xml:space="preserve">Prime
OH $</t>
  </si>
  <si>
    <t xml:space="preserve">Prime Fully
Burdened $</t>
  </si>
  <si>
    <t xml:space="preserve">Sub $
(no burden)</t>
  </si>
  <si>
    <t xml:space="preserve">Total
Labor $</t>
  </si>
  <si>
    <t xml:space="preserve">G&amp;A $ on Labor
(informational)</t>
  </si>
  <si>
    <t xml:space="preserve">Total Labor $
+ G&amp;A (info)</t>
  </si>
  <si>
    <t xml:space="preserve">Dashboard pulls Total Labor $ (col H) — G&amp;A is applied once, at Dashboard's Subtotal level, not twice.</t>
  </si>
  <si>
    <t xml:space="preserve">ODCs</t>
  </si>
  <si>
    <t xml:space="preserve">Itemized Log</t>
  </si>
  <si>
    <t xml:space="preserve">Category</t>
  </si>
  <si>
    <t xml:space="preserve">Amount $</t>
  </si>
  <si>
    <t xml:space="preserve">Software</t>
  </si>
  <si>
    <t xml:space="preserve">Annual license renewal — 3 seats</t>
  </si>
  <si>
    <t xml:space="preserve">Shipping</t>
  </si>
  <si>
    <t xml:space="preserve">Deliverable courier — CDRL package</t>
  </si>
  <si>
    <t xml:space="preserve">Supplies</t>
  </si>
  <si>
    <t xml:space="preserve">Consumables — lab</t>
  </si>
  <si>
    <t xml:space="preserve">LOG TOTAL</t>
  </si>
  <si>
    <t xml:space="preserve">Total ODCs $</t>
  </si>
  <si>
    <t xml:space="preserve">Airfare</t>
  </si>
  <si>
    <t xml:space="preserve">PM — kickoff meeting, NAS Norfolk</t>
  </si>
  <si>
    <t xml:space="preserve">Lodging</t>
  </si>
  <si>
    <t xml:space="preserve">PM — kickoff meeting, 3 nights</t>
  </si>
  <si>
    <t xml:space="preserve">Airfare + Per Diem</t>
  </si>
  <si>
    <t xml:space="preserve">Lead Engineer — site visit</t>
  </si>
  <si>
    <t xml:space="preserve">Total Travel $</t>
  </si>
  <si>
    <t xml:space="preserve">Equipment</t>
  </si>
  <si>
    <t xml:space="preserve">Replacement network switches (5)</t>
  </si>
  <si>
    <t xml:space="preserve">Test bench calibration</t>
  </si>
  <si>
    <t xml:space="preserve">Materials</t>
  </si>
  <si>
    <t xml:space="preserve">Spare parts kit</t>
  </si>
  <si>
    <t xml:space="preserve">Total Materials &amp; Equipment $</t>
  </si>
  <si>
    <t xml:space="preserve">ROM Calculator</t>
  </si>
  <si>
    <t xml:space="preserve">Quick answer for "what would it cost to add or change this person?" — a standalone what-if, separate from your actual Labor log. Doesn't affect Dashboard totals or Labor actuals.</t>
  </si>
  <si>
    <t xml:space="preserve">SCENARIO INPUTS</t>
  </si>
  <si>
    <t xml:space="preserve">Fill in the role and dates — everything below calculates automatically from your Rates tab.</t>
  </si>
  <si>
    <t xml:space="preserve">Role / LCAT</t>
  </si>
  <si>
    <t xml:space="preserve">Annual Salary (Exempt only)</t>
  </si>
  <si>
    <t xml:space="preserve">Direct Hourly Rate (Non-Exempt only)</t>
  </si>
  <si>
    <t xml:space="preserve">Standard Annual Hours</t>
  </si>
  <si>
    <t xml:space="preserve">End Date</t>
  </si>
  <si>
    <t xml:space="preserve">Defaults to your PoP End on Dashboard — type over it for a custom end date.</t>
  </si>
  <si>
    <t xml:space="preserve">BASE LABOR COST (auto)</t>
  </si>
  <si>
    <t xml:space="preserve">Straight-line day proration over the period — a ROM approximation, not a payroll calendar.</t>
  </si>
  <si>
    <t xml:space="preserve">Straight-Time Rate $/hr</t>
  </si>
  <si>
    <t xml:space="preserve">Days in Period</t>
  </si>
  <si>
    <t xml:space="preserve">Estimated Hours in Period</t>
  </si>
  <si>
    <t xml:space="preserve">Direct Labor $</t>
  </si>
  <si>
    <t xml:space="preserve">Fringe $</t>
  </si>
  <si>
    <t xml:space="preserve">OH $</t>
  </si>
  <si>
    <t xml:space="preserve">Base Fully Burdened Labor $</t>
  </si>
  <si>
    <t xml:space="preserve">LOCATION / ALLOWANCE ADDERS</t>
  </si>
  <si>
    <t xml:space="preserve">Common OCONUS adders — edit the label or amount, or leave a row blank to skip it. Annual amounts prorate over the period above; one-time amounts don't.</t>
  </si>
  <si>
    <t xml:space="preserve">Adder</t>
  </si>
  <si>
    <t xml:space="preserve">Type</t>
  </si>
  <si>
    <t xml:space="preserve">Cost for Period $ (auto)</t>
  </si>
  <si>
    <t xml:space="preserve">COLA (Cost of Living Allowance)</t>
  </si>
  <si>
    <t xml:space="preserve">Annual $ (prorate)</t>
  </si>
  <si>
    <t xml:space="preserve">LQA (Living Quarters Allowance)</t>
  </si>
  <si>
    <t xml:space="preserve">Relocation</t>
  </si>
  <si>
    <t xml:space="preserve">One-Time $</t>
  </si>
  <si>
    <t xml:space="preserve">Other</t>
  </si>
  <si>
    <t xml:space="preserve">Total Adders</t>
  </si>
  <si>
    <t xml:space="preserve">ROM ESTIMATE</t>
  </si>
  <si>
    <t xml:space="preserve">Same buildup as Dashboard: Labor + Adders -&gt; Subtotal -&gt; + G&amp;A -&gt; Total Cost -&gt; + Fee -&gt; fully burdened total.</t>
  </si>
  <si>
    <t xml:space="preserve">Subtotal (Labor + Adders) $</t>
  </si>
  <si>
    <t xml:space="preserve">Total Cost $</t>
  </si>
  <si>
    <t xml:space="preserve">TOTAL ROM ESTIMATE (fully burdened)</t>
  </si>
  <si>
    <t xml:space="preserve">Copy the line above straight into an email — everything in it flows from your Rates tab, so it stays consistent with how you bill.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</si>
</sst>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mm/dd/yyyy"/>
    <numFmt numFmtId="167" formatCode="\$#,##0"/>
    <numFmt numFmtId="168" formatCode="0%"/>
    <numFmt numFmtId="169" formatCode="mmm\-yy"/>
    <numFmt numFmtId="170" formatCode="\$#,##0;&quot;($&quot;#,##0\);\-"/>
    <numFmt numFmtId="171" formatCode="\$#,##0.00"/>
    <numFmt numFmtId="172" formatCode="0.0"/>
    <numFmt numFmtId="173" formatCode="m/d/yyyy"/>
    <numFmt numFmtId="174" formatCode="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1696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5"/>
      <color rgb="FF0F172A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8504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color rgb="FF085041"/>
      <name val="Arial"/>
      <family val="0"/>
      <charset val="1"/>
    </font>
    <font>
      <b val="true"/>
      <sz val="16"/>
      <color rgb="FF08504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08504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7A5AF8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4"/>
      <color rgb="FF085041"/>
      <name val="Arial"/>
      <family val="0"/>
      <charset val="1"/>
    </font>
    <font>
      <b val="true"/>
      <sz val="18"/>
      <color rgb="FF085041"/>
      <name val="Arial"/>
      <family val="0"/>
      <charset val="1"/>
    </font>
    <font>
      <b val="true"/>
      <i val="true"/>
      <sz val="11"/>
      <color rgb="FF0F172A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0F6E56"/>
        <bgColor rgb="FF01696F"/>
      </patternFill>
    </fill>
    <fill>
      <patternFill patternType="solid">
        <fgColor rgb="FF085041"/>
        <bgColor rgb="FF0F6E56"/>
      </patternFill>
    </fill>
    <fill>
      <patternFill patternType="solid">
        <fgColor rgb="FFF2F2F2"/>
        <bgColor rgb="FFF1EFE8"/>
      </patternFill>
    </fill>
    <fill>
      <patternFill patternType="solid">
        <fgColor rgb="FFF1EFE8"/>
        <bgColor rgb="FFF2F2F2"/>
      </patternFill>
    </fill>
    <fill>
      <patternFill patternType="solid">
        <fgColor rgb="FFE6F1FB"/>
        <bgColor rgb="FFEEEDFE"/>
      </patternFill>
    </fill>
    <fill>
      <patternFill patternType="solid">
        <fgColor rgb="FFFAEEDA"/>
        <bgColor rgb="FFF1EFE8"/>
      </patternFill>
    </fill>
    <fill>
      <patternFill patternType="solid">
        <fgColor rgb="FFEEEDFE"/>
        <bgColor rgb="FFE6F1FB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9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08504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854F0B"/>
          <bgColor rgb="FF000000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854F0B"/>
      </font>
    </dxf>
    <dxf>
      <font>
        <color rgb="FF085041"/>
      </font>
    </dxf>
    <dxf>
      <fill>
        <patternFill>
          <bgColor rgb="FFFAEE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EEEDFE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E6F1FB"/>
      <rgbColor rgb="FFF1EFE8"/>
      <rgbColor rgb="FFF2F2F2"/>
      <rgbColor rgb="FF99CCFF"/>
      <rgbColor rgb="FFFF99CC"/>
      <rgbColor rgb="FFCC99FF"/>
      <rgbColor rgb="FFFFCC99"/>
      <rgbColor rgb="FF7A5AF8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380160</xdr:colOff>
      <xdr:row>1</xdr:row>
      <xdr:rowOff>104040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380160" cy="380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246960</xdr:colOff>
      <xdr:row>0</xdr:row>
      <xdr:rowOff>246960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246960" cy="246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246960</xdr:colOff>
      <xdr:row>0</xdr:row>
      <xdr:rowOff>246960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246960" cy="246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266400</xdr:colOff>
      <xdr:row>0</xdr:row>
      <xdr:rowOff>266400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0"/>
          <a:ext cx="266400" cy="266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246960</xdr:colOff>
      <xdr:row>0</xdr:row>
      <xdr:rowOff>246960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0" y="0"/>
          <a:ext cx="246960" cy="246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246960</xdr:colOff>
      <xdr:row>0</xdr:row>
      <xdr:rowOff>246960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0" y="0"/>
          <a:ext cx="246960" cy="246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266400</xdr:colOff>
      <xdr:row>0</xdr:row>
      <xdr:rowOff>266400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0" y="0"/>
          <a:ext cx="266400" cy="266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266400</xdr:colOff>
      <xdr:row>0</xdr:row>
      <xdr:rowOff>266400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0" y="0"/>
          <a:ext cx="266400" cy="266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266400</xdr:colOff>
      <xdr:row>0</xdr:row>
      <xdr:rowOff>266400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0" y="0"/>
          <a:ext cx="266400" cy="266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266400</xdr:colOff>
      <xdr:row>0</xdr:row>
      <xdr:rowOff>266400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0" y="0"/>
          <a:ext cx="266400" cy="266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266400</xdr:colOff>
      <xdr:row>0</xdr:row>
      <xdr:rowOff>266400</xdr:rowOff>
    </xdr:to>
    <xdr:pic>
      <xdr:nvPicPr>
        <xdr:cNvPr id="11" name="Image 1" descr="Picture"/>
        <xdr:cNvPicPr/>
      </xdr:nvPicPr>
      <xdr:blipFill>
        <a:blip r:embed="rId1"/>
        <a:stretch/>
      </xdr:blipFill>
      <xdr:spPr>
        <a:xfrm>
          <a:off x="0" y="0"/>
          <a:ext cx="266400" cy="266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246960</xdr:colOff>
      <xdr:row>0</xdr:row>
      <xdr:rowOff>246960</xdr:rowOff>
    </xdr:to>
    <xdr:pic>
      <xdr:nvPicPr>
        <xdr:cNvPr id="12" name="Image 1" descr="Picture"/>
        <xdr:cNvPicPr/>
      </xdr:nvPicPr>
      <xdr:blipFill>
        <a:blip r:embed="rId1"/>
        <a:stretch/>
      </xdr:blipFill>
      <xdr:spPr>
        <a:xfrm>
          <a:off x="0" y="0"/>
          <a:ext cx="246960" cy="246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A1:B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0"/>
  </cols>
  <sheetData>
    <row r="1" customFormat="false" ht="21.75" hidden="false" customHeight="true" outlineLevel="0" collapsed="false">
      <c r="B1" s="2" t="s">
        <v>0</v>
      </c>
    </row>
    <row r="2" customFormat="false" ht="15.75" hidden="false" customHeight="true" outlineLevel="0" collapsed="false">
      <c r="B2" s="3" t="s">
        <v>1</v>
      </c>
    </row>
    <row r="4" customFormat="false" ht="18" hidden="false" customHeight="true" outlineLevel="0" collapsed="false">
      <c r="A4" s="4" t="s">
        <v>2</v>
      </c>
    </row>
    <row r="5" customFormat="false" ht="15" hidden="false" customHeight="true" outlineLevel="0" collapsed="false">
      <c r="A5" s="5"/>
    </row>
    <row r="6" customFormat="false" ht="15" hidden="false" customHeight="true" outlineLevel="0" collapsed="false">
      <c r="A6" s="6" t="s">
        <v>3</v>
      </c>
    </row>
    <row r="7" customFormat="false" ht="15" hidden="false" customHeight="true" outlineLevel="0" collapsed="false">
      <c r="A7" s="5" t="s">
        <v>4</v>
      </c>
    </row>
    <row r="8" customFormat="false" ht="15" hidden="false" customHeight="true" outlineLevel="0" collapsed="false">
      <c r="A8" s="5" t="s">
        <v>5</v>
      </c>
    </row>
    <row r="9" customFormat="false" ht="15" hidden="false" customHeight="true" outlineLevel="0" collapsed="false">
      <c r="A9" s="5" t="s">
        <v>6</v>
      </c>
    </row>
    <row r="10" customFormat="false" ht="15" hidden="false" customHeight="true" outlineLevel="0" collapsed="false">
      <c r="A10" s="5" t="s">
        <v>7</v>
      </c>
    </row>
    <row r="11" customFormat="false" ht="15" hidden="false" customHeight="true" outlineLevel="0" collapsed="false">
      <c r="A11" s="5"/>
    </row>
    <row r="12" customFormat="false" ht="15" hidden="false" customHeight="true" outlineLevel="0" collapsed="false">
      <c r="A12" s="6" t="s">
        <v>8</v>
      </c>
    </row>
    <row r="13" customFormat="false" ht="15" hidden="false" customHeight="true" outlineLevel="0" collapsed="false">
      <c r="A13" s="5" t="s">
        <v>9</v>
      </c>
    </row>
    <row r="14" customFormat="false" ht="15" hidden="false" customHeight="true" outlineLevel="0" collapsed="false">
      <c r="A14" s="5" t="s">
        <v>10</v>
      </c>
    </row>
    <row r="15" customFormat="false" ht="15" hidden="false" customHeight="true" outlineLevel="0" collapsed="false">
      <c r="A15" s="5" t="s">
        <v>11</v>
      </c>
    </row>
    <row r="16" customFormat="false" ht="15" hidden="false" customHeight="true" outlineLevel="0" collapsed="false">
      <c r="A16" s="5" t="s">
        <v>12</v>
      </c>
    </row>
    <row r="17" customFormat="false" ht="15" hidden="false" customHeight="true" outlineLevel="0" collapsed="false">
      <c r="A17" s="5" t="s">
        <v>13</v>
      </c>
    </row>
    <row r="18" customFormat="false" ht="15" hidden="false" customHeight="true" outlineLevel="0" collapsed="false">
      <c r="A18" s="5" t="s">
        <v>14</v>
      </c>
    </row>
    <row r="19" customFormat="false" ht="15" hidden="false" customHeight="true" outlineLevel="0" collapsed="false">
      <c r="A19" s="5" t="s">
        <v>15</v>
      </c>
    </row>
    <row r="20" customFormat="false" ht="15" hidden="false" customHeight="true" outlineLevel="0" collapsed="false">
      <c r="A20" s="5" t="s">
        <v>16</v>
      </c>
    </row>
    <row r="21" customFormat="false" ht="15" hidden="false" customHeight="true" outlineLevel="0" collapsed="false">
      <c r="A21" s="5" t="s">
        <v>17</v>
      </c>
    </row>
    <row r="22" customFormat="false" ht="15" hidden="false" customHeight="true" outlineLevel="0" collapsed="false">
      <c r="A22" s="5" t="s">
        <v>18</v>
      </c>
    </row>
    <row r="23" customFormat="false" ht="15" hidden="false" customHeight="true" outlineLevel="0" collapsed="false">
      <c r="A23" s="5" t="s">
        <v>19</v>
      </c>
    </row>
    <row r="24" customFormat="false" ht="15" hidden="false" customHeight="true" outlineLevel="0" collapsed="false">
      <c r="A24" s="5" t="s">
        <v>20</v>
      </c>
    </row>
    <row r="25" customFormat="false" ht="15" hidden="false" customHeight="true" outlineLevel="0" collapsed="false">
      <c r="A25" s="5"/>
    </row>
    <row r="26" customFormat="false" ht="15" hidden="false" customHeight="true" outlineLevel="0" collapsed="false">
      <c r="A26" s="6" t="s">
        <v>21</v>
      </c>
    </row>
    <row r="27" customFormat="false" ht="15" hidden="false" customHeight="true" outlineLevel="0" collapsed="false">
      <c r="A27" s="5" t="s">
        <v>22</v>
      </c>
    </row>
    <row r="28" customFormat="false" ht="15" hidden="false" customHeight="true" outlineLevel="0" collapsed="false">
      <c r="A28" s="5" t="s">
        <v>23</v>
      </c>
    </row>
    <row r="29" customFormat="false" ht="15" hidden="false" customHeight="true" outlineLevel="0" collapsed="false">
      <c r="A29" s="5" t="s">
        <v>24</v>
      </c>
    </row>
    <row r="30" customFormat="false" ht="15" hidden="false" customHeight="true" outlineLevel="0" collapsed="false">
      <c r="A30" s="5" t="s">
        <v>25</v>
      </c>
    </row>
    <row r="31" customFormat="false" ht="15" hidden="false" customHeight="true" outlineLevel="0" collapsed="false">
      <c r="A31" s="5" t="s">
        <v>26</v>
      </c>
    </row>
    <row r="32" customFormat="false" ht="15" hidden="false" customHeight="true" outlineLevel="0" collapsed="false">
      <c r="A32" s="5" t="s">
        <v>27</v>
      </c>
    </row>
    <row r="33" customFormat="false" ht="15" hidden="false" customHeight="true" outlineLevel="0" collapsed="false">
      <c r="A33" s="5" t="s">
        <v>28</v>
      </c>
    </row>
    <row r="34" customFormat="false" ht="15" hidden="false" customHeight="true" outlineLevel="0" collapsed="false">
      <c r="A34" s="5" t="s">
        <v>29</v>
      </c>
    </row>
    <row r="35" customFormat="false" ht="15" hidden="false" customHeight="true" outlineLevel="0" collapsed="false">
      <c r="A35" s="5" t="s">
        <v>30</v>
      </c>
    </row>
    <row r="36" customFormat="false" ht="15" hidden="false" customHeight="true" outlineLevel="0" collapsed="false">
      <c r="A36" s="5" t="s">
        <v>31</v>
      </c>
    </row>
    <row r="37" customFormat="false" ht="15" hidden="false" customHeight="true" outlineLevel="0" collapsed="false">
      <c r="A37" s="5" t="s">
        <v>32</v>
      </c>
    </row>
    <row r="38" customFormat="false" ht="15" hidden="false" customHeight="true" outlineLevel="0" collapsed="false">
      <c r="A38" s="5" t="s">
        <v>33</v>
      </c>
    </row>
    <row r="39" customFormat="false" ht="15" hidden="false" customHeight="true" outlineLevel="0" collapsed="false">
      <c r="A39" s="5" t="s">
        <v>34</v>
      </c>
    </row>
    <row r="40" customFormat="false" ht="15" hidden="false" customHeight="true" outlineLevel="0" collapsed="false">
      <c r="A40" s="5" t="s">
        <v>35</v>
      </c>
    </row>
    <row r="41" customFormat="false" ht="15" hidden="false" customHeight="true" outlineLevel="0" collapsed="false">
      <c r="A41" s="5" t="s">
        <v>36</v>
      </c>
    </row>
    <row r="42" customFormat="false" ht="15" hidden="false" customHeight="true" outlineLevel="0" collapsed="false">
      <c r="A42" s="5"/>
    </row>
    <row r="43" customFormat="false" ht="15" hidden="false" customHeight="true" outlineLevel="0" collapsed="false">
      <c r="A43" s="6" t="s">
        <v>37</v>
      </c>
    </row>
    <row r="44" customFormat="false" ht="15" hidden="false" customHeight="true" outlineLevel="0" collapsed="false">
      <c r="A44" s="5" t="s">
        <v>38</v>
      </c>
    </row>
    <row r="45" customFormat="false" ht="15" hidden="false" customHeight="true" outlineLevel="0" collapsed="false">
      <c r="A45" s="5" t="s">
        <v>39</v>
      </c>
    </row>
    <row r="46" customFormat="false" ht="15" hidden="false" customHeight="true" outlineLevel="0" collapsed="false">
      <c r="A46" s="5" t="s">
        <v>40</v>
      </c>
    </row>
    <row r="47" customFormat="false" ht="15" hidden="false" customHeight="true" outlineLevel="0" collapsed="false">
      <c r="A47" s="5" t="s">
        <v>41</v>
      </c>
    </row>
    <row r="48" customFormat="false" ht="15" hidden="false" customHeight="true" outlineLevel="0" collapsed="false">
      <c r="A48" s="6"/>
    </row>
    <row r="49" customFormat="false" ht="15" hidden="false" customHeight="true" outlineLevel="0" collapsed="false">
      <c r="A49" s="5" t="s">
        <v>42</v>
      </c>
    </row>
    <row r="50" customFormat="false" ht="15" hidden="false" customHeight="true" outlineLevel="0" collapsed="false">
      <c r="A50" s="5" t="s">
        <v>43</v>
      </c>
    </row>
    <row r="51" customFormat="false" ht="15" hidden="false" customHeight="true" outlineLevel="0" collapsed="false">
      <c r="A51" s="5" t="s">
        <v>44</v>
      </c>
    </row>
    <row r="52" customFormat="false" ht="15" hidden="false" customHeight="true" outlineLevel="0" collapsed="false">
      <c r="A52" s="5" t="s">
        <v>45</v>
      </c>
    </row>
    <row r="53" customFormat="false" ht="15" hidden="false" customHeight="true" outlineLevel="0" collapsed="false">
      <c r="A53" s="5" t="s">
        <v>46</v>
      </c>
    </row>
    <row r="54" customFormat="false" ht="15" hidden="false" customHeight="true" outlineLevel="0" collapsed="false">
      <c r="A54" s="5" t="s">
        <v>47</v>
      </c>
    </row>
    <row r="55" customFormat="false" ht="15" hidden="false" customHeight="true" outlineLevel="0" collapsed="false">
      <c r="A55" s="5"/>
    </row>
    <row r="56" customFormat="false" ht="15" hidden="false" customHeight="true" outlineLevel="0" collapsed="false">
      <c r="A56" s="6"/>
    </row>
    <row r="57" customFormat="false" ht="15" hidden="false" customHeight="true" outlineLevel="0" collapsed="false">
      <c r="A57" s="5"/>
    </row>
    <row r="58" customFormat="false" ht="15" hidden="false" customHeight="true" outlineLevel="0" collapsed="false">
      <c r="A58" s="5"/>
    </row>
    <row r="59" customFormat="false" ht="15" hidden="false" customHeight="true" outlineLevel="0" collapsed="false">
      <c r="A59" s="5" t="s">
        <v>48</v>
      </c>
    </row>
    <row r="60" customFormat="false" ht="15" hidden="false" customHeight="true" outlineLevel="0" collapsed="false">
      <c r="A60" s="5" t="s">
        <v>49</v>
      </c>
    </row>
    <row r="61" customFormat="false" ht="15" hidden="false" customHeight="true" outlineLevel="0" collapsed="false">
      <c r="A61" s="5" t="s">
        <v>50</v>
      </c>
    </row>
    <row r="62" customFormat="false" ht="15" hidden="false" customHeight="true" outlineLevel="0" collapsed="false">
      <c r="A62" s="5"/>
    </row>
    <row r="63" customFormat="false" ht="15" hidden="false" customHeight="true" outlineLevel="0" collapsed="false">
      <c r="A63" s="6" t="s">
        <v>51</v>
      </c>
    </row>
    <row r="64" customFormat="false" ht="15" hidden="false" customHeight="true" outlineLevel="0" collapsed="false">
      <c r="A64" s="5" t="s">
        <v>52</v>
      </c>
    </row>
    <row r="65" customFormat="false" ht="15" hidden="false" customHeight="true" outlineLevel="0" collapsed="false">
      <c r="A65" s="5" t="s">
        <v>53</v>
      </c>
    </row>
    <row r="66" customFormat="false" ht="15" hidden="false" customHeight="true" outlineLevel="0" collapsed="false">
      <c r="A66" s="5" t="s">
        <v>54</v>
      </c>
    </row>
    <row r="67" customFormat="false" ht="15" hidden="false" customHeight="true" outlineLevel="0" collapsed="false">
      <c r="A67" s="5" t="s">
        <v>55</v>
      </c>
    </row>
    <row r="68" customFormat="false" ht="15" hidden="false" customHeight="true" outlineLevel="0" collapsed="false">
      <c r="A68" s="5"/>
    </row>
    <row r="69" customFormat="false" ht="15" hidden="false" customHeight="true" outlineLevel="0" collapsed="false">
      <c r="A69" s="6" t="s">
        <v>56</v>
      </c>
    </row>
    <row r="70" customFormat="false" ht="15" hidden="false" customHeight="true" outlineLevel="0" collapsed="false">
      <c r="A70" s="5" t="s">
        <v>57</v>
      </c>
    </row>
    <row r="71" customFormat="false" ht="15" hidden="false" customHeight="true" outlineLevel="0" collapsed="false">
      <c r="A71" s="5" t="s">
        <v>58</v>
      </c>
    </row>
    <row r="72" customFormat="false" ht="15" hidden="false" customHeight="true" outlineLevel="0" collapsed="false">
      <c r="A72" s="5" t="s">
        <v>59</v>
      </c>
    </row>
    <row r="73" customFormat="false" ht="15" hidden="false" customHeight="true" outlineLevel="0" collapsed="false">
      <c r="A73" s="5" t="s">
        <v>60</v>
      </c>
    </row>
    <row r="74" customFormat="false" ht="15" hidden="false" customHeight="true" outlineLevel="0" collapsed="false">
      <c r="A74" s="5"/>
    </row>
    <row r="75" customFormat="false" ht="15" hidden="false" customHeight="true" outlineLevel="0" collapsed="false">
      <c r="A75" s="5"/>
    </row>
    <row r="76" customFormat="false" ht="15" hidden="false" customHeight="true" outlineLevel="0" collapsed="false">
      <c r="A76" s="5"/>
    </row>
    <row r="77" customFormat="false" ht="15" hidden="false" customHeight="true" outlineLevel="0" collapsed="false">
      <c r="A77" s="6" t="s">
        <v>61</v>
      </c>
    </row>
    <row r="78" customFormat="false" ht="15" hidden="false" customHeight="true" outlineLevel="0" collapsed="false">
      <c r="A78" s="5" t="s">
        <v>62</v>
      </c>
    </row>
    <row r="79" customFormat="false" ht="15" hidden="false" customHeight="true" outlineLevel="0" collapsed="false">
      <c r="A79" s="5" t="s">
        <v>63</v>
      </c>
    </row>
    <row r="80" customFormat="false" ht="15" hidden="false" customHeight="true" outlineLevel="0" collapsed="false">
      <c r="A80" s="5" t="s">
        <v>64</v>
      </c>
    </row>
    <row r="81" customFormat="false" ht="15" hidden="false" customHeight="true" outlineLevel="0" collapsed="false">
      <c r="A81" s="5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10"/>
  </cols>
  <sheetData>
    <row r="1" customFormat="false" ht="21.75" hidden="false" customHeight="true" outlineLevel="0" collapsed="false">
      <c r="B1" s="4" t="s">
        <v>66</v>
      </c>
      <c r="F1" s="7" t="s">
        <v>67</v>
      </c>
    </row>
    <row r="3" customFormat="false" ht="15" hidden="false" customHeight="true" outlineLevel="0" collapsed="false">
      <c r="A3" s="8" t="s">
        <v>68</v>
      </c>
      <c r="B3" s="8"/>
      <c r="C3" s="8"/>
      <c r="D3" s="8"/>
      <c r="E3" s="8"/>
      <c r="F3" s="8"/>
    </row>
    <row r="4" customFormat="false" ht="15" hidden="false" customHeight="true" outlineLevel="0" collapsed="false">
      <c r="A4" s="9" t="s">
        <v>69</v>
      </c>
      <c r="B4" s="9"/>
      <c r="C4" s="9"/>
      <c r="D4" s="9"/>
      <c r="E4" s="9"/>
      <c r="F4" s="9"/>
    </row>
    <row r="6" customFormat="false" ht="33.75" hidden="false" customHeight="true" outlineLevel="0" collapsed="false">
      <c r="A6" s="10" t="s">
        <v>70</v>
      </c>
      <c r="B6" s="11" t="n">
        <v>0.35</v>
      </c>
      <c r="C6" s="12" t="s">
        <v>71</v>
      </c>
      <c r="D6" s="12"/>
      <c r="E6" s="12"/>
      <c r="F6" s="12"/>
    </row>
    <row r="7" customFormat="false" ht="33.75" hidden="false" customHeight="true" outlineLevel="0" collapsed="false">
      <c r="A7" s="10" t="s">
        <v>72</v>
      </c>
      <c r="B7" s="11" t="n">
        <v>0.55</v>
      </c>
      <c r="C7" s="12" t="s">
        <v>73</v>
      </c>
      <c r="D7" s="12"/>
      <c r="E7" s="12"/>
      <c r="F7" s="12"/>
    </row>
    <row r="8" customFormat="false" ht="33.75" hidden="false" customHeight="true" outlineLevel="0" collapsed="false">
      <c r="A8" s="10" t="s">
        <v>74</v>
      </c>
      <c r="B8" s="11" t="n">
        <v>0.12</v>
      </c>
      <c r="C8" s="12" t="s">
        <v>75</v>
      </c>
      <c r="D8" s="12"/>
      <c r="E8" s="12"/>
      <c r="F8" s="12"/>
    </row>
    <row r="10" customFormat="false" ht="15" hidden="false" customHeight="true" outlineLevel="0" collapsed="false">
      <c r="A10" s="8" t="s">
        <v>76</v>
      </c>
      <c r="B10" s="8"/>
      <c r="C10" s="8"/>
      <c r="D10" s="8"/>
      <c r="E10" s="8"/>
      <c r="F10" s="8"/>
    </row>
    <row r="11" customFormat="false" ht="15" hidden="false" customHeight="true" outlineLevel="0" collapsed="false">
      <c r="A11" s="9" t="s">
        <v>77</v>
      </c>
      <c r="B11" s="9"/>
      <c r="C11" s="9"/>
      <c r="D11" s="9"/>
      <c r="E11" s="9"/>
      <c r="F11" s="9"/>
    </row>
    <row r="13" customFormat="false" ht="33.75" hidden="false" customHeight="true" outlineLevel="0" collapsed="false">
      <c r="A13" s="10" t="s">
        <v>78</v>
      </c>
      <c r="B13" s="13" t="s">
        <v>79</v>
      </c>
      <c r="C13" s="12" t="s">
        <v>80</v>
      </c>
      <c r="D13" s="12"/>
      <c r="E13" s="12"/>
      <c r="F13" s="12"/>
    </row>
    <row r="14" customFormat="false" ht="33.75" hidden="false" customHeight="true" outlineLevel="0" collapsed="false">
      <c r="A14" s="10" t="s">
        <v>81</v>
      </c>
      <c r="B14" s="11" t="n">
        <v>0.07</v>
      </c>
      <c r="C14" s="12" t="s">
        <v>82</v>
      </c>
      <c r="D14" s="12"/>
      <c r="E14" s="12"/>
      <c r="F14" s="12"/>
    </row>
    <row r="15" customFormat="false" ht="33.75" hidden="false" customHeight="true" outlineLevel="0" collapsed="false">
      <c r="A15" s="10" t="s">
        <v>83</v>
      </c>
      <c r="B15" s="11" t="n">
        <v>0.1</v>
      </c>
      <c r="C15" s="12" t="s">
        <v>84</v>
      </c>
      <c r="D15" s="12"/>
      <c r="E15" s="12"/>
      <c r="F15" s="12"/>
    </row>
    <row r="17" customFormat="false" ht="31.5" hidden="false" customHeight="true" outlineLevel="0" collapsed="false">
      <c r="A17" s="14" t="s">
        <v>85</v>
      </c>
      <c r="B17" s="14"/>
      <c r="C17" s="15" t="n">
        <f aca="false">IF(B13="Fixed",B14,IF(B13="Award",B15,NA()))</f>
        <v>0.07</v>
      </c>
      <c r="D17" s="15"/>
      <c r="E17" s="16" t="s">
        <v>86</v>
      </c>
      <c r="F17" s="16"/>
    </row>
    <row r="19" customFormat="false" ht="39.75" hidden="false" customHeight="true" outlineLevel="0" collapsed="false">
      <c r="A19" s="17" t="s">
        <v>87</v>
      </c>
      <c r="B19" s="17"/>
      <c r="C19" s="17"/>
      <c r="D19" s="17"/>
      <c r="E19" s="17"/>
      <c r="F19" s="17"/>
    </row>
  </sheetData>
  <mergeCells count="14">
    <mergeCell ref="A3:F3"/>
    <mergeCell ref="A4:F4"/>
    <mergeCell ref="C6:F6"/>
    <mergeCell ref="C7:F7"/>
    <mergeCell ref="C8:F8"/>
    <mergeCell ref="A10:F10"/>
    <mergeCell ref="A11:F11"/>
    <mergeCell ref="C13:F13"/>
    <mergeCell ref="C14:F14"/>
    <mergeCell ref="C15:F15"/>
    <mergeCell ref="A17:B17"/>
    <mergeCell ref="C17:D17"/>
    <mergeCell ref="E17:F17"/>
    <mergeCell ref="A19:F19"/>
  </mergeCells>
  <dataValidations count="1">
    <dataValidation allowBlank="false" errorStyle="stop" operator="between" showDropDown="false" showErrorMessage="false" showInputMessage="false" sqref="B13" type="list">
      <formula1>"Fixed,Award"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9" min="5" style="1" width="13"/>
    <col collapsed="false" customWidth="true" hidden="false" outlineLevel="0" max="14" min="10" style="1" width="14"/>
  </cols>
  <sheetData>
    <row r="1" customFormat="false" ht="21.75" hidden="false" customHeight="true" outlineLevel="0" collapsed="false">
      <c r="B1" s="4" t="s">
        <v>88</v>
      </c>
      <c r="N1" s="7" t="s">
        <v>67</v>
      </c>
    </row>
    <row r="3" customFormat="false" ht="42" hidden="false" customHeight="true" outlineLevel="0" collapsed="false">
      <c r="A3" s="18" t="s">
        <v>89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customFormat="false" ht="33.75" hidden="false" customHeight="true" outlineLevel="0" collapsed="false">
      <c r="A4" s="19" t="s">
        <v>90</v>
      </c>
      <c r="B4" s="19" t="s">
        <v>91</v>
      </c>
      <c r="C4" s="19" t="s">
        <v>92</v>
      </c>
      <c r="D4" s="20" t="s">
        <v>93</v>
      </c>
      <c r="E4" s="19" t="s">
        <v>94</v>
      </c>
      <c r="F4" s="19" t="s">
        <v>95</v>
      </c>
      <c r="G4" s="19" t="s">
        <v>96</v>
      </c>
      <c r="H4" s="19" t="s">
        <v>97</v>
      </c>
      <c r="I4" s="20" t="s">
        <v>98</v>
      </c>
      <c r="J4" s="21" t="s">
        <v>99</v>
      </c>
      <c r="K4" s="21" t="s">
        <v>100</v>
      </c>
      <c r="L4" s="21" t="s">
        <v>101</v>
      </c>
      <c r="M4" s="21" t="s">
        <v>102</v>
      </c>
      <c r="N4" s="21" t="s">
        <v>103</v>
      </c>
    </row>
    <row r="5" customFormat="false" ht="15" hidden="false" customHeight="true" outlineLevel="0" collapsed="false">
      <c r="A5" s="22" t="s">
        <v>104</v>
      </c>
      <c r="B5" s="23" t="n">
        <v>46023</v>
      </c>
      <c r="C5" s="22" t="s">
        <v>105</v>
      </c>
      <c r="D5" s="24"/>
      <c r="E5" s="25" t="n">
        <v>1300000</v>
      </c>
      <c r="F5" s="25" t="n">
        <v>300000</v>
      </c>
      <c r="G5" s="25" t="n">
        <v>250000</v>
      </c>
      <c r="H5" s="25" t="n">
        <v>150000</v>
      </c>
      <c r="I5" s="26" t="n">
        <f aca="false">IF(A5="","",SUM(E5:H5))</f>
        <v>2000000</v>
      </c>
      <c r="J5" s="27" t="n">
        <f aca="false">IF(A5="","",SUM($E$5:E5))</f>
        <v>1300000</v>
      </c>
      <c r="K5" s="27" t="n">
        <f aca="false">IF(A5="","",SUM($F$5:F5))</f>
        <v>300000</v>
      </c>
      <c r="L5" s="27" t="n">
        <f aca="false">IF(A5="","",SUM($G$5:G5))</f>
        <v>250000</v>
      </c>
      <c r="M5" s="27" t="n">
        <f aca="false">IF(A5="","",SUM($H$5:H5))</f>
        <v>150000</v>
      </c>
      <c r="N5" s="28" t="n">
        <f aca="false">IF(A5="","",J5+K5+L5+M5)</f>
        <v>2000000</v>
      </c>
    </row>
    <row r="6" customFormat="false" ht="15" hidden="false" customHeight="true" outlineLevel="0" collapsed="false">
      <c r="A6" s="29" t="s">
        <v>106</v>
      </c>
      <c r="B6" s="30" t="n">
        <v>46143</v>
      </c>
      <c r="C6" s="29" t="s">
        <v>107</v>
      </c>
      <c r="D6" s="31"/>
      <c r="E6" s="32" t="n">
        <v>250000</v>
      </c>
      <c r="F6" s="32" t="n">
        <v>50000</v>
      </c>
      <c r="G6" s="32" t="n">
        <v>30000</v>
      </c>
      <c r="H6" s="32" t="n">
        <v>20000</v>
      </c>
      <c r="I6" s="33" t="n">
        <f aca="false">IF(A6="","",SUM(E6:H6))</f>
        <v>350000</v>
      </c>
      <c r="J6" s="34" t="n">
        <f aca="false">IF(A6="","",SUM($E$5:E6))</f>
        <v>1550000</v>
      </c>
      <c r="K6" s="34" t="n">
        <f aca="false">IF(A6="","",SUM($F$5:F6))</f>
        <v>350000</v>
      </c>
      <c r="L6" s="34" t="n">
        <f aca="false">IF(A6="","",SUM($G$5:G6))</f>
        <v>280000</v>
      </c>
      <c r="M6" s="34" t="n">
        <f aca="false">IF(A6="","",SUM($H$5:H6))</f>
        <v>170000</v>
      </c>
      <c r="N6" s="35" t="n">
        <f aca="false">IF(A6="","",J6+K6+L6+M6)</f>
        <v>2350000</v>
      </c>
    </row>
    <row r="7" customFormat="false" ht="15" hidden="false" customHeight="true" outlineLevel="0" collapsed="false">
      <c r="A7" s="22"/>
      <c r="B7" s="23"/>
      <c r="C7" s="22"/>
      <c r="D7" s="24"/>
      <c r="E7" s="25"/>
      <c r="F7" s="25"/>
      <c r="G7" s="25"/>
      <c r="H7" s="25"/>
      <c r="I7" s="26" t="str">
        <f aca="false">IF(A7="","",SUM(E7:H7))</f>
        <v/>
      </c>
      <c r="J7" s="27" t="str">
        <f aca="false">IF(A7="","",SUM($E$5:E7))</f>
        <v/>
      </c>
      <c r="K7" s="27" t="str">
        <f aca="false">IF(A7="","",SUM($F$5:F7))</f>
        <v/>
      </c>
      <c r="L7" s="27" t="str">
        <f aca="false">IF(A7="","",SUM($G$5:G7))</f>
        <v/>
      </c>
      <c r="M7" s="27" t="str">
        <f aca="false">IF(A7="","",SUM($H$5:H7))</f>
        <v/>
      </c>
      <c r="N7" s="28" t="str">
        <f aca="false">IF(A7="","",J7+K7+L7+M7)</f>
        <v/>
      </c>
    </row>
    <row r="8" customFormat="false" ht="15" hidden="false" customHeight="true" outlineLevel="0" collapsed="false">
      <c r="A8" s="29"/>
      <c r="B8" s="30"/>
      <c r="C8" s="29"/>
      <c r="D8" s="31"/>
      <c r="E8" s="32"/>
      <c r="F8" s="32"/>
      <c r="G8" s="32"/>
      <c r="H8" s="32"/>
      <c r="I8" s="33" t="str">
        <f aca="false">IF(A8="","",SUM(E8:H8))</f>
        <v/>
      </c>
      <c r="J8" s="34" t="str">
        <f aca="false">IF(A8="","",SUM($E$5:E8))</f>
        <v/>
      </c>
      <c r="K8" s="34" t="str">
        <f aca="false">IF(A8="","",SUM($F$5:F8))</f>
        <v/>
      </c>
      <c r="L8" s="34" t="str">
        <f aca="false">IF(A8="","",SUM($G$5:G8))</f>
        <v/>
      </c>
      <c r="M8" s="34" t="str">
        <f aca="false">IF(A8="","",SUM($H$5:H8))</f>
        <v/>
      </c>
      <c r="N8" s="35" t="str">
        <f aca="false">IF(A8="","",J8+K8+L8+M8)</f>
        <v/>
      </c>
    </row>
    <row r="9" customFormat="false" ht="15" hidden="false" customHeight="true" outlineLevel="0" collapsed="false">
      <c r="A9" s="22"/>
      <c r="B9" s="23"/>
      <c r="C9" s="22"/>
      <c r="D9" s="24"/>
      <c r="E9" s="25"/>
      <c r="F9" s="25"/>
      <c r="G9" s="25"/>
      <c r="H9" s="25"/>
      <c r="I9" s="26" t="str">
        <f aca="false">IF(A9="","",SUM(E9:H9))</f>
        <v/>
      </c>
      <c r="J9" s="27" t="str">
        <f aca="false">IF(A9="","",SUM($E$5:E9))</f>
        <v/>
      </c>
      <c r="K9" s="27" t="str">
        <f aca="false">IF(A9="","",SUM($F$5:F9))</f>
        <v/>
      </c>
      <c r="L9" s="27" t="str">
        <f aca="false">IF(A9="","",SUM($G$5:G9))</f>
        <v/>
      </c>
      <c r="M9" s="27" t="str">
        <f aca="false">IF(A9="","",SUM($H$5:H9))</f>
        <v/>
      </c>
      <c r="N9" s="28" t="str">
        <f aca="false">IF(A9="","",J9+K9+L9+M9)</f>
        <v/>
      </c>
    </row>
    <row r="10" customFormat="false" ht="15" hidden="false" customHeight="true" outlineLevel="0" collapsed="false">
      <c r="A10" s="29"/>
      <c r="B10" s="30"/>
      <c r="C10" s="29"/>
      <c r="D10" s="31"/>
      <c r="E10" s="32"/>
      <c r="F10" s="32"/>
      <c r="G10" s="32"/>
      <c r="H10" s="32"/>
      <c r="I10" s="33" t="str">
        <f aca="false">IF(A10="","",SUM(E10:H10))</f>
        <v/>
      </c>
      <c r="J10" s="34" t="str">
        <f aca="false">IF(A10="","",SUM($E$5:E10))</f>
        <v/>
      </c>
      <c r="K10" s="34" t="str">
        <f aca="false">IF(A10="","",SUM($F$5:F10))</f>
        <v/>
      </c>
      <c r="L10" s="34" t="str">
        <f aca="false">IF(A10="","",SUM($G$5:G10))</f>
        <v/>
      </c>
      <c r="M10" s="34" t="str">
        <f aca="false">IF(A10="","",SUM($H$5:H10))</f>
        <v/>
      </c>
      <c r="N10" s="35" t="str">
        <f aca="false">IF(A10="","",J10+K10+L10+M10)</f>
        <v/>
      </c>
    </row>
    <row r="11" customFormat="false" ht="15" hidden="false" customHeight="true" outlineLevel="0" collapsed="false">
      <c r="A11" s="22"/>
      <c r="B11" s="23"/>
      <c r="C11" s="22"/>
      <c r="D11" s="24"/>
      <c r="E11" s="25"/>
      <c r="F11" s="25"/>
      <c r="G11" s="25"/>
      <c r="H11" s="25"/>
      <c r="I11" s="26" t="str">
        <f aca="false">IF(A11="","",SUM(E11:H11))</f>
        <v/>
      </c>
      <c r="J11" s="27" t="str">
        <f aca="false">IF(A11="","",SUM($E$5:E11))</f>
        <v/>
      </c>
      <c r="K11" s="27" t="str">
        <f aca="false">IF(A11="","",SUM($F$5:F11))</f>
        <v/>
      </c>
      <c r="L11" s="27" t="str">
        <f aca="false">IF(A11="","",SUM($G$5:G11))</f>
        <v/>
      </c>
      <c r="M11" s="27" t="str">
        <f aca="false">IF(A11="","",SUM($H$5:H11))</f>
        <v/>
      </c>
      <c r="N11" s="28" t="str">
        <f aca="false">IF(A11="","",J11+K11+L11+M11)</f>
        <v/>
      </c>
    </row>
    <row r="12" customFormat="false" ht="15" hidden="false" customHeight="true" outlineLevel="0" collapsed="false">
      <c r="A12" s="29"/>
      <c r="B12" s="30"/>
      <c r="C12" s="29"/>
      <c r="D12" s="31"/>
      <c r="E12" s="32"/>
      <c r="F12" s="32"/>
      <c r="G12" s="32"/>
      <c r="H12" s="32"/>
      <c r="I12" s="33" t="str">
        <f aca="false">IF(A12="","",SUM(E12:H12))</f>
        <v/>
      </c>
      <c r="J12" s="34" t="str">
        <f aca="false">IF(A12="","",SUM($E$5:E12))</f>
        <v/>
      </c>
      <c r="K12" s="34" t="str">
        <f aca="false">IF(A12="","",SUM($F$5:F12))</f>
        <v/>
      </c>
      <c r="L12" s="34" t="str">
        <f aca="false">IF(A12="","",SUM($G$5:G12))</f>
        <v/>
      </c>
      <c r="M12" s="34" t="str">
        <f aca="false">IF(A12="","",SUM($H$5:H12))</f>
        <v/>
      </c>
      <c r="N12" s="35" t="str">
        <f aca="false">IF(A12="","",J12+K12+L12+M12)</f>
        <v/>
      </c>
    </row>
    <row r="13" customFormat="false" ht="15" hidden="false" customHeight="true" outlineLevel="0" collapsed="false">
      <c r="A13" s="22"/>
      <c r="B13" s="23"/>
      <c r="C13" s="22"/>
      <c r="D13" s="24"/>
      <c r="E13" s="25"/>
      <c r="F13" s="25"/>
      <c r="G13" s="25"/>
      <c r="H13" s="25"/>
      <c r="I13" s="26" t="str">
        <f aca="false">IF(A13="","",SUM(E13:H13))</f>
        <v/>
      </c>
      <c r="J13" s="27" t="str">
        <f aca="false">IF(A13="","",SUM($E$5:E13))</f>
        <v/>
      </c>
      <c r="K13" s="27" t="str">
        <f aca="false">IF(A13="","",SUM($F$5:F13))</f>
        <v/>
      </c>
      <c r="L13" s="27" t="str">
        <f aca="false">IF(A13="","",SUM($G$5:G13))</f>
        <v/>
      </c>
      <c r="M13" s="27" t="str">
        <f aca="false">IF(A13="","",SUM($H$5:H13))</f>
        <v/>
      </c>
      <c r="N13" s="28" t="str">
        <f aca="false">IF(A13="","",J13+K13+L13+M13)</f>
        <v/>
      </c>
    </row>
    <row r="14" customFormat="false" ht="15" hidden="false" customHeight="true" outlineLevel="0" collapsed="false">
      <c r="A14" s="29"/>
      <c r="B14" s="30"/>
      <c r="C14" s="29"/>
      <c r="D14" s="31"/>
      <c r="E14" s="32"/>
      <c r="F14" s="32"/>
      <c r="G14" s="32"/>
      <c r="H14" s="32"/>
      <c r="I14" s="33" t="str">
        <f aca="false">IF(A14="","",SUM(E14:H14))</f>
        <v/>
      </c>
      <c r="J14" s="34" t="str">
        <f aca="false">IF(A14="","",SUM($E$5:E14))</f>
        <v/>
      </c>
      <c r="K14" s="34" t="str">
        <f aca="false">IF(A14="","",SUM($F$5:F14))</f>
        <v/>
      </c>
      <c r="L14" s="34" t="str">
        <f aca="false">IF(A14="","",SUM($G$5:G14))</f>
        <v/>
      </c>
      <c r="M14" s="34" t="str">
        <f aca="false">IF(A14="","",SUM($H$5:H14))</f>
        <v/>
      </c>
      <c r="N14" s="35" t="str">
        <f aca="false">IF(A14="","",J14+K14+L14+M14)</f>
        <v/>
      </c>
    </row>
    <row r="17" customFormat="false" ht="15" hidden="false" customHeight="true" outlineLevel="0" collapsed="false">
      <c r="A17" s="36" t="s">
        <v>108</v>
      </c>
    </row>
    <row r="18" customFormat="false" ht="27.75" hidden="false" customHeight="true" outlineLevel="0" collapsed="false">
      <c r="A18" s="19" t="s">
        <v>109</v>
      </c>
      <c r="B18" s="19" t="s">
        <v>110</v>
      </c>
      <c r="C18" s="19" t="s">
        <v>111</v>
      </c>
      <c r="D18" s="19" t="s">
        <v>112</v>
      </c>
      <c r="E18" s="19" t="s">
        <v>113</v>
      </c>
    </row>
    <row r="19" customFormat="false" ht="15" hidden="false" customHeight="true" outlineLevel="0" collapsed="false">
      <c r="A19" s="10" t="s">
        <v>114</v>
      </c>
      <c r="B19" s="27" t="n">
        <f aca="false">SUM(Projects!$C$6:$C$13)</f>
        <v>1550000</v>
      </c>
      <c r="C19" s="37" t="n">
        <f aca="false">SUM(Dashboard!$D$21:$D$32)</f>
        <v>63981.1552283654</v>
      </c>
      <c r="D19" s="27" t="n">
        <f aca="false">B19-C19</f>
        <v>1486018.84477163</v>
      </c>
      <c r="E19" s="38" t="n">
        <f aca="false">IFERROR(C19/B19,0)</f>
        <v>0.0412781646634615</v>
      </c>
    </row>
    <row r="20" customFormat="false" ht="15" hidden="false" customHeight="true" outlineLevel="0" collapsed="false">
      <c r="A20" s="39" t="s">
        <v>115</v>
      </c>
      <c r="B20" s="34" t="n">
        <f aca="false">SUM(Projects!$D$6:$D$13)</f>
        <v>350000</v>
      </c>
      <c r="C20" s="40" t="n">
        <f aca="false">SUM(Dashboard!$G$21:$G$32)</f>
        <v>2240</v>
      </c>
      <c r="D20" s="34" t="n">
        <f aca="false">B20-C20</f>
        <v>347760</v>
      </c>
      <c r="E20" s="41" t="n">
        <f aca="false">IFERROR(C20/B20,0)</f>
        <v>0.0064</v>
      </c>
    </row>
    <row r="21" customFormat="false" ht="15" hidden="false" customHeight="true" outlineLevel="0" collapsed="false">
      <c r="A21" s="10" t="s">
        <v>116</v>
      </c>
      <c r="B21" s="27" t="n">
        <f aca="false">SUM(Projects!$E$6:$E$13)</f>
        <v>280000</v>
      </c>
      <c r="C21" s="37" t="n">
        <f aca="false">SUM(Dashboard!$E$21:$E$32)</f>
        <v>5370</v>
      </c>
      <c r="D21" s="27" t="n">
        <f aca="false">B21-C21</f>
        <v>274630</v>
      </c>
      <c r="E21" s="38" t="n">
        <f aca="false">IFERROR(C21/B21,0)</f>
        <v>0.0191785714285714</v>
      </c>
    </row>
    <row r="22" customFormat="false" ht="15" hidden="false" customHeight="true" outlineLevel="0" collapsed="false">
      <c r="A22" s="39" t="s">
        <v>117</v>
      </c>
      <c r="B22" s="34" t="n">
        <f aca="false">SUM(Projects!$F$6:$F$13)</f>
        <v>170000</v>
      </c>
      <c r="C22" s="40" t="n">
        <f aca="false">SUM(Dashboard!$F$21:$F$32)</f>
        <v>25900</v>
      </c>
      <c r="D22" s="34" t="n">
        <f aca="false">B22-C22</f>
        <v>144100</v>
      </c>
      <c r="E22" s="41" t="n">
        <f aca="false">IFERROR(C22/B22,0)</f>
        <v>0.152352941176471</v>
      </c>
    </row>
    <row r="23" customFormat="false" ht="15" hidden="false" customHeight="true" outlineLevel="0" collapsed="false">
      <c r="A23" s="42" t="s">
        <v>118</v>
      </c>
      <c r="B23" s="43" t="n">
        <f aca="false">SUM(B19:B22)</f>
        <v>2350000</v>
      </c>
      <c r="C23" s="43" t="n">
        <f aca="false">SUM(C19:C22)</f>
        <v>97491.1552283654</v>
      </c>
      <c r="D23" s="43" t="n">
        <f aca="false">SUM(D19:D22)</f>
        <v>2252508.84477164</v>
      </c>
      <c r="E23" s="44" t="n">
        <f aca="false">IFERROR(C23/B23,0)</f>
        <v>0.0414855979695172</v>
      </c>
    </row>
    <row r="26" customFormat="false" ht="15" hidden="false" customHeight="true" outlineLevel="0" collapsed="false">
      <c r="A26" s="3" t="s">
        <v>119</v>
      </c>
    </row>
  </sheetData>
  <mergeCells count="1"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G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7" min="3" style="0" width="15"/>
    <col collapsed="false" customWidth="true" hidden="false" outlineLevel="0" max="8" min="8" style="0" width="3"/>
  </cols>
  <sheetData>
    <row r="1" customFormat="false" ht="21.75" hidden="false" customHeight="true" outlineLevel="0" collapsed="false">
      <c r="B1" s="45" t="s">
        <v>120</v>
      </c>
      <c r="G1" s="46" t="s">
        <v>67</v>
      </c>
    </row>
    <row r="3" s="48" customFormat="true" ht="30" hidden="false" customHeight="true" outlineLevel="0" collapsed="false">
      <c r="A3" s="47" t="s">
        <v>121</v>
      </c>
    </row>
    <row r="4" customFormat="false" ht="30" hidden="false" customHeight="true" outlineLevel="0" collapsed="false">
      <c r="A4" s="49" t="s">
        <v>122</v>
      </c>
      <c r="B4" s="49" t="s">
        <v>123</v>
      </c>
      <c r="C4" s="49" t="s">
        <v>124</v>
      </c>
      <c r="D4" s="49" t="s">
        <v>125</v>
      </c>
      <c r="E4" s="49" t="s">
        <v>126</v>
      </c>
      <c r="F4" s="49" t="s">
        <v>127</v>
      </c>
      <c r="G4" s="49" t="s">
        <v>128</v>
      </c>
    </row>
    <row r="6" customFormat="false" ht="15" hidden="false" customHeight="false" outlineLevel="0" collapsed="false">
      <c r="A6" s="50" t="s">
        <v>129</v>
      </c>
      <c r="B6" s="50" t="s">
        <v>130</v>
      </c>
      <c r="C6" s="51" t="n">
        <v>0</v>
      </c>
      <c r="D6" s="51" t="n">
        <v>0</v>
      </c>
      <c r="E6" s="51" t="n">
        <v>0</v>
      </c>
      <c r="F6" s="51" t="n">
        <v>0</v>
      </c>
      <c r="G6" s="52" t="n">
        <f aca="false">IF(A6="","",SUM(C6:F6))</f>
        <v>0</v>
      </c>
    </row>
    <row r="7" customFormat="false" ht="15" hidden="false" customHeight="false" outlineLevel="0" collapsed="false">
      <c r="A7" s="50" t="s">
        <v>131</v>
      </c>
      <c r="B7" s="50" t="s">
        <v>132</v>
      </c>
      <c r="C7" s="51" t="n">
        <v>950000</v>
      </c>
      <c r="D7" s="51" t="n">
        <v>220000</v>
      </c>
      <c r="E7" s="51" t="n">
        <v>180000</v>
      </c>
      <c r="F7" s="51" t="n">
        <v>110000</v>
      </c>
      <c r="G7" s="52" t="n">
        <f aca="false">IF(A7="","",SUM(C7:F7))</f>
        <v>1460000</v>
      </c>
    </row>
    <row r="8" customFormat="false" ht="15" hidden="false" customHeight="false" outlineLevel="0" collapsed="false">
      <c r="A8" s="50" t="s">
        <v>133</v>
      </c>
      <c r="B8" s="50" t="s">
        <v>134</v>
      </c>
      <c r="C8" s="51" t="n">
        <v>600000</v>
      </c>
      <c r="D8" s="51" t="n">
        <v>130000</v>
      </c>
      <c r="E8" s="51" t="n">
        <v>100000</v>
      </c>
      <c r="F8" s="51" t="n">
        <v>60000</v>
      </c>
      <c r="G8" s="52" t="n">
        <f aca="false">IF(A8="","",SUM(C8:F8))</f>
        <v>890000</v>
      </c>
    </row>
    <row r="9" customFormat="false" ht="15" hidden="false" customHeight="false" outlineLevel="0" collapsed="false">
      <c r="A9" s="50"/>
      <c r="B9" s="50"/>
      <c r="C9" s="51"/>
      <c r="D9" s="51"/>
      <c r="E9" s="51"/>
      <c r="F9" s="51"/>
      <c r="G9" s="52" t="str">
        <f aca="false">IF(A9="","",SUM(C9:F9))</f>
        <v/>
      </c>
    </row>
    <row r="10" customFormat="false" ht="15" hidden="false" customHeight="false" outlineLevel="0" collapsed="false">
      <c r="A10" s="50"/>
      <c r="B10" s="50"/>
      <c r="C10" s="51"/>
      <c r="D10" s="51"/>
      <c r="E10" s="51"/>
      <c r="F10" s="51"/>
      <c r="G10" s="52" t="str">
        <f aca="false">IF(A10="","",SUM(C10:F10))</f>
        <v/>
      </c>
    </row>
    <row r="11" customFormat="false" ht="15" hidden="false" customHeight="false" outlineLevel="0" collapsed="false">
      <c r="A11" s="50"/>
      <c r="B11" s="50"/>
      <c r="C11" s="51"/>
      <c r="D11" s="51"/>
      <c r="E11" s="51"/>
      <c r="F11" s="51"/>
      <c r="G11" s="52" t="str">
        <f aca="false">IF(A11="","",SUM(C11:F11))</f>
        <v/>
      </c>
    </row>
    <row r="12" customFormat="false" ht="15" hidden="false" customHeight="false" outlineLevel="0" collapsed="false">
      <c r="A12" s="50"/>
      <c r="B12" s="50"/>
      <c r="C12" s="51"/>
      <c r="D12" s="51"/>
      <c r="E12" s="51"/>
      <c r="F12" s="51"/>
      <c r="G12" s="52" t="str">
        <f aca="false">IF(A12="","",SUM(C12:F12))</f>
        <v/>
      </c>
    </row>
    <row r="13" customFormat="false" ht="15" hidden="false" customHeight="false" outlineLevel="0" collapsed="false">
      <c r="A13" s="50"/>
      <c r="B13" s="50"/>
      <c r="C13" s="51"/>
      <c r="D13" s="51"/>
      <c r="E13" s="51"/>
      <c r="F13" s="51"/>
      <c r="G13" s="52" t="str">
        <f aca="false">IF(A13="","",SUM(C13:F13))</f>
        <v/>
      </c>
    </row>
    <row r="15" customFormat="false" ht="15" hidden="false" customHeight="false" outlineLevel="0" collapsed="false">
      <c r="A15" s="53"/>
      <c r="B15" s="54" t="s">
        <v>135</v>
      </c>
      <c r="C15" s="55" t="n">
        <f aca="false">SUM(C6:C13)</f>
        <v>1550000</v>
      </c>
      <c r="D15" s="55" t="n">
        <f aca="false">SUM(D6:D13)</f>
        <v>350000</v>
      </c>
      <c r="E15" s="55" t="n">
        <f aca="false">SUM(E6:E13)</f>
        <v>280000</v>
      </c>
      <c r="F15" s="55" t="n">
        <f aca="false">SUM(F6:F13)</f>
        <v>170000</v>
      </c>
      <c r="G15" s="55" t="n">
        <f aca="false">SUM(G6:G13)</f>
        <v>2350000</v>
      </c>
    </row>
    <row r="17" customFormat="false" ht="15" hidden="false" customHeight="false" outlineLevel="0" collapsed="false">
      <c r="A17" s="56" t="s">
        <v>136</v>
      </c>
    </row>
    <row r="18" customFormat="false" ht="27.75" hidden="false" customHeight="true" outlineLevel="0" collapsed="false">
      <c r="A18" s="57" t="s">
        <v>137</v>
      </c>
      <c r="B18" s="57"/>
      <c r="C18" s="57"/>
      <c r="D18" s="57"/>
      <c r="E18" s="57"/>
      <c r="F18" s="57"/>
      <c r="G18" s="57"/>
    </row>
    <row r="20" customFormat="false" ht="15" hidden="false" customHeight="false" outlineLevel="0" collapsed="false">
      <c r="A20" s="58" t="str">
        <f aca="false">IF($A$6="","",$A$6&amp;" — "&amp;$B$6)</f>
        <v>PMO — Program Mgmt Office (internal/overhead)</v>
      </c>
      <c r="B20" s="58"/>
      <c r="C20" s="58"/>
      <c r="D20" s="58"/>
      <c r="E20" s="58"/>
      <c r="F20" s="58"/>
      <c r="G20" s="58"/>
    </row>
    <row r="21" customFormat="false" ht="15" hidden="false" customHeight="false" outlineLevel="0" collapsed="false">
      <c r="A21" s="59" t="s">
        <v>109</v>
      </c>
      <c r="B21" s="59" t="s">
        <v>138</v>
      </c>
      <c r="C21" s="59" t="s">
        <v>139</v>
      </c>
      <c r="D21" s="59" t="s">
        <v>140</v>
      </c>
      <c r="E21" s="59" t="s">
        <v>113</v>
      </c>
    </row>
    <row r="22" customFormat="false" ht="15" hidden="false" customHeight="false" outlineLevel="0" collapsed="false">
      <c r="A22" s="60" t="s">
        <v>114</v>
      </c>
      <c r="B22" s="52" t="n">
        <f aca="false">IF($A$6="","",C6)</f>
        <v>0</v>
      </c>
      <c r="C22" s="52" t="n">
        <f aca="false">IF($A$6="","",SUMPRODUCT((Labor!$G$6:$G$25=$A$6)*(Labor!$E$6:$E$25="Prime")*N(Labor!$BG$6:$BG$25))*(1+Rates!$B$6)*(1+Rates!$B$7)+SUMPRODUCT((Labor!$G$6:$G$25=$A$6)*(Labor!$E$6:$E$25="Sub")*N(Labor!$BG$6:$BG$25)))</f>
        <v>9054.08653846154</v>
      </c>
      <c r="D22" s="52" t="n">
        <f aca="false">IF($A$6="","",B22-C22)</f>
        <v>-9054.08653846154</v>
      </c>
      <c r="E22" s="61" t="n">
        <f aca="false">IF($A$6="","",IFERROR(C22/B22,0))</f>
        <v>0</v>
      </c>
    </row>
    <row r="23" customFormat="false" ht="15" hidden="false" customHeight="false" outlineLevel="0" collapsed="false">
      <c r="A23" s="60" t="s">
        <v>115</v>
      </c>
      <c r="B23" s="52" t="n">
        <f aca="false">IF($A$6="","",D6)</f>
        <v>0</v>
      </c>
      <c r="C23" s="52" t="n">
        <f aca="false">IF($A$6="","",SUMIFS(Travel!$F$5:$F$22,Travel!$D$5:$D$22,$A$6))</f>
        <v>1090</v>
      </c>
      <c r="D23" s="52" t="n">
        <f aca="false">IF($A$6="","",B23-C23)</f>
        <v>-1090</v>
      </c>
      <c r="E23" s="61" t="n">
        <f aca="false">IF($A$6="","",IFERROR(C23/B23,0))</f>
        <v>0</v>
      </c>
    </row>
    <row r="24" customFormat="false" ht="15" hidden="false" customHeight="false" outlineLevel="0" collapsed="false">
      <c r="A24" s="60" t="s">
        <v>116</v>
      </c>
      <c r="B24" s="52" t="n">
        <f aca="false">IF($A$6="","",E6)</f>
        <v>0</v>
      </c>
      <c r="C24" s="52" t="n">
        <f aca="false">IF($A$6="","",SUMIFS(ODCs!$F$5:$F$22,ODCs!$D$5:$D$22,$A$6))</f>
        <v>4200</v>
      </c>
      <c r="D24" s="52" t="n">
        <f aca="false">IF($A$6="","",B24-C24)</f>
        <v>-4200</v>
      </c>
      <c r="E24" s="61" t="n">
        <f aca="false">IF($A$6="","",IFERROR(C24/B24,0))</f>
        <v>0</v>
      </c>
    </row>
    <row r="25" customFormat="false" ht="15" hidden="false" customHeight="false" outlineLevel="0" collapsed="false">
      <c r="A25" s="60" t="s">
        <v>117</v>
      </c>
      <c r="B25" s="52" t="n">
        <f aca="false">IF($A$6="","",F6)</f>
        <v>0</v>
      </c>
      <c r="C25" s="52" t="n">
        <f aca="false">IF($A$6="","",SUMIFS('M&amp;E'!$F$5:$F$22,'M&amp;E'!$D$5:$D$22,$A$6))</f>
        <v>0</v>
      </c>
      <c r="D25" s="52" t="n">
        <f aca="false">IF($A$6="","",B25-C25)</f>
        <v>0</v>
      </c>
      <c r="E25" s="61" t="n">
        <f aca="false">IF($A$6="","",IFERROR(C25/B25,0))</f>
        <v>0</v>
      </c>
    </row>
    <row r="26" customFormat="false" ht="15" hidden="false" customHeight="false" outlineLevel="0" collapsed="false">
      <c r="A26" s="62" t="s">
        <v>118</v>
      </c>
      <c r="B26" s="55" t="n">
        <f aca="false">IF($A$6="","",SUM(B22:B25))</f>
        <v>0</v>
      </c>
      <c r="C26" s="55" t="n">
        <f aca="false">IF($A$6="","",SUM(C22:C25))</f>
        <v>14344.0865384615</v>
      </c>
      <c r="D26" s="55" t="n">
        <f aca="false">IF($A$6="","",SUM(D22:D25))</f>
        <v>-14344.0865384615</v>
      </c>
      <c r="E26" s="63" t="n">
        <f aca="false">IF($A$6="","",IFERROR(C26/B26,0))</f>
        <v>0</v>
      </c>
    </row>
    <row r="28" customFormat="false" ht="15" hidden="false" customHeight="false" outlineLevel="0" collapsed="false">
      <c r="A28" s="58" t="str">
        <f aca="false">IF($A$7="","",$A$7&amp;" — "&amp;$B$7)</f>
        <v>P1 — Project X — Fleet Readiness Module</v>
      </c>
      <c r="B28" s="58"/>
      <c r="C28" s="58"/>
      <c r="D28" s="58"/>
      <c r="E28" s="58"/>
      <c r="F28" s="58"/>
      <c r="G28" s="58"/>
    </row>
    <row r="29" customFormat="false" ht="15" hidden="false" customHeight="false" outlineLevel="0" collapsed="false">
      <c r="A29" s="59" t="s">
        <v>109</v>
      </c>
      <c r="B29" s="59" t="s">
        <v>138</v>
      </c>
      <c r="C29" s="59" t="s">
        <v>139</v>
      </c>
      <c r="D29" s="59" t="s">
        <v>140</v>
      </c>
      <c r="E29" s="59" t="s">
        <v>113</v>
      </c>
    </row>
    <row r="30" customFormat="false" ht="15" hidden="false" customHeight="false" outlineLevel="0" collapsed="false">
      <c r="A30" s="60" t="s">
        <v>114</v>
      </c>
      <c r="B30" s="52" t="n">
        <f aca="false">IF($A$7="","",C7)</f>
        <v>950000</v>
      </c>
      <c r="C30" s="52" t="n">
        <f aca="false">IF($A$7="","",SUMPRODUCT((Labor!$G$6:$G$25=$A$7)*(Labor!$E$6:$E$25="Prime")*N(Labor!$BG$6:$BG$25))*(1+Rates!$B$6)*(1+Rates!$B$7)+SUMPRODUCT((Labor!$G$6:$G$25=$A$7)*(Labor!$E$6:$E$25="Sub")*N(Labor!$BG$6:$BG$25)))</f>
        <v>26155.7469951923</v>
      </c>
      <c r="D30" s="52" t="n">
        <f aca="false">IF($A$7="","",B30-C30)</f>
        <v>923844.253004808</v>
      </c>
      <c r="E30" s="61" t="n">
        <f aca="false">IF($A$7="","",IFERROR(C30/B30,0))</f>
        <v>0.0275323652580972</v>
      </c>
    </row>
    <row r="31" customFormat="false" ht="15" hidden="false" customHeight="false" outlineLevel="0" collapsed="false">
      <c r="A31" s="60" t="s">
        <v>115</v>
      </c>
      <c r="B31" s="52" t="n">
        <f aca="false">IF($A$7="","",D7)</f>
        <v>220000</v>
      </c>
      <c r="C31" s="52" t="n">
        <f aca="false">IF($A$7="","",SUMIFS(Travel!$F$5:$F$22,Travel!$D$5:$D$22,$A$7))</f>
        <v>0</v>
      </c>
      <c r="D31" s="52" t="n">
        <f aca="false">IF($A$7="","",B31-C31)</f>
        <v>220000</v>
      </c>
      <c r="E31" s="61" t="n">
        <f aca="false">IF($A$7="","",IFERROR(C31/B31,0))</f>
        <v>0</v>
      </c>
    </row>
    <row r="32" customFormat="false" ht="15" hidden="false" customHeight="false" outlineLevel="0" collapsed="false">
      <c r="A32" s="60" t="s">
        <v>116</v>
      </c>
      <c r="B32" s="52" t="n">
        <f aca="false">IF($A$7="","",E7)</f>
        <v>180000</v>
      </c>
      <c r="C32" s="52" t="n">
        <f aca="false">IF($A$7="","",SUMIFS(ODCs!$F$5:$F$22,ODCs!$D$5:$D$22,$A$7))</f>
        <v>1170</v>
      </c>
      <c r="D32" s="52" t="n">
        <f aca="false">IF($A$7="","",B32-C32)</f>
        <v>178830</v>
      </c>
      <c r="E32" s="61" t="n">
        <f aca="false">IF($A$7="","",IFERROR(C32/B32,0))</f>
        <v>0.0065</v>
      </c>
    </row>
    <row r="33" customFormat="false" ht="15" hidden="false" customHeight="false" outlineLevel="0" collapsed="false">
      <c r="A33" s="60" t="s">
        <v>117</v>
      </c>
      <c r="B33" s="52" t="n">
        <f aca="false">IF($A$7="","",F7)</f>
        <v>110000</v>
      </c>
      <c r="C33" s="52" t="n">
        <f aca="false">IF($A$7="","",SUMIFS('M&amp;E'!$F$5:$F$22,'M&amp;E'!$D$5:$D$22,$A$7))</f>
        <v>17300</v>
      </c>
      <c r="D33" s="52" t="n">
        <f aca="false">IF($A$7="","",B33-C33)</f>
        <v>92700</v>
      </c>
      <c r="E33" s="61" t="n">
        <f aca="false">IF($A$7="","",IFERROR(C33/B33,0))</f>
        <v>0.157272727272727</v>
      </c>
    </row>
    <row r="34" customFormat="false" ht="15" hidden="false" customHeight="false" outlineLevel="0" collapsed="false">
      <c r="A34" s="62" t="s">
        <v>118</v>
      </c>
      <c r="B34" s="55" t="n">
        <f aca="false">IF($A$7="","",SUM(B30:B33))</f>
        <v>1460000</v>
      </c>
      <c r="C34" s="55" t="n">
        <f aca="false">IF($A$7="","",SUM(C30:C33))</f>
        <v>44625.7469951923</v>
      </c>
      <c r="D34" s="55" t="n">
        <f aca="false">IF($A$7="","",SUM(D30:D33))</f>
        <v>1415374.25300481</v>
      </c>
      <c r="E34" s="63" t="n">
        <f aca="false">IF($A$7="","",IFERROR(C34/B34,0))</f>
        <v>0.0305655801336934</v>
      </c>
    </row>
    <row r="36" customFormat="false" ht="15" hidden="false" customHeight="false" outlineLevel="0" collapsed="false">
      <c r="A36" s="58" t="str">
        <f aca="false">IF($A$8="","",$A$8&amp;" — "&amp;$B$8)</f>
        <v>P2 — Project Y — Depot Optimization</v>
      </c>
      <c r="B36" s="58"/>
      <c r="C36" s="58"/>
      <c r="D36" s="58"/>
      <c r="E36" s="58"/>
      <c r="F36" s="58"/>
      <c r="G36" s="58"/>
    </row>
    <row r="37" customFormat="false" ht="15" hidden="false" customHeight="false" outlineLevel="0" collapsed="false">
      <c r="A37" s="59" t="s">
        <v>109</v>
      </c>
      <c r="B37" s="59" t="s">
        <v>138</v>
      </c>
      <c r="C37" s="59" t="s">
        <v>139</v>
      </c>
      <c r="D37" s="59" t="s">
        <v>140</v>
      </c>
      <c r="E37" s="59" t="s">
        <v>113</v>
      </c>
    </row>
    <row r="38" customFormat="false" ht="15" hidden="false" customHeight="false" outlineLevel="0" collapsed="false">
      <c r="A38" s="60" t="s">
        <v>114</v>
      </c>
      <c r="B38" s="52" t="n">
        <f aca="false">IF($A$8="","",C8)</f>
        <v>600000</v>
      </c>
      <c r="C38" s="52" t="n">
        <f aca="false">IF($A$8="","",SUMPRODUCT((Labor!$G$6:$G$25=$A$8)*(Labor!$E$6:$E$25="Prime")*N(Labor!$BG$6:$BG$25))*(1+Rates!$B$6)*(1+Rates!$B$7)+SUMPRODUCT((Labor!$G$6:$G$25=$A$8)*(Labor!$E$6:$E$25="Sub")*N(Labor!$BG$6:$BG$25)))</f>
        <v>28771.3216947115</v>
      </c>
      <c r="D38" s="52" t="n">
        <f aca="false">IF($A$8="","",B38-C38)</f>
        <v>571228.678305288</v>
      </c>
      <c r="E38" s="61" t="n">
        <f aca="false">IF($A$8="","",IFERROR(C38/B38,0))</f>
        <v>0.0479522028245192</v>
      </c>
    </row>
    <row r="39" customFormat="false" ht="15" hidden="false" customHeight="false" outlineLevel="0" collapsed="false">
      <c r="A39" s="60" t="s">
        <v>115</v>
      </c>
      <c r="B39" s="52" t="n">
        <f aca="false">IF($A$8="","",D8)</f>
        <v>130000</v>
      </c>
      <c r="C39" s="52" t="n">
        <f aca="false">IF($A$8="","",SUMIFS(Travel!$F$5:$F$22,Travel!$D$5:$D$22,$A$8))</f>
        <v>1150</v>
      </c>
      <c r="D39" s="52" t="n">
        <f aca="false">IF($A$8="","",B39-C39)</f>
        <v>128850</v>
      </c>
      <c r="E39" s="61" t="n">
        <f aca="false">IF($A$8="","",IFERROR(C39/B39,0))</f>
        <v>0.00884615384615385</v>
      </c>
    </row>
    <row r="40" customFormat="false" ht="15" hidden="false" customHeight="false" outlineLevel="0" collapsed="false">
      <c r="A40" s="60" t="s">
        <v>116</v>
      </c>
      <c r="B40" s="52" t="n">
        <f aca="false">IF($A$8="","",E8)</f>
        <v>100000</v>
      </c>
      <c r="C40" s="52" t="n">
        <f aca="false">IF($A$8="","",SUMIFS(ODCs!$F$5:$F$22,ODCs!$D$5:$D$22,$A$8))</f>
        <v>0</v>
      </c>
      <c r="D40" s="52" t="n">
        <f aca="false">IF($A$8="","",B40-C40)</f>
        <v>100000</v>
      </c>
      <c r="E40" s="61" t="n">
        <f aca="false">IF($A$8="","",IFERROR(C40/B40,0))</f>
        <v>0</v>
      </c>
    </row>
    <row r="41" customFormat="false" ht="15" hidden="false" customHeight="false" outlineLevel="0" collapsed="false">
      <c r="A41" s="60" t="s">
        <v>117</v>
      </c>
      <c r="B41" s="52" t="n">
        <f aca="false">IF($A$8="","",F8)</f>
        <v>60000</v>
      </c>
      <c r="C41" s="52" t="n">
        <f aca="false">IF($A$8="","",SUMIFS('M&amp;E'!$F$5:$F$22,'M&amp;E'!$D$5:$D$22,$A$8))</f>
        <v>8600</v>
      </c>
      <c r="D41" s="52" t="n">
        <f aca="false">IF($A$8="","",B41-C41)</f>
        <v>51400</v>
      </c>
      <c r="E41" s="61" t="n">
        <f aca="false">IF($A$8="","",IFERROR(C41/B41,0))</f>
        <v>0.143333333333333</v>
      </c>
    </row>
    <row r="42" customFormat="false" ht="15" hidden="false" customHeight="false" outlineLevel="0" collapsed="false">
      <c r="A42" s="62" t="s">
        <v>118</v>
      </c>
      <c r="B42" s="55" t="n">
        <f aca="false">IF($A$8="","",SUM(B38:B41))</f>
        <v>890000</v>
      </c>
      <c r="C42" s="55" t="n">
        <f aca="false">IF($A$8="","",SUM(C38:C41))</f>
        <v>38521.3216947115</v>
      </c>
      <c r="D42" s="55" t="n">
        <f aca="false">IF($A$8="","",SUM(D38:D41))</f>
        <v>851478.678305288</v>
      </c>
      <c r="E42" s="63" t="n">
        <f aca="false">IF($A$8="","",IFERROR(C42/B42,0))</f>
        <v>0.0432823839266422</v>
      </c>
    </row>
    <row r="44" customFormat="false" ht="15" hidden="false" customHeight="false" outlineLevel="0" collapsed="false">
      <c r="A44" s="58" t="str">
        <f aca="false">IF($A$9="","",$A$9&amp;" — "&amp;$B$9)</f>
        <v/>
      </c>
      <c r="B44" s="58"/>
      <c r="C44" s="58"/>
      <c r="D44" s="58"/>
      <c r="E44" s="58"/>
      <c r="F44" s="58"/>
      <c r="G44" s="58"/>
    </row>
    <row r="45" customFormat="false" ht="15" hidden="false" customHeight="false" outlineLevel="0" collapsed="false">
      <c r="A45" s="59" t="s">
        <v>109</v>
      </c>
      <c r="B45" s="59" t="s">
        <v>138</v>
      </c>
      <c r="C45" s="59" t="s">
        <v>139</v>
      </c>
      <c r="D45" s="59" t="s">
        <v>140</v>
      </c>
      <c r="E45" s="59" t="s">
        <v>113</v>
      </c>
    </row>
    <row r="46" customFormat="false" ht="15" hidden="false" customHeight="false" outlineLevel="0" collapsed="false">
      <c r="A46" s="60" t="s">
        <v>114</v>
      </c>
      <c r="B46" s="52" t="str">
        <f aca="false">IF($A$9="","",C9)</f>
        <v/>
      </c>
      <c r="C46" s="52" t="str">
        <f aca="false">IF($A$9="","",SUMPRODUCT((Labor!$G$6:$G$25=$A$9)*(Labor!$E$6:$E$25="Prime")*N(Labor!$BG$6:$BG$25))*(1+Rates!$B$6)*(1+Rates!$B$7)+SUMPRODUCT((Labor!$G$6:$G$25=$A$9)*(Labor!$E$6:$E$25="Sub")*N(Labor!$BG$6:$BG$25)))</f>
        <v/>
      </c>
      <c r="D46" s="52" t="str">
        <f aca="false">IF($A$9="","",B46-C46)</f>
        <v/>
      </c>
      <c r="E46" s="61" t="str">
        <f aca="false">IF($A$9="","",IFERROR(C46/B46,0))</f>
        <v/>
      </c>
    </row>
    <row r="47" customFormat="false" ht="15" hidden="false" customHeight="false" outlineLevel="0" collapsed="false">
      <c r="A47" s="60" t="s">
        <v>115</v>
      </c>
      <c r="B47" s="52" t="str">
        <f aca="false">IF($A$9="","",D9)</f>
        <v/>
      </c>
      <c r="C47" s="52" t="str">
        <f aca="false">IF($A$9="","",SUMIFS(Travel!$F$5:$F$22,Travel!$D$5:$D$22,$A$9))</f>
        <v/>
      </c>
      <c r="D47" s="52" t="str">
        <f aca="false">IF($A$9="","",B47-C47)</f>
        <v/>
      </c>
      <c r="E47" s="61" t="str">
        <f aca="false">IF($A$9="","",IFERROR(C47/B47,0))</f>
        <v/>
      </c>
    </row>
    <row r="48" customFormat="false" ht="15" hidden="false" customHeight="false" outlineLevel="0" collapsed="false">
      <c r="A48" s="60" t="s">
        <v>116</v>
      </c>
      <c r="B48" s="52" t="str">
        <f aca="false">IF($A$9="","",E9)</f>
        <v/>
      </c>
      <c r="C48" s="52" t="str">
        <f aca="false">IF($A$9="","",SUMIFS(ODCs!$F$5:$F$22,ODCs!$D$5:$D$22,$A$9))</f>
        <v/>
      </c>
      <c r="D48" s="52" t="str">
        <f aca="false">IF($A$9="","",B48-C48)</f>
        <v/>
      </c>
      <c r="E48" s="61" t="str">
        <f aca="false">IF($A$9="","",IFERROR(C48/B48,0))</f>
        <v/>
      </c>
    </row>
    <row r="49" customFormat="false" ht="15" hidden="false" customHeight="false" outlineLevel="0" collapsed="false">
      <c r="A49" s="60" t="s">
        <v>117</v>
      </c>
      <c r="B49" s="52" t="str">
        <f aca="false">IF($A$9="","",F9)</f>
        <v/>
      </c>
      <c r="C49" s="52" t="str">
        <f aca="false">IF($A$9="","",SUMIFS('M&amp;E'!$F$5:$F$22,'M&amp;E'!$D$5:$D$22,$A$9))</f>
        <v/>
      </c>
      <c r="D49" s="52" t="str">
        <f aca="false">IF($A$9="","",B49-C49)</f>
        <v/>
      </c>
      <c r="E49" s="61" t="str">
        <f aca="false">IF($A$9="","",IFERROR(C49/B49,0))</f>
        <v/>
      </c>
    </row>
    <row r="50" customFormat="false" ht="15" hidden="false" customHeight="false" outlineLevel="0" collapsed="false">
      <c r="A50" s="62" t="s">
        <v>118</v>
      </c>
      <c r="B50" s="55" t="str">
        <f aca="false">IF($A$9="","",SUM(B46:B49))</f>
        <v/>
      </c>
      <c r="C50" s="55" t="str">
        <f aca="false">IF($A$9="","",SUM(C46:C49))</f>
        <v/>
      </c>
      <c r="D50" s="55" t="str">
        <f aca="false">IF($A$9="","",SUM(D46:D49))</f>
        <v/>
      </c>
      <c r="E50" s="63" t="str">
        <f aca="false">IF($A$9="","",IFERROR(C50/B50,0))</f>
        <v/>
      </c>
    </row>
    <row r="52" customFormat="false" ht="15" hidden="false" customHeight="false" outlineLevel="0" collapsed="false">
      <c r="A52" s="58" t="str">
        <f aca="false">IF($A$10="","",$A$10&amp;" — "&amp;$B$10)</f>
        <v/>
      </c>
      <c r="B52" s="58"/>
      <c r="C52" s="58"/>
      <c r="D52" s="58"/>
      <c r="E52" s="58"/>
      <c r="F52" s="58"/>
      <c r="G52" s="58"/>
    </row>
    <row r="53" customFormat="false" ht="15" hidden="false" customHeight="false" outlineLevel="0" collapsed="false">
      <c r="A53" s="59" t="s">
        <v>109</v>
      </c>
      <c r="B53" s="59" t="s">
        <v>138</v>
      </c>
      <c r="C53" s="59" t="s">
        <v>139</v>
      </c>
      <c r="D53" s="59" t="s">
        <v>140</v>
      </c>
      <c r="E53" s="59" t="s">
        <v>113</v>
      </c>
    </row>
    <row r="54" customFormat="false" ht="15" hidden="false" customHeight="false" outlineLevel="0" collapsed="false">
      <c r="A54" s="60" t="s">
        <v>114</v>
      </c>
      <c r="B54" s="52" t="str">
        <f aca="false">IF($A$10="","",C10)</f>
        <v/>
      </c>
      <c r="C54" s="52" t="str">
        <f aca="false">IF($A$10="","",SUMPRODUCT((Labor!$G$6:$G$25=$A$10)*(Labor!$E$6:$E$25="Prime")*N(Labor!$BG$6:$BG$25))*(1+Rates!$B$6)*(1+Rates!$B$7)+SUMPRODUCT((Labor!$G$6:$G$25=$A$10)*(Labor!$E$6:$E$25="Sub")*N(Labor!$BG$6:$BG$25)))</f>
        <v/>
      </c>
      <c r="D54" s="52" t="str">
        <f aca="false">IF($A$10="","",B54-C54)</f>
        <v/>
      </c>
      <c r="E54" s="61" t="str">
        <f aca="false">IF($A$10="","",IFERROR(C54/B54,0))</f>
        <v/>
      </c>
    </row>
    <row r="55" customFormat="false" ht="15" hidden="false" customHeight="false" outlineLevel="0" collapsed="false">
      <c r="A55" s="60" t="s">
        <v>115</v>
      </c>
      <c r="B55" s="52" t="str">
        <f aca="false">IF($A$10="","",D10)</f>
        <v/>
      </c>
      <c r="C55" s="52" t="str">
        <f aca="false">IF($A$10="","",SUMIFS(Travel!$F$5:$F$22,Travel!$D$5:$D$22,$A$10))</f>
        <v/>
      </c>
      <c r="D55" s="52" t="str">
        <f aca="false">IF($A$10="","",B55-C55)</f>
        <v/>
      </c>
      <c r="E55" s="61" t="str">
        <f aca="false">IF($A$10="","",IFERROR(C55/B55,0))</f>
        <v/>
      </c>
    </row>
    <row r="56" customFormat="false" ht="15" hidden="false" customHeight="false" outlineLevel="0" collapsed="false">
      <c r="A56" s="60" t="s">
        <v>116</v>
      </c>
      <c r="B56" s="52" t="str">
        <f aca="false">IF($A$10="","",E10)</f>
        <v/>
      </c>
      <c r="C56" s="52" t="str">
        <f aca="false">IF($A$10="","",SUMIFS(ODCs!$F$5:$F$22,ODCs!$D$5:$D$22,$A$10))</f>
        <v/>
      </c>
      <c r="D56" s="52" t="str">
        <f aca="false">IF($A$10="","",B56-C56)</f>
        <v/>
      </c>
      <c r="E56" s="61" t="str">
        <f aca="false">IF($A$10="","",IFERROR(C56/B56,0))</f>
        <v/>
      </c>
    </row>
    <row r="57" customFormat="false" ht="15" hidden="false" customHeight="false" outlineLevel="0" collapsed="false">
      <c r="A57" s="60" t="s">
        <v>117</v>
      </c>
      <c r="B57" s="52" t="str">
        <f aca="false">IF($A$10="","",F10)</f>
        <v/>
      </c>
      <c r="C57" s="52" t="str">
        <f aca="false">IF($A$10="","",SUMIFS('M&amp;E'!$F$5:$F$22,'M&amp;E'!$D$5:$D$22,$A$10))</f>
        <v/>
      </c>
      <c r="D57" s="52" t="str">
        <f aca="false">IF($A$10="","",B57-C57)</f>
        <v/>
      </c>
      <c r="E57" s="61" t="str">
        <f aca="false">IF($A$10="","",IFERROR(C57/B57,0))</f>
        <v/>
      </c>
    </row>
    <row r="58" customFormat="false" ht="15" hidden="false" customHeight="false" outlineLevel="0" collapsed="false">
      <c r="A58" s="62" t="s">
        <v>118</v>
      </c>
      <c r="B58" s="55" t="str">
        <f aca="false">IF($A$10="","",SUM(B54:B57))</f>
        <v/>
      </c>
      <c r="C58" s="55" t="str">
        <f aca="false">IF($A$10="","",SUM(C54:C57))</f>
        <v/>
      </c>
      <c r="D58" s="55" t="str">
        <f aca="false">IF($A$10="","",SUM(D54:D57))</f>
        <v/>
      </c>
      <c r="E58" s="63" t="str">
        <f aca="false">IF($A$10="","",IFERROR(C58/B58,0))</f>
        <v/>
      </c>
    </row>
    <row r="60" customFormat="false" ht="15" hidden="false" customHeight="false" outlineLevel="0" collapsed="false">
      <c r="A60" s="58" t="str">
        <f aca="false">IF($A$11="","",$A$11&amp;" — "&amp;$B$11)</f>
        <v/>
      </c>
      <c r="B60" s="58"/>
      <c r="C60" s="58"/>
      <c r="D60" s="58"/>
      <c r="E60" s="58"/>
      <c r="F60" s="58"/>
      <c r="G60" s="58"/>
    </row>
    <row r="61" customFormat="false" ht="15" hidden="false" customHeight="false" outlineLevel="0" collapsed="false">
      <c r="A61" s="59" t="s">
        <v>109</v>
      </c>
      <c r="B61" s="59" t="s">
        <v>138</v>
      </c>
      <c r="C61" s="59" t="s">
        <v>139</v>
      </c>
      <c r="D61" s="59" t="s">
        <v>140</v>
      </c>
      <c r="E61" s="59" t="s">
        <v>113</v>
      </c>
    </row>
    <row r="62" customFormat="false" ht="15" hidden="false" customHeight="false" outlineLevel="0" collapsed="false">
      <c r="A62" s="60" t="s">
        <v>114</v>
      </c>
      <c r="B62" s="52" t="str">
        <f aca="false">IF($A$11="","",C11)</f>
        <v/>
      </c>
      <c r="C62" s="52" t="str">
        <f aca="false">IF($A$11="","",SUMPRODUCT((Labor!$G$6:$G$25=$A$11)*(Labor!$E$6:$E$25="Prime")*N(Labor!$BG$6:$BG$25))*(1+Rates!$B$6)*(1+Rates!$B$7)+SUMPRODUCT((Labor!$G$6:$G$25=$A$11)*(Labor!$E$6:$E$25="Sub")*N(Labor!$BG$6:$BG$25)))</f>
        <v/>
      </c>
      <c r="D62" s="52" t="str">
        <f aca="false">IF($A$11="","",B62-C62)</f>
        <v/>
      </c>
      <c r="E62" s="61" t="str">
        <f aca="false">IF($A$11="","",IFERROR(C62/B62,0))</f>
        <v/>
      </c>
    </row>
    <row r="63" customFormat="false" ht="15" hidden="false" customHeight="false" outlineLevel="0" collapsed="false">
      <c r="A63" s="60" t="s">
        <v>115</v>
      </c>
      <c r="B63" s="52" t="str">
        <f aca="false">IF($A$11="","",D11)</f>
        <v/>
      </c>
      <c r="C63" s="52" t="str">
        <f aca="false">IF($A$11="","",SUMIFS(Travel!$F$5:$F$22,Travel!$D$5:$D$22,$A$11))</f>
        <v/>
      </c>
      <c r="D63" s="52" t="str">
        <f aca="false">IF($A$11="","",B63-C63)</f>
        <v/>
      </c>
      <c r="E63" s="61" t="str">
        <f aca="false">IF($A$11="","",IFERROR(C63/B63,0))</f>
        <v/>
      </c>
    </row>
    <row r="64" customFormat="false" ht="15" hidden="false" customHeight="false" outlineLevel="0" collapsed="false">
      <c r="A64" s="60" t="s">
        <v>116</v>
      </c>
      <c r="B64" s="52" t="str">
        <f aca="false">IF($A$11="","",E11)</f>
        <v/>
      </c>
      <c r="C64" s="52" t="str">
        <f aca="false">IF($A$11="","",SUMIFS(ODCs!$F$5:$F$22,ODCs!$D$5:$D$22,$A$11))</f>
        <v/>
      </c>
      <c r="D64" s="52" t="str">
        <f aca="false">IF($A$11="","",B64-C64)</f>
        <v/>
      </c>
      <c r="E64" s="61" t="str">
        <f aca="false">IF($A$11="","",IFERROR(C64/B64,0))</f>
        <v/>
      </c>
    </row>
    <row r="65" customFormat="false" ht="15" hidden="false" customHeight="false" outlineLevel="0" collapsed="false">
      <c r="A65" s="60" t="s">
        <v>117</v>
      </c>
      <c r="B65" s="52" t="str">
        <f aca="false">IF($A$11="","",F11)</f>
        <v/>
      </c>
      <c r="C65" s="52" t="str">
        <f aca="false">IF($A$11="","",SUMIFS('M&amp;E'!$F$5:$F$22,'M&amp;E'!$D$5:$D$22,$A$11))</f>
        <v/>
      </c>
      <c r="D65" s="52" t="str">
        <f aca="false">IF($A$11="","",B65-C65)</f>
        <v/>
      </c>
      <c r="E65" s="61" t="str">
        <f aca="false">IF($A$11="","",IFERROR(C65/B65,0))</f>
        <v/>
      </c>
    </row>
    <row r="66" customFormat="false" ht="15" hidden="false" customHeight="false" outlineLevel="0" collapsed="false">
      <c r="A66" s="62" t="s">
        <v>118</v>
      </c>
      <c r="B66" s="55" t="str">
        <f aca="false">IF($A$11="","",SUM(B62:B65))</f>
        <v/>
      </c>
      <c r="C66" s="55" t="str">
        <f aca="false">IF($A$11="","",SUM(C62:C65))</f>
        <v/>
      </c>
      <c r="D66" s="55" t="str">
        <f aca="false">IF($A$11="","",SUM(D62:D65))</f>
        <v/>
      </c>
      <c r="E66" s="63" t="str">
        <f aca="false">IF($A$11="","",IFERROR(C66/B66,0))</f>
        <v/>
      </c>
    </row>
    <row r="68" customFormat="false" ht="15" hidden="false" customHeight="false" outlineLevel="0" collapsed="false">
      <c r="A68" s="58" t="str">
        <f aca="false">IF($A$12="","",$A$12&amp;" — "&amp;$B$12)</f>
        <v/>
      </c>
      <c r="B68" s="58"/>
      <c r="C68" s="58"/>
      <c r="D68" s="58"/>
      <c r="E68" s="58"/>
      <c r="F68" s="58"/>
      <c r="G68" s="58"/>
    </row>
    <row r="69" customFormat="false" ht="15" hidden="false" customHeight="false" outlineLevel="0" collapsed="false">
      <c r="A69" s="59" t="s">
        <v>109</v>
      </c>
      <c r="B69" s="59" t="s">
        <v>138</v>
      </c>
      <c r="C69" s="59" t="s">
        <v>139</v>
      </c>
      <c r="D69" s="59" t="s">
        <v>140</v>
      </c>
      <c r="E69" s="59" t="s">
        <v>113</v>
      </c>
    </row>
    <row r="70" customFormat="false" ht="15" hidden="false" customHeight="false" outlineLevel="0" collapsed="false">
      <c r="A70" s="60" t="s">
        <v>114</v>
      </c>
      <c r="B70" s="52" t="str">
        <f aca="false">IF($A$12="","",C12)</f>
        <v/>
      </c>
      <c r="C70" s="52" t="str">
        <f aca="false">IF($A$12="","",SUMPRODUCT((Labor!$G$6:$G$25=$A$12)*(Labor!$E$6:$E$25="Prime")*N(Labor!$BG$6:$BG$25))*(1+Rates!$B$6)*(1+Rates!$B$7)+SUMPRODUCT((Labor!$G$6:$G$25=$A$12)*(Labor!$E$6:$E$25="Sub")*N(Labor!$BG$6:$BG$25)))</f>
        <v/>
      </c>
      <c r="D70" s="52" t="str">
        <f aca="false">IF($A$12="","",B70-C70)</f>
        <v/>
      </c>
      <c r="E70" s="61" t="str">
        <f aca="false">IF($A$12="","",IFERROR(C70/B70,0))</f>
        <v/>
      </c>
    </row>
    <row r="71" customFormat="false" ht="15" hidden="false" customHeight="false" outlineLevel="0" collapsed="false">
      <c r="A71" s="60" t="s">
        <v>115</v>
      </c>
      <c r="B71" s="52" t="str">
        <f aca="false">IF($A$12="","",D12)</f>
        <v/>
      </c>
      <c r="C71" s="52" t="str">
        <f aca="false">IF($A$12="","",SUMIFS(Travel!$F$5:$F$22,Travel!$D$5:$D$22,$A$12))</f>
        <v/>
      </c>
      <c r="D71" s="52" t="str">
        <f aca="false">IF($A$12="","",B71-C71)</f>
        <v/>
      </c>
      <c r="E71" s="61" t="str">
        <f aca="false">IF($A$12="","",IFERROR(C71/B71,0))</f>
        <v/>
      </c>
    </row>
    <row r="72" customFormat="false" ht="15" hidden="false" customHeight="false" outlineLevel="0" collapsed="false">
      <c r="A72" s="60" t="s">
        <v>116</v>
      </c>
      <c r="B72" s="52" t="str">
        <f aca="false">IF($A$12="","",E12)</f>
        <v/>
      </c>
      <c r="C72" s="52" t="str">
        <f aca="false">IF($A$12="","",SUMIFS(ODCs!$F$5:$F$22,ODCs!$D$5:$D$22,$A$12))</f>
        <v/>
      </c>
      <c r="D72" s="52" t="str">
        <f aca="false">IF($A$12="","",B72-C72)</f>
        <v/>
      </c>
      <c r="E72" s="61" t="str">
        <f aca="false">IF($A$12="","",IFERROR(C72/B72,0))</f>
        <v/>
      </c>
    </row>
    <row r="73" customFormat="false" ht="15" hidden="false" customHeight="false" outlineLevel="0" collapsed="false">
      <c r="A73" s="60" t="s">
        <v>117</v>
      </c>
      <c r="B73" s="52" t="str">
        <f aca="false">IF($A$12="","",F12)</f>
        <v/>
      </c>
      <c r="C73" s="52" t="str">
        <f aca="false">IF($A$12="","",SUMIFS('M&amp;E'!$F$5:$F$22,'M&amp;E'!$D$5:$D$22,$A$12))</f>
        <v/>
      </c>
      <c r="D73" s="52" t="str">
        <f aca="false">IF($A$12="","",B73-C73)</f>
        <v/>
      </c>
      <c r="E73" s="61" t="str">
        <f aca="false">IF($A$12="","",IFERROR(C73/B73,0))</f>
        <v/>
      </c>
    </row>
    <row r="74" customFormat="false" ht="15" hidden="false" customHeight="false" outlineLevel="0" collapsed="false">
      <c r="A74" s="62" t="s">
        <v>118</v>
      </c>
      <c r="B74" s="55" t="str">
        <f aca="false">IF($A$12="","",SUM(B70:B73))</f>
        <v/>
      </c>
      <c r="C74" s="55" t="str">
        <f aca="false">IF($A$12="","",SUM(C70:C73))</f>
        <v/>
      </c>
      <c r="D74" s="55" t="str">
        <f aca="false">IF($A$12="","",SUM(D70:D73))</f>
        <v/>
      </c>
      <c r="E74" s="63" t="str">
        <f aca="false">IF($A$12="","",IFERROR(C74/B74,0))</f>
        <v/>
      </c>
    </row>
    <row r="76" customFormat="false" ht="15" hidden="false" customHeight="false" outlineLevel="0" collapsed="false">
      <c r="A76" s="58" t="str">
        <f aca="false">IF($A$13="","",$A$13&amp;" — "&amp;$B$13)</f>
        <v/>
      </c>
      <c r="B76" s="58"/>
      <c r="C76" s="58"/>
      <c r="D76" s="58"/>
      <c r="E76" s="58"/>
      <c r="F76" s="58"/>
      <c r="G76" s="58"/>
    </row>
    <row r="77" customFormat="false" ht="15" hidden="false" customHeight="false" outlineLevel="0" collapsed="false">
      <c r="A77" s="59" t="s">
        <v>109</v>
      </c>
      <c r="B77" s="59" t="s">
        <v>138</v>
      </c>
      <c r="C77" s="59" t="s">
        <v>139</v>
      </c>
      <c r="D77" s="59" t="s">
        <v>140</v>
      </c>
      <c r="E77" s="59" t="s">
        <v>113</v>
      </c>
    </row>
    <row r="78" customFormat="false" ht="15" hidden="false" customHeight="false" outlineLevel="0" collapsed="false">
      <c r="A78" s="60" t="s">
        <v>114</v>
      </c>
      <c r="B78" s="52" t="str">
        <f aca="false">IF($A$13="","",C13)</f>
        <v/>
      </c>
      <c r="C78" s="52" t="str">
        <f aca="false">IF($A$13="","",SUMPRODUCT((Labor!$G$6:$G$25=$A$13)*(Labor!$E$6:$E$25="Prime")*N(Labor!$BG$6:$BG$25))*(1+Rates!$B$6)*(1+Rates!$B$7)+SUMPRODUCT((Labor!$G$6:$G$25=$A$13)*(Labor!$E$6:$E$25="Sub")*N(Labor!$BG$6:$BG$25)))</f>
        <v/>
      </c>
      <c r="D78" s="52" t="str">
        <f aca="false">IF($A$13="","",B78-C78)</f>
        <v/>
      </c>
      <c r="E78" s="61" t="str">
        <f aca="false">IF($A$13="","",IFERROR(C78/B78,0))</f>
        <v/>
      </c>
    </row>
    <row r="79" customFormat="false" ht="15" hidden="false" customHeight="false" outlineLevel="0" collapsed="false">
      <c r="A79" s="60" t="s">
        <v>115</v>
      </c>
      <c r="B79" s="52" t="str">
        <f aca="false">IF($A$13="","",D13)</f>
        <v/>
      </c>
      <c r="C79" s="52" t="str">
        <f aca="false">IF($A$13="","",SUMIFS(Travel!$F$5:$F$22,Travel!$D$5:$D$22,$A$13))</f>
        <v/>
      </c>
      <c r="D79" s="52" t="str">
        <f aca="false">IF($A$13="","",B79-C79)</f>
        <v/>
      </c>
      <c r="E79" s="61" t="str">
        <f aca="false">IF($A$13="","",IFERROR(C79/B79,0))</f>
        <v/>
      </c>
    </row>
    <row r="80" customFormat="false" ht="15" hidden="false" customHeight="false" outlineLevel="0" collapsed="false">
      <c r="A80" s="60" t="s">
        <v>116</v>
      </c>
      <c r="B80" s="52" t="str">
        <f aca="false">IF($A$13="","",E13)</f>
        <v/>
      </c>
      <c r="C80" s="52" t="str">
        <f aca="false">IF($A$13="","",SUMIFS(ODCs!$F$5:$F$22,ODCs!$D$5:$D$22,$A$13))</f>
        <v/>
      </c>
      <c r="D80" s="52" t="str">
        <f aca="false">IF($A$13="","",B80-C80)</f>
        <v/>
      </c>
      <c r="E80" s="61" t="str">
        <f aca="false">IF($A$13="","",IFERROR(C80/B80,0))</f>
        <v/>
      </c>
    </row>
    <row r="81" customFormat="false" ht="15" hidden="false" customHeight="false" outlineLevel="0" collapsed="false">
      <c r="A81" s="60" t="s">
        <v>117</v>
      </c>
      <c r="B81" s="52" t="str">
        <f aca="false">IF($A$13="","",F13)</f>
        <v/>
      </c>
      <c r="C81" s="52" t="str">
        <f aca="false">IF($A$13="","",SUMIFS('M&amp;E'!$F$5:$F$22,'M&amp;E'!$D$5:$D$22,$A$13))</f>
        <v/>
      </c>
      <c r="D81" s="52" t="str">
        <f aca="false">IF($A$13="","",B81-C81)</f>
        <v/>
      </c>
      <c r="E81" s="61" t="str">
        <f aca="false">IF($A$13="","",IFERROR(C81/B81,0))</f>
        <v/>
      </c>
    </row>
    <row r="82" customFormat="false" ht="15" hidden="false" customHeight="false" outlineLevel="0" collapsed="false">
      <c r="A82" s="62" t="s">
        <v>118</v>
      </c>
      <c r="B82" s="55" t="str">
        <f aca="false">IF($A$13="","",SUM(B78:B81))</f>
        <v/>
      </c>
      <c r="C82" s="55" t="str">
        <f aca="false">IF($A$13="","",SUM(C78:C81))</f>
        <v/>
      </c>
      <c r="D82" s="55" t="str">
        <f aca="false">IF($A$13="","",SUM(D78:D81))</f>
        <v/>
      </c>
      <c r="E82" s="63" t="str">
        <f aca="false">IF($A$13="","",IFERROR(C82/B82,0))</f>
        <v/>
      </c>
    </row>
    <row r="85" customFormat="false" ht="15" hidden="false" customHeight="false" outlineLevel="0" collapsed="false">
      <c r="A85" s="64" t="s">
        <v>119</v>
      </c>
    </row>
  </sheetData>
  <autoFilter ref="A4:G13"/>
  <mergeCells count="9">
    <mergeCell ref="A18:G18"/>
    <mergeCell ref="A20:G20"/>
    <mergeCell ref="A28:G28"/>
    <mergeCell ref="A36:G36"/>
    <mergeCell ref="A44:G44"/>
    <mergeCell ref="A52:G52"/>
    <mergeCell ref="A60:G60"/>
    <mergeCell ref="A68:G68"/>
    <mergeCell ref="A76:G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696F"/>
    <pageSetUpPr fitToPage="false"/>
  </sheetPr>
  <dimension ref="A1:P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"/>
    <col collapsed="false" customWidth="true" hidden="false" outlineLevel="0" max="3" min="3" style="1" width="15"/>
    <col collapsed="false" customWidth="true" hidden="false" outlineLevel="0" max="7" min="4" style="1" width="13"/>
    <col collapsed="false" customWidth="true" hidden="false" outlineLevel="0" max="8" min="8" style="1" width="15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7"/>
    <col collapsed="false" customWidth="true" hidden="false" outlineLevel="0" max="13" min="13" style="1" width="16"/>
    <col collapsed="false" customWidth="true" hidden="false" outlineLevel="0" max="14" min="14" style="1" width="15"/>
    <col collapsed="false" customWidth="true" hidden="false" outlineLevel="0" max="15" min="15" style="1" width="11"/>
    <col collapsed="false" customWidth="true" hidden="false" outlineLevel="0" max="16" min="16" style="1" width="15"/>
  </cols>
  <sheetData>
    <row r="1" customFormat="false" ht="21.75" hidden="false" customHeight="true" outlineLevel="0" collapsed="false">
      <c r="B1" s="4" t="s">
        <v>141</v>
      </c>
      <c r="O1" s="7" t="s">
        <v>67</v>
      </c>
    </row>
    <row r="3" customFormat="false" ht="15" hidden="false" customHeight="true" outlineLevel="0" collapsed="false">
      <c r="A3" s="65" t="s">
        <v>142</v>
      </c>
      <c r="B3" s="65"/>
      <c r="C3" s="66" t="s">
        <v>143</v>
      </c>
    </row>
    <row r="4" customFormat="false" ht="15" hidden="false" customHeight="true" outlineLevel="0" collapsed="false">
      <c r="A4" s="65" t="s">
        <v>144</v>
      </c>
      <c r="B4" s="65"/>
      <c r="C4" s="66" t="s">
        <v>145</v>
      </c>
    </row>
    <row r="5" customFormat="false" ht="15" hidden="false" customHeight="true" outlineLevel="0" collapsed="false">
      <c r="A5" s="65" t="s">
        <v>146</v>
      </c>
      <c r="B5" s="65"/>
      <c r="C5" s="67" t="n">
        <v>46023</v>
      </c>
    </row>
    <row r="6" customFormat="false" ht="15" hidden="false" customHeight="true" outlineLevel="0" collapsed="false">
      <c r="A6" s="65" t="s">
        <v>147</v>
      </c>
      <c r="B6" s="65"/>
      <c r="C6" s="67" t="n">
        <v>46387</v>
      </c>
    </row>
    <row r="7" customFormat="false" ht="15" hidden="false" customHeight="true" outlineLevel="0" collapsed="false">
      <c r="A7" s="65" t="s">
        <v>148</v>
      </c>
      <c r="B7" s="65"/>
      <c r="C7" s="68" t="n">
        <f aca="false">DATEDIF(C5,C6,"m")+1</f>
        <v>12</v>
      </c>
    </row>
    <row r="8" customFormat="false" ht="15" hidden="false" customHeight="true" outlineLevel="0" collapsed="false">
      <c r="A8" s="65" t="s">
        <v>149</v>
      </c>
      <c r="B8" s="65"/>
      <c r="C8" s="69" t="n">
        <f aca="false">Projects!$G$15</f>
        <v>2350000</v>
      </c>
    </row>
    <row r="9" customFormat="false" ht="15" hidden="false" customHeight="true" outlineLevel="0" collapsed="false">
      <c r="A9" s="65" t="s">
        <v>150</v>
      </c>
      <c r="B9" s="65"/>
      <c r="C9" s="70" t="n">
        <f aca="false">C8/C7</f>
        <v>195833.333333333</v>
      </c>
    </row>
    <row r="11" customFormat="false" ht="15" hidden="false" customHeight="true" outlineLevel="0" collapsed="false">
      <c r="A11" s="36" t="s">
        <v>151</v>
      </c>
    </row>
    <row r="12" customFormat="false" ht="15" hidden="false" customHeight="true" outlineLevel="0" collapsed="false">
      <c r="A12" s="65" t="s">
        <v>152</v>
      </c>
      <c r="B12" s="65"/>
      <c r="C12" s="68" t="n">
        <f aca="false">COUNT(D21:D32)</f>
        <v>12</v>
      </c>
    </row>
    <row r="13" customFormat="false" ht="15" hidden="false" customHeight="true" outlineLevel="0" collapsed="false">
      <c r="A13" s="65" t="s">
        <v>153</v>
      </c>
      <c r="B13" s="65"/>
      <c r="C13" s="70" t="n">
        <f aca="false">IF(C12=0,0,INDEX(M21:M32,C12))</f>
        <v>116833.400425673</v>
      </c>
    </row>
    <row r="14" customFormat="false" ht="15" hidden="false" customHeight="true" outlineLevel="0" collapsed="false">
      <c r="A14" s="65" t="s">
        <v>154</v>
      </c>
      <c r="B14" s="65"/>
      <c r="C14" s="70" t="n">
        <f aca="false">C8-C13</f>
        <v>2233166.59957433</v>
      </c>
    </row>
    <row r="15" customFormat="false" ht="15" hidden="false" customHeight="true" outlineLevel="0" collapsed="false">
      <c r="A15" s="65" t="s">
        <v>155</v>
      </c>
      <c r="B15" s="65"/>
      <c r="C15" s="71" t="n">
        <f aca="false">IFERROR(C13/C8,0)</f>
        <v>0.0497163406066694</v>
      </c>
    </row>
    <row r="16" customFormat="false" ht="15" hidden="false" customHeight="true" outlineLevel="0" collapsed="false">
      <c r="A16" s="65" t="s">
        <v>156</v>
      </c>
      <c r="B16" s="65"/>
      <c r="C16" s="70" t="n">
        <f aca="true">IFERROR(AVERAGE(OFFSET(L21,MAX(C12-3,0),0,MIN(C12,3),1)),0)</f>
        <v>0</v>
      </c>
    </row>
    <row r="17" customFormat="false" ht="15" hidden="false" customHeight="true" outlineLevel="0" collapsed="false">
      <c r="A17" s="65" t="s">
        <v>157</v>
      </c>
      <c r="B17" s="65"/>
      <c r="C17" s="68" t="str">
        <f aca="false">IFERROR(C14/C16,"—")</f>
        <v>—</v>
      </c>
    </row>
    <row r="18" customFormat="false" ht="15" hidden="false" customHeight="true" outlineLevel="0" collapsed="false">
      <c r="A18" s="65" t="s">
        <v>158</v>
      </c>
      <c r="B18" s="65"/>
      <c r="C18" s="72" t="str">
        <f aca="false">IF(C12=0,"NO DATA YET",IF(C15&gt;(C12/C7)*1.1,"AT RISK — OVERRUNNING",IF(C15&lt;(C12/C7)*0.7,"AT RISK — UNDERRUNNING","ON TRACK")))</f>
        <v>AT RISK — UNDERRUNNING</v>
      </c>
      <c r="D18" s="72"/>
      <c r="E18" s="72"/>
      <c r="F18" s="72"/>
      <c r="G18" s="72"/>
    </row>
    <row r="20" customFormat="false" ht="33.75" hidden="false" customHeight="true" outlineLevel="0" collapsed="false">
      <c r="A20" s="19" t="s">
        <v>159</v>
      </c>
      <c r="B20" s="19" t="s">
        <v>160</v>
      </c>
      <c r="C20" s="19" t="s">
        <v>161</v>
      </c>
      <c r="D20" s="19" t="s">
        <v>162</v>
      </c>
      <c r="E20" s="19" t="s">
        <v>163</v>
      </c>
      <c r="F20" s="19" t="s">
        <v>164</v>
      </c>
      <c r="G20" s="19" t="s">
        <v>165</v>
      </c>
      <c r="H20" s="19" t="s">
        <v>166</v>
      </c>
      <c r="I20" s="19" t="s">
        <v>167</v>
      </c>
      <c r="J20" s="19" t="s">
        <v>168</v>
      </c>
      <c r="K20" s="19" t="s">
        <v>169</v>
      </c>
      <c r="L20" s="19" t="s">
        <v>170</v>
      </c>
      <c r="M20" s="19" t="s">
        <v>171</v>
      </c>
      <c r="N20" s="19" t="s">
        <v>172</v>
      </c>
      <c r="O20" s="19" t="s">
        <v>173</v>
      </c>
      <c r="P20" s="19" t="s">
        <v>174</v>
      </c>
    </row>
    <row r="21" customFormat="false" ht="15" hidden="false" customHeight="true" outlineLevel="0" collapsed="false">
      <c r="A21" s="73" t="n">
        <v>1</v>
      </c>
      <c r="B21" s="74" t="n">
        <f aca="false">EDATE($C$5,A21-1)</f>
        <v>46023</v>
      </c>
      <c r="C21" s="27" t="n">
        <f aca="false">$C$9*A21</f>
        <v>195833.333333333</v>
      </c>
      <c r="D21" s="37" t="n">
        <f aca="false">Labor!H29</f>
        <v>28771.3216947115</v>
      </c>
      <c r="E21" s="37" t="n">
        <f aca="false">IF(D21="","",ODCs!C27)</f>
        <v>4200</v>
      </c>
      <c r="F21" s="37" t="n">
        <f aca="false">IF(D21="","",'M&amp;E'!C27)</f>
        <v>14200</v>
      </c>
      <c r="G21" s="37" t="n">
        <f aca="false">IF(D21="","",Travel!C27)</f>
        <v>1090</v>
      </c>
      <c r="H21" s="27" t="n">
        <f aca="false">IF(D21="","",D21+E21+F21+G21)</f>
        <v>48261.3216947115</v>
      </c>
      <c r="I21" s="37" t="n">
        <f aca="false">IF(H21="","",H21*Rates!$B$8)</f>
        <v>5791.35860336539</v>
      </c>
      <c r="J21" s="27" t="n">
        <f aca="false">IF(H21="","",H21+I21)</f>
        <v>54052.6802980769</v>
      </c>
      <c r="K21" s="37" t="n">
        <f aca="false">IF(J21="","",J21*Rates!$C$17)</f>
        <v>3783.68762086539</v>
      </c>
      <c r="L21" s="27" t="n">
        <f aca="false">IF(J21="","",J21+K21)</f>
        <v>57836.3679189423</v>
      </c>
      <c r="M21" s="27" t="n">
        <f aca="false">IF(SUM($L$21:L21)=0,"",SUM($L$21:L21))</f>
        <v>57836.3679189423</v>
      </c>
      <c r="N21" s="75" t="n">
        <f aca="false">IF(OR(M21="",C21=""),"",M21-C21)</f>
        <v>-137996.965414391</v>
      </c>
      <c r="O21" s="38" t="n">
        <f aca="false">IF(OR(M21="",C21="",C21=0),"",N21/C21)</f>
        <v>-0.704665355307529</v>
      </c>
      <c r="P21" s="27" t="n">
        <f aca="false">IF(M21="","",$C$8-M21)</f>
        <v>2292163.63208106</v>
      </c>
    </row>
    <row r="22" customFormat="false" ht="15" hidden="false" customHeight="true" outlineLevel="0" collapsed="false">
      <c r="A22" s="76" t="n">
        <v>2</v>
      </c>
      <c r="B22" s="77" t="n">
        <f aca="false">EDATE($C$5,A22-1)</f>
        <v>46054</v>
      </c>
      <c r="C22" s="34" t="n">
        <f aca="false">$C$9*A22</f>
        <v>391666.666666667</v>
      </c>
      <c r="D22" s="40" t="n">
        <f aca="false">Labor!H30</f>
        <v>0</v>
      </c>
      <c r="E22" s="40" t="n">
        <f aca="false">IF(D22="","",ODCs!C28)</f>
        <v>310</v>
      </c>
      <c r="F22" s="40" t="n">
        <f aca="false">IF(D22="","",'M&amp;E'!C28)</f>
        <v>3100</v>
      </c>
      <c r="G22" s="40" t="n">
        <f aca="false">IF(D22="","",Travel!C28)</f>
        <v>0</v>
      </c>
      <c r="H22" s="34" t="n">
        <f aca="false">IF(D22="","",D22+E22+F22+G22)</f>
        <v>3410</v>
      </c>
      <c r="I22" s="40" t="n">
        <f aca="false">IF(H22="","",H22*Rates!$B$8)</f>
        <v>409.2</v>
      </c>
      <c r="J22" s="34" t="n">
        <f aca="false">IF(H22="","",H22+I22)</f>
        <v>3819.2</v>
      </c>
      <c r="K22" s="40" t="n">
        <f aca="false">IF(J22="","",J22*Rates!$C$17)</f>
        <v>267.344</v>
      </c>
      <c r="L22" s="34" t="n">
        <f aca="false">IF(J22="","",J22+K22)</f>
        <v>4086.544</v>
      </c>
      <c r="M22" s="34" t="n">
        <f aca="false">IF(SUM($L$21:L22)=0,"",SUM($L$21:L22))</f>
        <v>61922.9119189423</v>
      </c>
      <c r="N22" s="78" t="n">
        <f aca="false">IF(OR(M22="",C22=""),"",M22-C22)</f>
        <v>-329743.754747724</v>
      </c>
      <c r="O22" s="41" t="n">
        <f aca="false">IF(OR(M22="",C22="",C22=0),"",N22/C22)</f>
        <v>-0.841898948292062</v>
      </c>
      <c r="P22" s="34" t="n">
        <f aca="false">IF(M22="","",$C$8-M22)</f>
        <v>2288077.08808106</v>
      </c>
    </row>
    <row r="23" customFormat="false" ht="15" hidden="false" customHeight="true" outlineLevel="0" collapsed="false">
      <c r="A23" s="73" t="n">
        <v>3</v>
      </c>
      <c r="B23" s="74" t="n">
        <f aca="false">EDATE($C$5,A23-1)</f>
        <v>46082</v>
      </c>
      <c r="C23" s="27" t="n">
        <f aca="false">$C$9*A23</f>
        <v>587500</v>
      </c>
      <c r="D23" s="37" t="n">
        <f aca="false">Labor!H31</f>
        <v>0</v>
      </c>
      <c r="E23" s="37" t="n">
        <f aca="false">IF(D23="","",ODCs!C29)</f>
        <v>0</v>
      </c>
      <c r="F23" s="37" t="n">
        <f aca="false">IF(D23="","",'M&amp;E'!C29)</f>
        <v>0</v>
      </c>
      <c r="G23" s="37" t="n">
        <f aca="false">IF(D23="","",Travel!C29)</f>
        <v>1150</v>
      </c>
      <c r="H23" s="27" t="n">
        <f aca="false">IF(D23="","",D23+E23+F23+G23)</f>
        <v>1150</v>
      </c>
      <c r="I23" s="37" t="n">
        <f aca="false">IF(H23="","",H23*Rates!$B$8)</f>
        <v>138</v>
      </c>
      <c r="J23" s="27" t="n">
        <f aca="false">IF(H23="","",H23+I23)</f>
        <v>1288</v>
      </c>
      <c r="K23" s="37" t="n">
        <f aca="false">IF(J23="","",J23*Rates!$C$17)</f>
        <v>90.16</v>
      </c>
      <c r="L23" s="27" t="n">
        <f aca="false">IF(J23="","",J23+K23)</f>
        <v>1378.16</v>
      </c>
      <c r="M23" s="27" t="n">
        <f aca="false">IF(SUM($L$21:L23)=0,"",SUM($L$21:L23))</f>
        <v>63301.0719189423</v>
      </c>
      <c r="N23" s="75" t="n">
        <f aca="false">IF(OR(M23="",C23=""),"",M23-C23)</f>
        <v>-524198.928081058</v>
      </c>
      <c r="O23" s="38" t="n">
        <f aca="false">IF(OR(M23="",C23="",C23=0),"",N23/C23)</f>
        <v>-0.892253494606056</v>
      </c>
      <c r="P23" s="27" t="n">
        <f aca="false">IF(M23="","",$C$8-M23)</f>
        <v>2286698.92808106</v>
      </c>
    </row>
    <row r="24" customFormat="false" ht="15" hidden="false" customHeight="true" outlineLevel="0" collapsed="false">
      <c r="A24" s="76" t="n">
        <v>4</v>
      </c>
      <c r="B24" s="77" t="n">
        <f aca="false">EDATE($C$5,A24-1)</f>
        <v>46113</v>
      </c>
      <c r="C24" s="34" t="n">
        <f aca="false">$C$9*A24</f>
        <v>783333.333333333</v>
      </c>
      <c r="D24" s="40" t="n">
        <f aca="false">Labor!H32</f>
        <v>0</v>
      </c>
      <c r="E24" s="40" t="n">
        <f aca="false">IF(D24="","",ODCs!C30)</f>
        <v>860</v>
      </c>
      <c r="F24" s="40" t="n">
        <f aca="false">IF(D24="","",'M&amp;E'!C30)</f>
        <v>8600</v>
      </c>
      <c r="G24" s="40" t="n">
        <f aca="false">IF(D24="","",Travel!C30)</f>
        <v>0</v>
      </c>
      <c r="H24" s="34" t="n">
        <f aca="false">IF(D24="","",D24+E24+F24+G24)</f>
        <v>9460</v>
      </c>
      <c r="I24" s="40" t="n">
        <f aca="false">IF(H24="","",H24*Rates!$B$8)</f>
        <v>1135.2</v>
      </c>
      <c r="J24" s="34" t="n">
        <f aca="false">IF(H24="","",H24+I24)</f>
        <v>10595.2</v>
      </c>
      <c r="K24" s="40" t="n">
        <f aca="false">IF(J24="","",J24*Rates!$C$17)</f>
        <v>741.664</v>
      </c>
      <c r="L24" s="34" t="n">
        <f aca="false">IF(J24="","",J24+K24)</f>
        <v>11336.864</v>
      </c>
      <c r="M24" s="34" t="n">
        <f aca="false">IF(SUM($L$21:L24)=0,"",SUM($L$21:L24))</f>
        <v>74637.9359189423</v>
      </c>
      <c r="N24" s="78" t="n">
        <f aca="false">IF(OR(M24="",C24=""),"",M24-C24)</f>
        <v>-708695.397414391</v>
      </c>
      <c r="O24" s="41" t="n">
        <f aca="false">IF(OR(M24="",C24="",C24=0),"",N24/C24)</f>
        <v>-0.904717528614116</v>
      </c>
      <c r="P24" s="34" t="n">
        <f aca="false">IF(M24="","",$C$8-M24)</f>
        <v>2275362.06408106</v>
      </c>
    </row>
    <row r="25" customFormat="false" ht="15" hidden="false" customHeight="true" outlineLevel="0" collapsed="false">
      <c r="A25" s="73" t="n">
        <v>5</v>
      </c>
      <c r="B25" s="74" t="n">
        <f aca="false">EDATE($C$5,A25-1)</f>
        <v>46143</v>
      </c>
      <c r="C25" s="27" t="n">
        <f aca="false">$C$9*A25</f>
        <v>979166.666666667</v>
      </c>
      <c r="D25" s="37" t="n">
        <f aca="false">Labor!H33</f>
        <v>0</v>
      </c>
      <c r="E25" s="37" t="n">
        <f aca="false">IF(D25="","",ODCs!C31)</f>
        <v>0</v>
      </c>
      <c r="F25" s="37" t="n">
        <f aca="false">IF(D25="","",'M&amp;E'!C31)</f>
        <v>0</v>
      </c>
      <c r="G25" s="37" t="n">
        <f aca="false">IF(D25="","",Travel!C31)</f>
        <v>0</v>
      </c>
      <c r="H25" s="27" t="n">
        <f aca="false">IF(D25="","",D25+E25+F25+G25)</f>
        <v>0</v>
      </c>
      <c r="I25" s="37" t="n">
        <f aca="false">IF(H25="","",H25*Rates!$B$8)</f>
        <v>0</v>
      </c>
      <c r="J25" s="27" t="n">
        <f aca="false">IF(H25="","",H25+I25)</f>
        <v>0</v>
      </c>
      <c r="K25" s="37" t="n">
        <f aca="false">IF(J25="","",J25*Rates!$C$17)</f>
        <v>0</v>
      </c>
      <c r="L25" s="27" t="n">
        <f aca="false">IF(J25="","",J25+K25)</f>
        <v>0</v>
      </c>
      <c r="M25" s="27" t="n">
        <f aca="false">IF(SUM($L$21:L25)=0,"",SUM($L$21:L25))</f>
        <v>74637.9359189423</v>
      </c>
      <c r="N25" s="75" t="n">
        <f aca="false">IF(OR(M25="",C25=""),"",M25-C25)</f>
        <v>-904528.730747724</v>
      </c>
      <c r="O25" s="38" t="n">
        <f aca="false">IF(OR(M25="",C25="",C25=0),"",N25/C25)</f>
        <v>-0.923774022891293</v>
      </c>
      <c r="P25" s="27" t="n">
        <f aca="false">IF(M25="","",$C$8-M25)</f>
        <v>2275362.06408106</v>
      </c>
    </row>
    <row r="26" customFormat="false" ht="15" hidden="false" customHeight="true" outlineLevel="0" collapsed="false">
      <c r="A26" s="76" t="n">
        <v>6</v>
      </c>
      <c r="B26" s="77" t="n">
        <f aca="false">EDATE($C$5,A26-1)</f>
        <v>46174</v>
      </c>
      <c r="C26" s="34" t="n">
        <f aca="false">$C$9*A26</f>
        <v>1175000</v>
      </c>
      <c r="D26" s="40" t="n">
        <f aca="false">Labor!H34</f>
        <v>0</v>
      </c>
      <c r="E26" s="40" t="n">
        <f aca="false">IF(D26="","",ODCs!C32)</f>
        <v>0</v>
      </c>
      <c r="F26" s="40" t="n">
        <f aca="false">IF(D26="","",'M&amp;E'!C32)</f>
        <v>0</v>
      </c>
      <c r="G26" s="40" t="n">
        <f aca="false">IF(D26="","",Travel!C32)</f>
        <v>0</v>
      </c>
      <c r="H26" s="34" t="n">
        <f aca="false">IF(D26="","",D26+E26+F26+G26)</f>
        <v>0</v>
      </c>
      <c r="I26" s="40" t="n">
        <f aca="false">IF(H26="","",H26*Rates!$B$8)</f>
        <v>0</v>
      </c>
      <c r="J26" s="34" t="n">
        <f aca="false">IF(H26="","",H26+I26)</f>
        <v>0</v>
      </c>
      <c r="K26" s="40" t="n">
        <f aca="false">IF(J26="","",J26*Rates!$C$17)</f>
        <v>0</v>
      </c>
      <c r="L26" s="34" t="n">
        <f aca="false">IF(J26="","",J26+K26)</f>
        <v>0</v>
      </c>
      <c r="M26" s="34" t="n">
        <f aca="false">IF(SUM($L$21:L26)=0,"",SUM($L$21:L26))</f>
        <v>74637.9359189423</v>
      </c>
      <c r="N26" s="78" t="n">
        <f aca="false">IF(OR(M26="",C26=""),"",M26-C26)</f>
        <v>-1100362.06408106</v>
      </c>
      <c r="O26" s="41" t="n">
        <f aca="false">IF(OR(M26="",C26="",C26=0),"",N26/C26)</f>
        <v>-0.936478352409411</v>
      </c>
      <c r="P26" s="34" t="n">
        <f aca="false">IF(M26="","",$C$8-M26)</f>
        <v>2275362.06408106</v>
      </c>
    </row>
    <row r="27" customFormat="false" ht="15" hidden="false" customHeight="true" outlineLevel="0" collapsed="false">
      <c r="A27" s="73" t="n">
        <v>7</v>
      </c>
      <c r="B27" s="74" t="n">
        <f aca="false">EDATE($C$5,A27-1)</f>
        <v>46204</v>
      </c>
      <c r="C27" s="27" t="n">
        <f aca="false">$C$9*A27</f>
        <v>1370833.33333333</v>
      </c>
      <c r="D27" s="37" t="n">
        <f aca="false">Labor!H35</f>
        <v>9054.08653846154</v>
      </c>
      <c r="E27" s="37" t="n">
        <f aca="false">IF(D27="","",ODCs!C33)</f>
        <v>0</v>
      </c>
      <c r="F27" s="37" t="n">
        <f aca="false">IF(D27="","",'M&amp;E'!C33)</f>
        <v>0</v>
      </c>
      <c r="G27" s="37" t="n">
        <f aca="false">IF(D27="","",Travel!C33)</f>
        <v>0</v>
      </c>
      <c r="H27" s="27" t="n">
        <f aca="false">IF(D27="","",D27+E27+F27+G27)</f>
        <v>9054.08653846154</v>
      </c>
      <c r="I27" s="37" t="n">
        <f aca="false">IF(H27="","",H27*Rates!$B$8)</f>
        <v>1086.49038461538</v>
      </c>
      <c r="J27" s="27" t="n">
        <f aca="false">IF(H27="","",H27+I27)</f>
        <v>10140.5769230769</v>
      </c>
      <c r="K27" s="37" t="n">
        <f aca="false">IF(J27="","",J27*Rates!$C$17)</f>
        <v>709.840384615385</v>
      </c>
      <c r="L27" s="27" t="n">
        <f aca="false">IF(J27="","",J27+K27)</f>
        <v>10850.4173076923</v>
      </c>
      <c r="M27" s="27" t="n">
        <f aca="false">IF(SUM($L$21:L27)=0,"",SUM($L$21:L27))</f>
        <v>85488.3532266346</v>
      </c>
      <c r="N27" s="75" t="n">
        <f aca="false">IF(OR(M27="",C27=""),"",M27-C27)</f>
        <v>-1285344.9801067</v>
      </c>
      <c r="O27" s="38" t="n">
        <f aca="false">IF(OR(M27="",C27="",C27=0),"",N27/C27)</f>
        <v>-0.937637675457774</v>
      </c>
      <c r="P27" s="27" t="n">
        <f aca="false">IF(M27="","",$C$8-M27)</f>
        <v>2264511.64677337</v>
      </c>
    </row>
    <row r="28" customFormat="false" ht="15" hidden="false" customHeight="true" outlineLevel="0" collapsed="false">
      <c r="A28" s="76" t="n">
        <v>8</v>
      </c>
      <c r="B28" s="77" t="n">
        <f aca="false">EDATE($C$5,A28-1)</f>
        <v>46235</v>
      </c>
      <c r="C28" s="34" t="n">
        <f aca="false">$C$9*A28</f>
        <v>1566666.66666667</v>
      </c>
      <c r="D28" s="40" t="n">
        <f aca="false">Labor!H36</f>
        <v>26155.7469951923</v>
      </c>
      <c r="E28" s="40" t="n">
        <f aca="false">IF(D28="","",ODCs!C34)</f>
        <v>0</v>
      </c>
      <c r="F28" s="40" t="n">
        <f aca="false">IF(D28="","",'M&amp;E'!C34)</f>
        <v>0</v>
      </c>
      <c r="G28" s="40" t="n">
        <f aca="false">IF(D28="","",Travel!C34)</f>
        <v>0</v>
      </c>
      <c r="H28" s="34" t="n">
        <f aca="false">IF(D28="","",D28+E28+F28+G28)</f>
        <v>26155.7469951923</v>
      </c>
      <c r="I28" s="40" t="n">
        <f aca="false">IF(H28="","",H28*Rates!$B$8)</f>
        <v>3138.68963942308</v>
      </c>
      <c r="J28" s="34" t="n">
        <f aca="false">IF(H28="","",H28+I28)</f>
        <v>29294.4366346154</v>
      </c>
      <c r="K28" s="40" t="n">
        <f aca="false">IF(J28="","",J28*Rates!$C$17)</f>
        <v>2050.61056442308</v>
      </c>
      <c r="L28" s="34" t="n">
        <f aca="false">IF(J28="","",J28+K28)</f>
        <v>31345.0471990385</v>
      </c>
      <c r="M28" s="34" t="n">
        <f aca="false">IF(SUM($L$21:L28)=0,"",SUM($L$21:L28))</f>
        <v>116833.400425673</v>
      </c>
      <c r="N28" s="78" t="n">
        <f aca="false">IF(OR(M28="",C28=""),"",M28-C28)</f>
        <v>-1449833.26624099</v>
      </c>
      <c r="O28" s="41" t="n">
        <f aca="false">IF(OR(M28="",C28="",C28=0),"",N28/C28)</f>
        <v>-0.925425489089996</v>
      </c>
      <c r="P28" s="34" t="n">
        <f aca="false">IF(M28="","",$C$8-M28)</f>
        <v>2233166.59957433</v>
      </c>
    </row>
    <row r="29" customFormat="false" ht="15" hidden="false" customHeight="true" outlineLevel="0" collapsed="false">
      <c r="A29" s="73" t="n">
        <v>9</v>
      </c>
      <c r="B29" s="74" t="n">
        <f aca="false">EDATE($C$5,A29-1)</f>
        <v>46266</v>
      </c>
      <c r="C29" s="27" t="n">
        <f aca="false">$C$9*A29</f>
        <v>1762500</v>
      </c>
      <c r="D29" s="37" t="n">
        <f aca="false">Labor!H37</f>
        <v>0</v>
      </c>
      <c r="E29" s="37" t="n">
        <f aca="false">IF(D29="","",ODCs!C35)</f>
        <v>0</v>
      </c>
      <c r="F29" s="37" t="n">
        <f aca="false">IF(D29="","",'M&amp;E'!C35)</f>
        <v>0</v>
      </c>
      <c r="G29" s="37" t="n">
        <f aca="false">IF(D29="","",Travel!C35)</f>
        <v>0</v>
      </c>
      <c r="H29" s="27" t="n">
        <f aca="false">IF(D29="","",D29+E29+F29+G29)</f>
        <v>0</v>
      </c>
      <c r="I29" s="37" t="n">
        <f aca="false">IF(H29="","",H29*Rates!$B$8)</f>
        <v>0</v>
      </c>
      <c r="J29" s="27" t="n">
        <f aca="false">IF(H29="","",H29+I29)</f>
        <v>0</v>
      </c>
      <c r="K29" s="37" t="n">
        <f aca="false">IF(J29="","",J29*Rates!$C$17)</f>
        <v>0</v>
      </c>
      <c r="L29" s="27" t="n">
        <f aca="false">IF(J29="","",J29+K29)</f>
        <v>0</v>
      </c>
      <c r="M29" s="27" t="n">
        <f aca="false">IF(SUM($L$21:L29)=0,"",SUM($L$21:L29))</f>
        <v>116833.400425673</v>
      </c>
      <c r="N29" s="75" t="n">
        <f aca="false">IF(OR(M29="",C29=""),"",M29-C29)</f>
        <v>-1645666.59957433</v>
      </c>
      <c r="O29" s="38" t="n">
        <f aca="false">IF(OR(M29="",C29="",C29=0),"",N29/C29)</f>
        <v>-0.933711545857774</v>
      </c>
      <c r="P29" s="27" t="n">
        <f aca="false">IF(M29="","",$C$8-M29)</f>
        <v>2233166.59957433</v>
      </c>
    </row>
    <row r="30" customFormat="false" ht="15" hidden="false" customHeight="true" outlineLevel="0" collapsed="false">
      <c r="A30" s="76" t="n">
        <v>10</v>
      </c>
      <c r="B30" s="77" t="n">
        <f aca="false">EDATE($C$5,A30-1)</f>
        <v>46296</v>
      </c>
      <c r="C30" s="34" t="n">
        <f aca="false">$C$9*A30</f>
        <v>1958333.33333333</v>
      </c>
      <c r="D30" s="40" t="n">
        <f aca="false">Labor!H38</f>
        <v>0</v>
      </c>
      <c r="E30" s="40" t="n">
        <f aca="false">IF(D30="","",ODCs!C36)</f>
        <v>0</v>
      </c>
      <c r="F30" s="40" t="n">
        <f aca="false">IF(D30="","",'M&amp;E'!C36)</f>
        <v>0</v>
      </c>
      <c r="G30" s="40" t="n">
        <f aca="false">IF(D30="","",Travel!C36)</f>
        <v>0</v>
      </c>
      <c r="H30" s="34" t="n">
        <f aca="false">IF(D30="","",D30+E30+F30+G30)</f>
        <v>0</v>
      </c>
      <c r="I30" s="40" t="n">
        <f aca="false">IF(H30="","",H30*Rates!$B$8)</f>
        <v>0</v>
      </c>
      <c r="J30" s="34" t="n">
        <f aca="false">IF(H30="","",H30+I30)</f>
        <v>0</v>
      </c>
      <c r="K30" s="40" t="n">
        <f aca="false">IF(J30="","",J30*Rates!$C$17)</f>
        <v>0</v>
      </c>
      <c r="L30" s="34" t="n">
        <f aca="false">IF(J30="","",J30+K30)</f>
        <v>0</v>
      </c>
      <c r="M30" s="34" t="n">
        <f aca="false">IF(SUM($L$21:L30)=0,"",SUM($L$21:L30))</f>
        <v>116833.400425673</v>
      </c>
      <c r="N30" s="78" t="n">
        <f aca="false">IF(OR(M30="",C30=""),"",M30-C30)</f>
        <v>-1841499.93290766</v>
      </c>
      <c r="O30" s="41" t="n">
        <f aca="false">IF(OR(M30="",C30="",C30=0),"",N30/C30)</f>
        <v>-0.940340391271997</v>
      </c>
      <c r="P30" s="34" t="n">
        <f aca="false">IF(M30="","",$C$8-M30)</f>
        <v>2233166.59957433</v>
      </c>
    </row>
    <row r="31" customFormat="false" ht="15" hidden="false" customHeight="true" outlineLevel="0" collapsed="false">
      <c r="A31" s="73" t="n">
        <v>11</v>
      </c>
      <c r="B31" s="74" t="n">
        <f aca="false">EDATE($C$5,A31-1)</f>
        <v>46327</v>
      </c>
      <c r="C31" s="27" t="n">
        <f aca="false">$C$9*A31</f>
        <v>2154166.66666667</v>
      </c>
      <c r="D31" s="37" t="n">
        <f aca="false">Labor!H39</f>
        <v>0</v>
      </c>
      <c r="E31" s="37" t="n">
        <f aca="false">IF(D31="","",ODCs!C37)</f>
        <v>0</v>
      </c>
      <c r="F31" s="37" t="n">
        <f aca="false">IF(D31="","",'M&amp;E'!C37)</f>
        <v>0</v>
      </c>
      <c r="G31" s="37" t="n">
        <f aca="false">IF(D31="","",Travel!C37)</f>
        <v>0</v>
      </c>
      <c r="H31" s="27" t="n">
        <f aca="false">IF(D31="","",D31+E31+F31+G31)</f>
        <v>0</v>
      </c>
      <c r="I31" s="37" t="n">
        <f aca="false">IF(H31="","",H31*Rates!$B$8)</f>
        <v>0</v>
      </c>
      <c r="J31" s="27" t="n">
        <f aca="false">IF(H31="","",H31+I31)</f>
        <v>0</v>
      </c>
      <c r="K31" s="37" t="n">
        <f aca="false">IF(J31="","",J31*Rates!$C$17)</f>
        <v>0</v>
      </c>
      <c r="L31" s="27" t="n">
        <f aca="false">IF(J31="","",J31+K31)</f>
        <v>0</v>
      </c>
      <c r="M31" s="27" t="n">
        <f aca="false">IF(SUM($L$21:L31)=0,"",SUM($L$21:L31))</f>
        <v>116833.400425673</v>
      </c>
      <c r="N31" s="75" t="n">
        <f aca="false">IF(OR(M31="",C31=""),"",M31-C31)</f>
        <v>-2037333.26624099</v>
      </c>
      <c r="O31" s="38" t="n">
        <f aca="false">IF(OR(M31="",C31="",C31=0),"",N31/C31)</f>
        <v>-0.945763992065452</v>
      </c>
      <c r="P31" s="27" t="n">
        <f aca="false">IF(M31="","",$C$8-M31)</f>
        <v>2233166.59957433</v>
      </c>
    </row>
    <row r="32" customFormat="false" ht="15" hidden="false" customHeight="true" outlineLevel="0" collapsed="false">
      <c r="A32" s="76" t="n">
        <v>12</v>
      </c>
      <c r="B32" s="77" t="n">
        <f aca="false">EDATE($C$5,A32-1)</f>
        <v>46357</v>
      </c>
      <c r="C32" s="34" t="n">
        <f aca="false">$C$9*A32</f>
        <v>2350000</v>
      </c>
      <c r="D32" s="40" t="n">
        <f aca="false">Labor!H40</f>
        <v>0</v>
      </c>
      <c r="E32" s="40" t="n">
        <f aca="false">IF(D32="","",ODCs!C38)</f>
        <v>0</v>
      </c>
      <c r="F32" s="40" t="n">
        <f aca="false">IF(D32="","",'M&amp;E'!C38)</f>
        <v>0</v>
      </c>
      <c r="G32" s="40" t="n">
        <f aca="false">IF(D32="","",Travel!C38)</f>
        <v>0</v>
      </c>
      <c r="H32" s="34" t="n">
        <f aca="false">IF(D32="","",D32+E32+F32+G32)</f>
        <v>0</v>
      </c>
      <c r="I32" s="40" t="n">
        <f aca="false">IF(H32="","",H32*Rates!$B$8)</f>
        <v>0</v>
      </c>
      <c r="J32" s="34" t="n">
        <f aca="false">IF(H32="","",H32+I32)</f>
        <v>0</v>
      </c>
      <c r="K32" s="40" t="n">
        <f aca="false">IF(J32="","",J32*Rates!$C$17)</f>
        <v>0</v>
      </c>
      <c r="L32" s="34" t="n">
        <f aca="false">IF(J32="","",J32+K32)</f>
        <v>0</v>
      </c>
      <c r="M32" s="34" t="n">
        <f aca="false">IF(SUM($L$21:L32)=0,"",SUM($L$21:L32))</f>
        <v>116833.400425673</v>
      </c>
      <c r="N32" s="78" t="n">
        <f aca="false">IF(OR(M32="",C32=""),"",M32-C32)</f>
        <v>-2233166.59957433</v>
      </c>
      <c r="O32" s="41" t="n">
        <f aca="false">IF(OR(M32="",C32="",C32=0),"",N32/C32)</f>
        <v>-0.950283659393331</v>
      </c>
      <c r="P32" s="34" t="n">
        <f aca="false">IF(M32="","",$C$8-M32)</f>
        <v>2233166.59957433</v>
      </c>
    </row>
    <row r="34" customFormat="false" ht="15" hidden="false" customHeight="true" outlineLevel="0" collapsed="false">
      <c r="A34" s="3" t="s">
        <v>119</v>
      </c>
    </row>
  </sheetData>
  <mergeCells count="15">
    <mergeCell ref="A3:B3"/>
    <mergeCell ref="A4:B4"/>
    <mergeCell ref="A5:B5"/>
    <mergeCell ref="A6:B6"/>
    <mergeCell ref="A7:B7"/>
    <mergeCell ref="A8:B8"/>
    <mergeCell ref="A9:B9"/>
    <mergeCell ref="A12:B12"/>
    <mergeCell ref="A13:B13"/>
    <mergeCell ref="A14:B14"/>
    <mergeCell ref="A15:B15"/>
    <mergeCell ref="A16:B16"/>
    <mergeCell ref="A17:B17"/>
    <mergeCell ref="A18:B18"/>
    <mergeCell ref="C18:G18"/>
  </mergeCells>
  <conditionalFormatting sqref="C18:G18">
    <cfRule type="expression" priority="2" aboveAverage="0" equalAverage="0" bottom="0" percent="0" rank="0" text="" dxfId="5">
      <formula>ISNUMBER(SEARCH("AT RISK",$C18))</formula>
    </cfRule>
    <cfRule type="expression" priority="3" aboveAverage="0" equalAverage="0" bottom="0" percent="0" rank="0" text="" dxfId="6">
      <formula>$C18="ON TRACK"</formula>
    </cfRule>
    <cfRule type="expression" priority="4" aboveAverage="0" equalAverage="0" bottom="0" percent="0" rank="0" text="" dxfId="7">
      <formula>$C18="NO DATA YET"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7"/>
    <col collapsed="false" customWidth="true" hidden="false" outlineLevel="0" max="3" min="3" style="1" width="22"/>
    <col collapsed="false" customWidth="true" hidden="false" outlineLevel="0" max="6" min="4" style="1" width="13"/>
    <col collapsed="false" customWidth="true" hidden="false" outlineLevel="0" max="7" min="7" style="1" width="10"/>
    <col collapsed="false" customWidth="true" hidden="false" outlineLevel="0" max="9" min="8" style="1" width="11"/>
    <col collapsed="false" customWidth="true" hidden="false" outlineLevel="0" max="11" min="10" style="1" width="12"/>
    <col collapsed="false" customWidth="true" hidden="false" outlineLevel="0" max="16" min="12" style="1" width="2"/>
  </cols>
  <sheetData>
    <row r="1" customFormat="false" ht="21.75" hidden="false" customHeight="true" outlineLevel="0" collapsed="false">
      <c r="B1" s="4" t="s">
        <v>175</v>
      </c>
      <c r="P1" s="7"/>
    </row>
    <row r="3" customFormat="false" ht="27.75" hidden="false" customHeight="true" outlineLevel="0" collapsed="false">
      <c r="A3" s="79" t="s">
        <v>176</v>
      </c>
    </row>
    <row r="4" customFormat="false" ht="42" hidden="false" customHeight="true" outlineLevel="0" collapsed="false">
      <c r="A4" s="19" t="s">
        <v>177</v>
      </c>
      <c r="B4" s="19" t="s">
        <v>178</v>
      </c>
      <c r="C4" s="19" t="s">
        <v>179</v>
      </c>
      <c r="D4" s="19" t="s">
        <v>180</v>
      </c>
      <c r="E4" s="19" t="s">
        <v>181</v>
      </c>
      <c r="F4" s="19" t="s">
        <v>182</v>
      </c>
      <c r="G4" s="19" t="s">
        <v>183</v>
      </c>
      <c r="H4" s="19" t="s">
        <v>184</v>
      </c>
      <c r="I4" s="19" t="s">
        <v>185</v>
      </c>
      <c r="J4" s="19" t="s">
        <v>186</v>
      </c>
      <c r="K4" s="19" t="s">
        <v>187</v>
      </c>
      <c r="L4" s="19"/>
      <c r="M4" s="19"/>
      <c r="N4" s="19"/>
      <c r="O4" s="19"/>
      <c r="P4" s="19"/>
    </row>
    <row r="5" customFormat="false" ht="15" hidden="false" customHeight="true" outlineLevel="0" collapsed="false">
      <c r="A5" s="22" t="n">
        <v>123456</v>
      </c>
      <c r="B5" s="22" t="s">
        <v>188</v>
      </c>
      <c r="C5" s="22" t="s">
        <v>189</v>
      </c>
      <c r="D5" s="22" t="s">
        <v>190</v>
      </c>
      <c r="E5" s="25" t="n">
        <v>150000</v>
      </c>
      <c r="F5" s="80"/>
      <c r="G5" s="22" t="n">
        <v>2080</v>
      </c>
      <c r="H5" s="81" t="n">
        <f aca="false">IF(A5="","",IF(D5="Exempt",IF(G5=0,"",E5/G5),F5))</f>
        <v>72.1153846153846</v>
      </c>
      <c r="I5" s="73" t="str">
        <f aca="false">IF(A5="","",IF(D5="Non-Exempt",H5*1.5,"N/A"))</f>
        <v>N/A</v>
      </c>
      <c r="J5" s="23" t="n">
        <v>46213</v>
      </c>
      <c r="K5" s="23"/>
      <c r="L5" s="22"/>
      <c r="M5" s="22"/>
      <c r="N5" s="82"/>
      <c r="O5" s="83"/>
      <c r="P5" s="82"/>
    </row>
    <row r="6" customFormat="false" ht="15" hidden="false" customHeight="true" outlineLevel="0" collapsed="false">
      <c r="A6" s="29" t="n">
        <v>123457</v>
      </c>
      <c r="B6" s="29" t="s">
        <v>191</v>
      </c>
      <c r="C6" s="29" t="s">
        <v>192</v>
      </c>
      <c r="D6" s="29" t="s">
        <v>190</v>
      </c>
      <c r="E6" s="32" t="n">
        <v>165000</v>
      </c>
      <c r="F6" s="84"/>
      <c r="G6" s="29" t="n">
        <v>2080</v>
      </c>
      <c r="H6" s="85" t="n">
        <f aca="false">IF(A6="","",IF(D6="Exempt",IF(G6=0,"",E6/G6),F6))</f>
        <v>79.3269230769231</v>
      </c>
      <c r="I6" s="76" t="str">
        <f aca="false">IF(A6="","",IF(D6="Non-Exempt",H6*1.5,"N/A"))</f>
        <v>N/A</v>
      </c>
      <c r="J6" s="30" t="n">
        <v>46023</v>
      </c>
      <c r="K6" s="30"/>
      <c r="L6" s="29"/>
      <c r="M6" s="29"/>
      <c r="N6" s="86"/>
      <c r="O6" s="87"/>
      <c r="P6" s="86"/>
    </row>
    <row r="7" customFormat="false" ht="15" hidden="false" customHeight="true" outlineLevel="0" collapsed="false">
      <c r="A7" s="22" t="n">
        <v>123458</v>
      </c>
      <c r="B7" s="22" t="s">
        <v>193</v>
      </c>
      <c r="C7" s="22" t="s">
        <v>194</v>
      </c>
      <c r="D7" s="22" t="s">
        <v>195</v>
      </c>
      <c r="E7" s="25"/>
      <c r="F7" s="80" t="n">
        <v>28.5</v>
      </c>
      <c r="G7" s="22" t="n">
        <v>2080</v>
      </c>
      <c r="H7" s="81" t="n">
        <f aca="false">IF(A7="","",IF(D7="Exempt",IF(G7=0,"",E7/G7),F7))</f>
        <v>28.5</v>
      </c>
      <c r="I7" s="81" t="n">
        <f aca="false">IF(A7="","",IF(D7="Non-Exempt",H7*1.5,"N/A"))</f>
        <v>42.75</v>
      </c>
      <c r="J7" s="23" t="n">
        <v>46023</v>
      </c>
      <c r="K7" s="23"/>
      <c r="L7" s="22"/>
      <c r="M7" s="22"/>
      <c r="N7" s="82"/>
      <c r="O7" s="83"/>
      <c r="P7" s="82"/>
    </row>
    <row r="8" customFormat="false" ht="15" hidden="false" customHeight="true" outlineLevel="0" collapsed="false">
      <c r="A8" s="29"/>
      <c r="B8" s="29"/>
      <c r="C8" s="29"/>
      <c r="D8" s="29"/>
      <c r="E8" s="32"/>
      <c r="F8" s="84"/>
      <c r="G8" s="29" t="n">
        <v>2080</v>
      </c>
      <c r="H8" s="85" t="str">
        <f aca="false">IF(A8="","",IF(D8="Exempt",IF(G8=0,"",E8/G8),F8))</f>
        <v/>
      </c>
      <c r="I8" s="76" t="str">
        <f aca="false">IF(A8="","",IF(D8="Non-Exempt",H8*1.5,"N/A"))</f>
        <v/>
      </c>
      <c r="J8" s="30"/>
      <c r="K8" s="30"/>
      <c r="L8" s="29"/>
      <c r="M8" s="29"/>
      <c r="N8" s="86"/>
      <c r="O8" s="87"/>
      <c r="P8" s="86"/>
    </row>
    <row r="9" customFormat="false" ht="15" hidden="false" customHeight="true" outlineLevel="0" collapsed="false">
      <c r="A9" s="22"/>
      <c r="B9" s="22"/>
      <c r="C9" s="22"/>
      <c r="D9" s="22"/>
      <c r="E9" s="25"/>
      <c r="F9" s="80"/>
      <c r="G9" s="22" t="n">
        <v>2080</v>
      </c>
      <c r="H9" s="81" t="str">
        <f aca="false">IF(A9="","",IF(D9="Exempt",IF(G9=0,"",E9/G9),F9))</f>
        <v/>
      </c>
      <c r="I9" s="73" t="str">
        <f aca="false">IF(A9="","",IF(D9="Non-Exempt",H9*1.5,"N/A"))</f>
        <v/>
      </c>
      <c r="J9" s="23"/>
      <c r="K9" s="23"/>
      <c r="L9" s="22"/>
      <c r="M9" s="22"/>
      <c r="N9" s="82"/>
      <c r="O9" s="83"/>
      <c r="P9" s="82"/>
    </row>
    <row r="10" customFormat="false" ht="15" hidden="false" customHeight="true" outlineLevel="0" collapsed="false">
      <c r="A10" s="29"/>
      <c r="B10" s="29"/>
      <c r="C10" s="29"/>
      <c r="D10" s="29"/>
      <c r="E10" s="32"/>
      <c r="F10" s="84"/>
      <c r="G10" s="29" t="n">
        <v>2080</v>
      </c>
      <c r="H10" s="85" t="str">
        <f aca="false">IF(A10="","",IF(D10="Exempt",IF(G10=0,"",E10/G10),F10))</f>
        <v/>
      </c>
      <c r="I10" s="76" t="str">
        <f aca="false">IF(A10="","",IF(D10="Non-Exempt",H10*1.5,"N/A"))</f>
        <v/>
      </c>
      <c r="J10" s="30"/>
      <c r="K10" s="30"/>
      <c r="L10" s="29"/>
      <c r="M10" s="29"/>
      <c r="N10" s="86"/>
      <c r="O10" s="87"/>
      <c r="P10" s="86"/>
    </row>
    <row r="11" customFormat="false" ht="15" hidden="false" customHeight="true" outlineLevel="0" collapsed="false">
      <c r="A11" s="22"/>
      <c r="B11" s="22"/>
      <c r="C11" s="22"/>
      <c r="D11" s="22"/>
      <c r="E11" s="25"/>
      <c r="F11" s="80"/>
      <c r="G11" s="22" t="n">
        <v>2080</v>
      </c>
      <c r="H11" s="81" t="str">
        <f aca="false">IF(A11="","",IF(D11="Exempt",IF(G11=0,"",E11/G11),F11))</f>
        <v/>
      </c>
      <c r="I11" s="73" t="str">
        <f aca="false">IF(A11="","",IF(D11="Non-Exempt",H11*1.5,"N/A"))</f>
        <v/>
      </c>
      <c r="J11" s="23"/>
      <c r="K11" s="23"/>
      <c r="L11" s="22"/>
      <c r="M11" s="22"/>
      <c r="N11" s="82"/>
      <c r="O11" s="83"/>
      <c r="P11" s="82"/>
    </row>
    <row r="12" customFormat="false" ht="15" hidden="false" customHeight="true" outlineLevel="0" collapsed="false">
      <c r="A12" s="29"/>
      <c r="B12" s="29"/>
      <c r="C12" s="29"/>
      <c r="D12" s="29"/>
      <c r="E12" s="32"/>
      <c r="F12" s="84"/>
      <c r="G12" s="29" t="n">
        <v>2080</v>
      </c>
      <c r="H12" s="85" t="str">
        <f aca="false">IF(A12="","",IF(D12="Exempt",IF(G12=0,"",E12/G12),F12))</f>
        <v/>
      </c>
      <c r="I12" s="76" t="str">
        <f aca="false">IF(A12="","",IF(D12="Non-Exempt",H12*1.5,"N/A"))</f>
        <v/>
      </c>
      <c r="J12" s="30"/>
      <c r="K12" s="30"/>
      <c r="L12" s="29"/>
      <c r="M12" s="29"/>
      <c r="N12" s="86"/>
      <c r="O12" s="87"/>
      <c r="P12" s="86"/>
    </row>
    <row r="13" customFormat="false" ht="15" hidden="false" customHeight="true" outlineLevel="0" collapsed="false">
      <c r="A13" s="22"/>
      <c r="B13" s="22"/>
      <c r="C13" s="22"/>
      <c r="D13" s="22"/>
      <c r="E13" s="25"/>
      <c r="F13" s="80"/>
      <c r="G13" s="22" t="n">
        <v>2080</v>
      </c>
      <c r="H13" s="81" t="str">
        <f aca="false">IF(A13="","",IF(D13="Exempt",IF(G13=0,"",E13/G13),F13))</f>
        <v/>
      </c>
      <c r="I13" s="73" t="str">
        <f aca="false">IF(A13="","",IF(D13="Non-Exempt",H13*1.5,"N/A"))</f>
        <v/>
      </c>
      <c r="J13" s="23"/>
      <c r="K13" s="23"/>
      <c r="L13" s="22"/>
      <c r="M13" s="22"/>
      <c r="N13" s="82"/>
      <c r="O13" s="83"/>
      <c r="P13" s="82"/>
    </row>
    <row r="14" customFormat="false" ht="15" hidden="false" customHeight="true" outlineLevel="0" collapsed="false">
      <c r="A14" s="29"/>
      <c r="B14" s="29"/>
      <c r="C14" s="29"/>
      <c r="D14" s="29"/>
      <c r="E14" s="32"/>
      <c r="F14" s="84"/>
      <c r="G14" s="29" t="n">
        <v>2080</v>
      </c>
      <c r="H14" s="85" t="str">
        <f aca="false">IF(A14="","",IF(D14="Exempt",IF(G14=0,"",E14/G14),F14))</f>
        <v/>
      </c>
      <c r="I14" s="76" t="str">
        <f aca="false">IF(A14="","",IF(D14="Non-Exempt",H14*1.5,"N/A"))</f>
        <v/>
      </c>
      <c r="J14" s="30"/>
      <c r="K14" s="30"/>
      <c r="L14" s="29"/>
      <c r="M14" s="29"/>
      <c r="N14" s="86"/>
      <c r="O14" s="87"/>
      <c r="P14" s="86"/>
    </row>
    <row r="15" customFormat="false" ht="15" hidden="false" customHeight="true" outlineLevel="0" collapsed="false">
      <c r="A15" s="22"/>
      <c r="B15" s="22"/>
      <c r="C15" s="22"/>
      <c r="D15" s="22"/>
      <c r="E15" s="25"/>
      <c r="F15" s="80"/>
      <c r="G15" s="22" t="n">
        <v>2080</v>
      </c>
      <c r="H15" s="81" t="str">
        <f aca="false">IF(A15="","",IF(D15="Exempt",IF(G15=0,"",E15/G15),F15))</f>
        <v/>
      </c>
      <c r="I15" s="73" t="str">
        <f aca="false">IF(A15="","",IF(D15="Non-Exempt",H15*1.5,"N/A"))</f>
        <v/>
      </c>
      <c r="J15" s="23"/>
      <c r="K15" s="23"/>
      <c r="L15" s="22"/>
      <c r="M15" s="22"/>
      <c r="N15" s="82"/>
      <c r="O15" s="83"/>
      <c r="P15" s="82"/>
    </row>
    <row r="16" customFormat="false" ht="15" hidden="false" customHeight="true" outlineLevel="0" collapsed="false">
      <c r="A16" s="29"/>
      <c r="B16" s="29"/>
      <c r="C16" s="29"/>
      <c r="D16" s="29"/>
      <c r="E16" s="32"/>
      <c r="F16" s="84"/>
      <c r="G16" s="29" t="n">
        <v>2080</v>
      </c>
      <c r="H16" s="85" t="str">
        <f aca="false">IF(A16="","",IF(D16="Exempt",IF(G16=0,"",E16/G16),F16))</f>
        <v/>
      </c>
      <c r="I16" s="76" t="str">
        <f aca="false">IF(A16="","",IF(D16="Non-Exempt",H16*1.5,"N/A"))</f>
        <v/>
      </c>
      <c r="J16" s="30"/>
      <c r="K16" s="30"/>
      <c r="L16" s="29"/>
      <c r="M16" s="29"/>
      <c r="N16" s="86"/>
      <c r="O16" s="87"/>
      <c r="P16" s="86"/>
    </row>
    <row r="17" customFormat="false" ht="15" hidden="false" customHeight="true" outlineLevel="0" collapsed="false">
      <c r="A17" s="22"/>
      <c r="B17" s="22"/>
      <c r="C17" s="22"/>
      <c r="D17" s="22"/>
      <c r="E17" s="25"/>
      <c r="F17" s="80"/>
      <c r="G17" s="22" t="n">
        <v>2080</v>
      </c>
      <c r="H17" s="81" t="str">
        <f aca="false">IF(A17="","",IF(D17="Exempt",IF(G17=0,"",E17/G17),F17))</f>
        <v/>
      </c>
      <c r="I17" s="73" t="str">
        <f aca="false">IF(A17="","",IF(D17="Non-Exempt",H17*1.5,"N/A"))</f>
        <v/>
      </c>
      <c r="J17" s="23"/>
      <c r="K17" s="23"/>
      <c r="L17" s="22"/>
      <c r="M17" s="22"/>
      <c r="N17" s="82"/>
      <c r="O17" s="83"/>
      <c r="P17" s="82"/>
    </row>
    <row r="18" customFormat="false" ht="15" hidden="false" customHeight="true" outlineLevel="0" collapsed="false">
      <c r="A18" s="29"/>
      <c r="B18" s="29"/>
      <c r="C18" s="29"/>
      <c r="D18" s="29"/>
      <c r="E18" s="32"/>
      <c r="F18" s="84"/>
      <c r="G18" s="29" t="n">
        <v>2080</v>
      </c>
      <c r="H18" s="85" t="str">
        <f aca="false">IF(A18="","",IF(D18="Exempt",IF(G18=0,"",E18/G18),F18))</f>
        <v/>
      </c>
      <c r="I18" s="76" t="str">
        <f aca="false">IF(A18="","",IF(D18="Non-Exempt",H18*1.5,"N/A"))</f>
        <v/>
      </c>
      <c r="J18" s="30"/>
      <c r="K18" s="30"/>
      <c r="L18" s="29"/>
      <c r="M18" s="29"/>
      <c r="N18" s="86"/>
      <c r="O18" s="87"/>
      <c r="P18" s="86"/>
    </row>
    <row r="19" customFormat="false" ht="15" hidden="false" customHeight="true" outlineLevel="0" collapsed="false">
      <c r="A19" s="22"/>
      <c r="B19" s="22"/>
      <c r="C19" s="22"/>
      <c r="D19" s="22"/>
      <c r="E19" s="25"/>
      <c r="F19" s="80"/>
      <c r="G19" s="22" t="n">
        <v>2080</v>
      </c>
      <c r="H19" s="81" t="str">
        <f aca="false">IF(A19="","",IF(D19="Exempt",IF(G19=0,"",E19/G19),F19))</f>
        <v/>
      </c>
      <c r="I19" s="73" t="str">
        <f aca="false">IF(A19="","",IF(D19="Non-Exempt",H19*1.5,"N/A"))</f>
        <v/>
      </c>
      <c r="J19" s="23"/>
      <c r="K19" s="23"/>
      <c r="L19" s="22"/>
      <c r="M19" s="22"/>
      <c r="N19" s="82"/>
      <c r="O19" s="83"/>
      <c r="P19" s="82"/>
    </row>
    <row r="21" customFormat="false" ht="15" hidden="false" customHeight="true" outlineLevel="0" collapsed="false">
      <c r="A21" s="3" t="s">
        <v>119</v>
      </c>
    </row>
  </sheetData>
  <dataValidations count="1">
    <dataValidation allowBlank="true" errorStyle="stop" operator="between" showDropDown="false" showErrorMessage="false" showInputMessage="false" sqref="D5:D19" type="list">
      <formula1>"Exempt,Non-Exempt"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A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22"/>
    <col collapsed="false" customWidth="true" hidden="false" outlineLevel="0" max="27" min="4" style="0" width="9"/>
    <col collapsed="false" customWidth="true" hidden="false" outlineLevel="0" max="29" min="28" style="0" width="12"/>
  </cols>
  <sheetData>
    <row r="1" customFormat="false" ht="21.75" hidden="false" customHeight="true" outlineLevel="0" collapsed="false">
      <c r="B1" s="45" t="s">
        <v>196</v>
      </c>
      <c r="AA1" s="46" t="s">
        <v>67</v>
      </c>
    </row>
    <row r="3" customFormat="false" ht="27.75" hidden="false" customHeight="true" outlineLevel="0" collapsed="false">
      <c r="A3" s="57" t="s">
        <v>197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</row>
    <row r="4" customFormat="false" ht="25.5" hidden="false" customHeight="true" outlineLevel="0" collapsed="false">
      <c r="A4" s="49" t="s">
        <v>177</v>
      </c>
      <c r="B4" s="49" t="s">
        <v>198</v>
      </c>
      <c r="C4" s="49" t="s">
        <v>179</v>
      </c>
      <c r="D4" s="88" t="s">
        <v>199</v>
      </c>
      <c r="E4" s="88"/>
      <c r="F4" s="88" t="s">
        <v>200</v>
      </c>
      <c r="G4" s="88"/>
      <c r="H4" s="88" t="s">
        <v>201</v>
      </c>
      <c r="I4" s="88"/>
      <c r="J4" s="88" t="s">
        <v>202</v>
      </c>
      <c r="K4" s="88"/>
      <c r="L4" s="88" t="s">
        <v>203</v>
      </c>
      <c r="M4" s="88"/>
      <c r="N4" s="88" t="s">
        <v>204</v>
      </c>
      <c r="O4" s="88"/>
      <c r="P4" s="88" t="s">
        <v>205</v>
      </c>
      <c r="Q4" s="88"/>
      <c r="R4" s="88" t="s">
        <v>206</v>
      </c>
      <c r="S4" s="88"/>
      <c r="T4" s="88" t="s">
        <v>207</v>
      </c>
      <c r="U4" s="88"/>
      <c r="V4" s="88" t="s">
        <v>208</v>
      </c>
      <c r="W4" s="88"/>
      <c r="X4" s="88" t="s">
        <v>209</v>
      </c>
      <c r="Y4" s="88"/>
      <c r="Z4" s="88" t="s">
        <v>210</v>
      </c>
      <c r="AA4" s="88"/>
      <c r="AB4" s="49" t="s">
        <v>211</v>
      </c>
      <c r="AC4" s="49" t="s">
        <v>212</v>
      </c>
    </row>
    <row r="5" customFormat="false" ht="27.75" hidden="false" customHeight="true" outlineLevel="0" collapsed="false">
      <c r="A5" s="49"/>
      <c r="B5" s="49"/>
      <c r="C5" s="49"/>
      <c r="D5" s="59" t="s">
        <v>213</v>
      </c>
      <c r="E5" s="89" t="s">
        <v>214</v>
      </c>
      <c r="F5" s="59" t="s">
        <v>213</v>
      </c>
      <c r="G5" s="89" t="s">
        <v>214</v>
      </c>
      <c r="H5" s="59" t="s">
        <v>213</v>
      </c>
      <c r="I5" s="89" t="s">
        <v>214</v>
      </c>
      <c r="J5" s="59" t="s">
        <v>213</v>
      </c>
      <c r="K5" s="89" t="s">
        <v>214</v>
      </c>
      <c r="L5" s="59" t="s">
        <v>213</v>
      </c>
      <c r="M5" s="89" t="s">
        <v>214</v>
      </c>
      <c r="N5" s="59" t="s">
        <v>213</v>
      </c>
      <c r="O5" s="89" t="s">
        <v>214</v>
      </c>
      <c r="P5" s="59" t="s">
        <v>213</v>
      </c>
      <c r="Q5" s="89" t="s">
        <v>214</v>
      </c>
      <c r="R5" s="59" t="s">
        <v>213</v>
      </c>
      <c r="S5" s="89" t="s">
        <v>214</v>
      </c>
      <c r="T5" s="59" t="s">
        <v>213</v>
      </c>
      <c r="U5" s="89" t="s">
        <v>214</v>
      </c>
      <c r="V5" s="59" t="s">
        <v>213</v>
      </c>
      <c r="W5" s="89" t="s">
        <v>214</v>
      </c>
      <c r="X5" s="59" t="s">
        <v>213</v>
      </c>
      <c r="Y5" s="89" t="s">
        <v>214</v>
      </c>
      <c r="Z5" s="59" t="s">
        <v>213</v>
      </c>
      <c r="AA5" s="89" t="s">
        <v>214</v>
      </c>
      <c r="AB5" s="49"/>
      <c r="AC5" s="49"/>
    </row>
    <row r="6" customFormat="false" ht="15" hidden="false" customHeight="true" outlineLevel="0" collapsed="false">
      <c r="A6" s="50" t="n">
        <v>123456</v>
      </c>
      <c r="B6" s="90" t="str">
        <f aca="false">IF(A6="","",IFERROR(INDEX(Personnel!$B$5:$B$19,MATCH($A6,Personnel!$A$5:$A$19,0)),"-- not found --"))</f>
        <v>John Smith</v>
      </c>
      <c r="C6" s="90" t="str">
        <f aca="false">IF(A6="","",IFERROR(INDEX(Personnel!$C$5:$C$19,MATCH($A6,Personnel!$A$5:$A$19,0)),""))</f>
        <v>Engineer 4</v>
      </c>
      <c r="D6" s="91"/>
      <c r="E6" s="92"/>
      <c r="F6" s="91"/>
      <c r="G6" s="92"/>
      <c r="H6" s="91"/>
      <c r="I6" s="92"/>
      <c r="J6" s="91"/>
      <c r="K6" s="92"/>
      <c r="L6" s="91"/>
      <c r="M6" s="92"/>
      <c r="N6" s="91"/>
      <c r="O6" s="92"/>
      <c r="P6" s="91"/>
      <c r="Q6" s="92"/>
      <c r="R6" s="91" t="n">
        <v>40</v>
      </c>
      <c r="S6" s="92"/>
      <c r="T6" s="91"/>
      <c r="U6" s="92"/>
      <c r="V6" s="91"/>
      <c r="W6" s="92"/>
      <c r="X6" s="91"/>
      <c r="Y6" s="92"/>
      <c r="Z6" s="91"/>
      <c r="AA6" s="92"/>
      <c r="AB6" s="93" t="n">
        <f aca="false">IF(A6="","",SUM(D6,F6,H6,J6,L6,N6,P6,R6,T6,V6,X6,Z6))</f>
        <v>40</v>
      </c>
      <c r="AC6" s="93" t="n">
        <f aca="false">IF(A6="","",SUM(E6,G6,I6,K6,M6,O6,Q6,S6,U6,W6,Y6,AA6))</f>
        <v>0</v>
      </c>
    </row>
    <row r="7" customFormat="false" ht="15" hidden="false" customHeight="true" outlineLevel="0" collapsed="false">
      <c r="A7" s="50" t="n">
        <v>123457</v>
      </c>
      <c r="B7" s="90" t="str">
        <f aca="false">IF(A7="","",IFERROR(INDEX(Personnel!$B$5:$B$19,MATCH($A7,Personnel!$A$5:$A$19,0)),"-- not found --"))</f>
        <v>Maria Alvarez</v>
      </c>
      <c r="C7" s="90" t="str">
        <f aca="false">IF(A7="","",IFERROR(INDEX(Personnel!$C$5:$C$19,MATCH($A7,Personnel!$A$5:$A$19,0)),""))</f>
        <v>Program Manager</v>
      </c>
      <c r="D7" s="91"/>
      <c r="E7" s="92"/>
      <c r="F7" s="91"/>
      <c r="G7" s="92"/>
      <c r="H7" s="91"/>
      <c r="I7" s="92" t="n">
        <v>16</v>
      </c>
      <c r="J7" s="91"/>
      <c r="K7" s="92"/>
      <c r="L7" s="91"/>
      <c r="M7" s="92"/>
      <c r="N7" s="91"/>
      <c r="O7" s="92"/>
      <c r="P7" s="91"/>
      <c r="Q7" s="92"/>
      <c r="R7" s="91"/>
      <c r="S7" s="92"/>
      <c r="T7" s="91"/>
      <c r="U7" s="92"/>
      <c r="V7" s="91"/>
      <c r="W7" s="92"/>
      <c r="X7" s="91"/>
      <c r="Y7" s="92"/>
      <c r="Z7" s="91"/>
      <c r="AA7" s="92"/>
      <c r="AB7" s="93" t="n">
        <f aca="false">IF(A7="","",SUM(D7,F7,H7,J7,L7,N7,P7,R7,T7,V7,X7,Z7))</f>
        <v>0</v>
      </c>
      <c r="AC7" s="93" t="n">
        <f aca="false">IF(A7="","",SUM(E7,G7,I7,K7,M7,O7,Q7,S7,U7,W7,Y7,AA7))</f>
        <v>16</v>
      </c>
    </row>
    <row r="8" customFormat="false" ht="15" hidden="false" customHeight="true" outlineLevel="0" collapsed="false">
      <c r="A8" s="50" t="n">
        <v>123458</v>
      </c>
      <c r="B8" s="90" t="str">
        <f aca="false">IF(A8="","",IFERROR(INDEX(Personnel!$B$5:$B$19,MATCH($A8,Personnel!$A$5:$A$19,0)),"-- not found --"))</f>
        <v>Dave Chen</v>
      </c>
      <c r="C8" s="90" t="str">
        <f aca="false">IF(A8="","",IFERROR(INDEX(Personnel!$C$5:$C$19,MATCH($A8,Personnel!$A$5:$A$19,0)),""))</f>
        <v>Admin Support</v>
      </c>
      <c r="D8" s="91"/>
      <c r="E8" s="92"/>
      <c r="F8" s="91"/>
      <c r="G8" s="92"/>
      <c r="H8" s="91"/>
      <c r="I8" s="92"/>
      <c r="J8" s="91"/>
      <c r="K8" s="92"/>
      <c r="L8" s="91"/>
      <c r="M8" s="92"/>
      <c r="N8" s="91"/>
      <c r="O8" s="92"/>
      <c r="P8" s="91"/>
      <c r="Q8" s="92"/>
      <c r="R8" s="91"/>
      <c r="S8" s="92"/>
      <c r="T8" s="91"/>
      <c r="U8" s="92"/>
      <c r="V8" s="91"/>
      <c r="W8" s="92"/>
      <c r="X8" s="91"/>
      <c r="Y8" s="92"/>
      <c r="Z8" s="91"/>
      <c r="AA8" s="92"/>
      <c r="AB8" s="93" t="n">
        <f aca="false">IF(A8="","",SUM(D8,F8,H8,J8,L8,N8,P8,R8,T8,V8,X8,Z8))</f>
        <v>0</v>
      </c>
      <c r="AC8" s="93" t="n">
        <f aca="false">IF(A8="","",SUM(E8,G8,I8,K8,M8,O8,Q8,S8,U8,W8,Y8,AA8))</f>
        <v>0</v>
      </c>
    </row>
    <row r="9" customFormat="false" ht="15" hidden="false" customHeight="true" outlineLevel="0" collapsed="false">
      <c r="A9" s="50"/>
      <c r="B9" s="90"/>
      <c r="C9" s="90"/>
      <c r="D9" s="91"/>
      <c r="E9" s="92"/>
      <c r="F9" s="91"/>
      <c r="G9" s="92"/>
      <c r="H9" s="91"/>
      <c r="I9" s="92"/>
      <c r="J9" s="91"/>
      <c r="K9" s="92"/>
      <c r="L9" s="91"/>
      <c r="M9" s="92"/>
      <c r="N9" s="91"/>
      <c r="O9" s="92"/>
      <c r="P9" s="91"/>
      <c r="Q9" s="92"/>
      <c r="R9" s="91"/>
      <c r="S9" s="92"/>
      <c r="T9" s="91"/>
      <c r="U9" s="92"/>
      <c r="V9" s="91"/>
      <c r="W9" s="92"/>
      <c r="X9" s="91"/>
      <c r="Y9" s="92"/>
      <c r="Z9" s="91"/>
      <c r="AA9" s="92"/>
      <c r="AB9" s="93" t="str">
        <f aca="false">IF(A9="","",SUM(D9,F9,H9,J9,L9,N9,P9,R9,T9,V9,X9,Z9))</f>
        <v/>
      </c>
      <c r="AC9" s="93" t="str">
        <f aca="false">IF(A9="","",SUM(E9,G9,I9,K9,M9,O9,Q9,S9,U9,W9,Y9,AA9))</f>
        <v/>
      </c>
    </row>
    <row r="10" customFormat="false" ht="15" hidden="false" customHeight="true" outlineLevel="0" collapsed="false">
      <c r="A10" s="50"/>
      <c r="B10" s="90"/>
      <c r="C10" s="90"/>
      <c r="D10" s="91"/>
      <c r="E10" s="92"/>
      <c r="F10" s="91"/>
      <c r="G10" s="92"/>
      <c r="H10" s="91"/>
      <c r="I10" s="92"/>
      <c r="J10" s="91"/>
      <c r="K10" s="92"/>
      <c r="L10" s="91"/>
      <c r="M10" s="92"/>
      <c r="N10" s="91"/>
      <c r="O10" s="92"/>
      <c r="P10" s="91"/>
      <c r="Q10" s="92"/>
      <c r="R10" s="91"/>
      <c r="S10" s="92"/>
      <c r="T10" s="91"/>
      <c r="U10" s="92"/>
      <c r="V10" s="91"/>
      <c r="W10" s="92"/>
      <c r="X10" s="91"/>
      <c r="Y10" s="92"/>
      <c r="Z10" s="91"/>
      <c r="AA10" s="92"/>
      <c r="AB10" s="93" t="str">
        <f aca="false">IF(A10="","",SUM(D10,F10,H10,J10,L10,N10,P10,R10,T10,V10,X10,Z10))</f>
        <v/>
      </c>
      <c r="AC10" s="93" t="str">
        <f aca="false">IF(A10="","",SUM(E10,G10,I10,K10,M10,O10,Q10,S10,U10,W10,Y10,AA10))</f>
        <v/>
      </c>
    </row>
    <row r="11" customFormat="false" ht="15" hidden="false" customHeight="true" outlineLevel="0" collapsed="false">
      <c r="A11" s="50"/>
      <c r="B11" s="90"/>
      <c r="C11" s="90"/>
      <c r="D11" s="91"/>
      <c r="E11" s="92"/>
      <c r="F11" s="91"/>
      <c r="G11" s="92"/>
      <c r="H11" s="91"/>
      <c r="I11" s="92"/>
      <c r="J11" s="91"/>
      <c r="K11" s="92"/>
      <c r="L11" s="91"/>
      <c r="M11" s="92"/>
      <c r="N11" s="91"/>
      <c r="O11" s="92"/>
      <c r="P11" s="91"/>
      <c r="Q11" s="92"/>
      <c r="R11" s="91"/>
      <c r="S11" s="92"/>
      <c r="T11" s="91"/>
      <c r="U11" s="92"/>
      <c r="V11" s="91"/>
      <c r="W11" s="92"/>
      <c r="X11" s="91"/>
      <c r="Y11" s="92"/>
      <c r="Z11" s="91"/>
      <c r="AA11" s="92"/>
      <c r="AB11" s="93" t="str">
        <f aca="false">IF(A11="","",SUM(D11,F11,H11,J11,L11,N11,P11,R11,T11,V11,X11,Z11))</f>
        <v/>
      </c>
      <c r="AC11" s="93" t="str">
        <f aca="false">IF(A11="","",SUM(E11,G11,I11,K11,M11,O11,Q11,S11,U11,W11,Y11,AA11))</f>
        <v/>
      </c>
    </row>
    <row r="12" customFormat="false" ht="15" hidden="false" customHeight="true" outlineLevel="0" collapsed="false">
      <c r="A12" s="50"/>
      <c r="B12" s="90"/>
      <c r="C12" s="90"/>
      <c r="D12" s="91"/>
      <c r="E12" s="92"/>
      <c r="F12" s="91"/>
      <c r="G12" s="92"/>
      <c r="H12" s="91"/>
      <c r="I12" s="92"/>
      <c r="J12" s="91"/>
      <c r="K12" s="92"/>
      <c r="L12" s="91"/>
      <c r="M12" s="92"/>
      <c r="N12" s="91"/>
      <c r="O12" s="92"/>
      <c r="P12" s="91"/>
      <c r="Q12" s="92"/>
      <c r="R12" s="91"/>
      <c r="S12" s="92"/>
      <c r="T12" s="91"/>
      <c r="U12" s="92"/>
      <c r="V12" s="91"/>
      <c r="W12" s="92"/>
      <c r="X12" s="91"/>
      <c r="Y12" s="92"/>
      <c r="Z12" s="91"/>
      <c r="AA12" s="92"/>
      <c r="AB12" s="93" t="str">
        <f aca="false">IF(A12="","",SUM(D12,F12,H12,J12,L12,N12,P12,R12,T12,V12,X12,Z12))</f>
        <v/>
      </c>
      <c r="AC12" s="93" t="str">
        <f aca="false">IF(A12="","",SUM(E12,G12,I12,K12,M12,O12,Q12,S12,U12,W12,Y12,AA12))</f>
        <v/>
      </c>
    </row>
    <row r="13" customFormat="false" ht="15" hidden="false" customHeight="true" outlineLevel="0" collapsed="false">
      <c r="A13" s="50"/>
      <c r="B13" s="90"/>
      <c r="C13" s="90"/>
      <c r="D13" s="91"/>
      <c r="E13" s="92"/>
      <c r="F13" s="91"/>
      <c r="G13" s="92"/>
      <c r="H13" s="91"/>
      <c r="I13" s="92"/>
      <c r="J13" s="91"/>
      <c r="K13" s="92"/>
      <c r="L13" s="91"/>
      <c r="M13" s="92"/>
      <c r="N13" s="91"/>
      <c r="O13" s="92"/>
      <c r="P13" s="91"/>
      <c r="Q13" s="92"/>
      <c r="R13" s="91"/>
      <c r="S13" s="92"/>
      <c r="T13" s="91"/>
      <c r="U13" s="92"/>
      <c r="V13" s="91"/>
      <c r="W13" s="92"/>
      <c r="X13" s="91"/>
      <c r="Y13" s="92"/>
      <c r="Z13" s="91"/>
      <c r="AA13" s="92"/>
      <c r="AB13" s="93" t="str">
        <f aca="false">IF(A13="","",SUM(D13,F13,H13,J13,L13,N13,P13,R13,T13,V13,X13,Z13))</f>
        <v/>
      </c>
      <c r="AC13" s="93" t="str">
        <f aca="false">IF(A13="","",SUM(E13,G13,I13,K13,M13,O13,Q13,S13,U13,W13,Y13,AA13))</f>
        <v/>
      </c>
    </row>
    <row r="14" customFormat="false" ht="15" hidden="false" customHeight="true" outlineLevel="0" collapsed="false">
      <c r="A14" s="50"/>
      <c r="B14" s="90"/>
      <c r="C14" s="90"/>
      <c r="D14" s="91"/>
      <c r="E14" s="92"/>
      <c r="F14" s="91"/>
      <c r="G14" s="92"/>
      <c r="H14" s="91"/>
      <c r="I14" s="92"/>
      <c r="J14" s="91"/>
      <c r="K14" s="92"/>
      <c r="L14" s="91"/>
      <c r="M14" s="92"/>
      <c r="N14" s="91"/>
      <c r="O14" s="92"/>
      <c r="P14" s="91"/>
      <c r="Q14" s="92"/>
      <c r="R14" s="91"/>
      <c r="S14" s="92"/>
      <c r="T14" s="91"/>
      <c r="U14" s="92"/>
      <c r="V14" s="91"/>
      <c r="W14" s="92"/>
      <c r="X14" s="91"/>
      <c r="Y14" s="92"/>
      <c r="Z14" s="91"/>
      <c r="AA14" s="92"/>
      <c r="AB14" s="93" t="str">
        <f aca="false">IF(A14="","",SUM(D14,F14,H14,J14,L14,N14,P14,R14,T14,V14,X14,Z14))</f>
        <v/>
      </c>
      <c r="AC14" s="93" t="str">
        <f aca="false">IF(A14="","",SUM(E14,G14,I14,K14,M14,O14,Q14,S14,U14,W14,Y14,AA14))</f>
        <v/>
      </c>
    </row>
    <row r="15" customFormat="false" ht="15" hidden="false" customHeight="true" outlineLevel="0" collapsed="false">
      <c r="A15" s="50"/>
      <c r="B15" s="90"/>
      <c r="C15" s="90"/>
      <c r="D15" s="91"/>
      <c r="E15" s="92"/>
      <c r="F15" s="91"/>
      <c r="G15" s="92"/>
      <c r="H15" s="91"/>
      <c r="I15" s="92"/>
      <c r="J15" s="91"/>
      <c r="K15" s="92"/>
      <c r="L15" s="91"/>
      <c r="M15" s="92"/>
      <c r="N15" s="91"/>
      <c r="O15" s="92"/>
      <c r="P15" s="91"/>
      <c r="Q15" s="92"/>
      <c r="R15" s="91"/>
      <c r="S15" s="92"/>
      <c r="T15" s="91"/>
      <c r="U15" s="92"/>
      <c r="V15" s="91"/>
      <c r="W15" s="92"/>
      <c r="X15" s="91"/>
      <c r="Y15" s="92"/>
      <c r="Z15" s="91"/>
      <c r="AA15" s="92"/>
      <c r="AB15" s="93" t="str">
        <f aca="false">IF(A15="","",SUM(D15,F15,H15,J15,L15,N15,P15,R15,T15,V15,X15,Z15))</f>
        <v/>
      </c>
      <c r="AC15" s="93" t="str">
        <f aca="false">IF(A15="","",SUM(E15,G15,I15,K15,M15,O15,Q15,S15,U15,W15,Y15,AA15))</f>
        <v/>
      </c>
    </row>
    <row r="16" customFormat="false" ht="15" hidden="false" customHeight="true" outlineLevel="0" collapsed="false">
      <c r="A16" s="50"/>
      <c r="B16" s="90"/>
      <c r="C16" s="90"/>
      <c r="D16" s="91"/>
      <c r="E16" s="92"/>
      <c r="F16" s="91"/>
      <c r="G16" s="92"/>
      <c r="H16" s="91"/>
      <c r="I16" s="92"/>
      <c r="J16" s="91"/>
      <c r="K16" s="92"/>
      <c r="L16" s="91"/>
      <c r="M16" s="92"/>
      <c r="N16" s="91"/>
      <c r="O16" s="92"/>
      <c r="P16" s="91"/>
      <c r="Q16" s="92"/>
      <c r="R16" s="91"/>
      <c r="S16" s="92"/>
      <c r="T16" s="91"/>
      <c r="U16" s="92"/>
      <c r="V16" s="91"/>
      <c r="W16" s="92"/>
      <c r="X16" s="91"/>
      <c r="Y16" s="92"/>
      <c r="Z16" s="91"/>
      <c r="AA16" s="92"/>
      <c r="AB16" s="93" t="str">
        <f aca="false">IF(A16="","",SUM(D16,F16,H16,J16,L16,N16,P16,R16,T16,V16,X16,Z16))</f>
        <v/>
      </c>
      <c r="AC16" s="93" t="str">
        <f aca="false">IF(A16="","",SUM(E16,G16,I16,K16,M16,O16,Q16,S16,U16,W16,Y16,AA16))</f>
        <v/>
      </c>
    </row>
    <row r="17" customFormat="false" ht="15" hidden="false" customHeight="true" outlineLevel="0" collapsed="false">
      <c r="A17" s="50"/>
      <c r="B17" s="90"/>
      <c r="C17" s="90"/>
      <c r="D17" s="91"/>
      <c r="E17" s="92"/>
      <c r="F17" s="91"/>
      <c r="G17" s="92"/>
      <c r="H17" s="91"/>
      <c r="I17" s="92"/>
      <c r="J17" s="91"/>
      <c r="K17" s="92"/>
      <c r="L17" s="91"/>
      <c r="M17" s="92"/>
      <c r="N17" s="91"/>
      <c r="O17" s="92"/>
      <c r="P17" s="91"/>
      <c r="Q17" s="92"/>
      <c r="R17" s="91"/>
      <c r="S17" s="92"/>
      <c r="T17" s="91"/>
      <c r="U17" s="92"/>
      <c r="V17" s="91"/>
      <c r="W17" s="92"/>
      <c r="X17" s="91"/>
      <c r="Y17" s="92"/>
      <c r="Z17" s="91"/>
      <c r="AA17" s="92"/>
      <c r="AB17" s="93" t="str">
        <f aca="false">IF(A17="","",SUM(D17,F17,H17,J17,L17,N17,P17,R17,T17,V17,X17,Z17))</f>
        <v/>
      </c>
      <c r="AC17" s="93" t="str">
        <f aca="false">IF(A17="","",SUM(E17,G17,I17,K17,M17,O17,Q17,S17,U17,W17,Y17,AA17))</f>
        <v/>
      </c>
    </row>
    <row r="18" customFormat="false" ht="15" hidden="false" customHeight="true" outlineLevel="0" collapsed="false">
      <c r="A18" s="50"/>
      <c r="B18" s="90"/>
      <c r="C18" s="90"/>
      <c r="D18" s="91"/>
      <c r="E18" s="92"/>
      <c r="F18" s="91"/>
      <c r="G18" s="92"/>
      <c r="H18" s="91"/>
      <c r="I18" s="92"/>
      <c r="J18" s="91"/>
      <c r="K18" s="92"/>
      <c r="L18" s="91"/>
      <c r="M18" s="92"/>
      <c r="N18" s="91"/>
      <c r="O18" s="92"/>
      <c r="P18" s="91"/>
      <c r="Q18" s="92"/>
      <c r="R18" s="91"/>
      <c r="S18" s="92"/>
      <c r="T18" s="91"/>
      <c r="U18" s="92"/>
      <c r="V18" s="91"/>
      <c r="W18" s="92"/>
      <c r="X18" s="91"/>
      <c r="Y18" s="92"/>
      <c r="Z18" s="91"/>
      <c r="AA18" s="92"/>
      <c r="AB18" s="93" t="str">
        <f aca="false">IF(A18="","",SUM(D18,F18,H18,J18,L18,N18,P18,R18,T18,V18,X18,Z18))</f>
        <v/>
      </c>
      <c r="AC18" s="93" t="str">
        <f aca="false">IF(A18="","",SUM(E18,G18,I18,K18,M18,O18,Q18,S18,U18,W18,Y18,AA18))</f>
        <v/>
      </c>
    </row>
    <row r="19" customFormat="false" ht="15" hidden="false" customHeight="true" outlineLevel="0" collapsed="false">
      <c r="A19" s="50"/>
      <c r="B19" s="90"/>
      <c r="C19" s="90"/>
      <c r="D19" s="91"/>
      <c r="E19" s="92"/>
      <c r="F19" s="91"/>
      <c r="G19" s="92"/>
      <c r="H19" s="91"/>
      <c r="I19" s="92"/>
      <c r="J19" s="91"/>
      <c r="K19" s="92"/>
      <c r="L19" s="91"/>
      <c r="M19" s="92"/>
      <c r="N19" s="91"/>
      <c r="O19" s="92"/>
      <c r="P19" s="91"/>
      <c r="Q19" s="92"/>
      <c r="R19" s="91"/>
      <c r="S19" s="92"/>
      <c r="T19" s="91"/>
      <c r="U19" s="92"/>
      <c r="V19" s="91"/>
      <c r="W19" s="92"/>
      <c r="X19" s="91"/>
      <c r="Y19" s="92"/>
      <c r="Z19" s="91"/>
      <c r="AA19" s="92"/>
      <c r="AB19" s="93" t="str">
        <f aca="false">IF(A19="","",SUM(D19,F19,H19,J19,L19,N19,P19,R19,T19,V19,X19,Z19))</f>
        <v/>
      </c>
      <c r="AC19" s="93" t="str">
        <f aca="false">IF(A19="","",SUM(E19,G19,I19,K19,M19,O19,Q19,S19,U19,W19,Y19,AA19))</f>
        <v/>
      </c>
    </row>
    <row r="20" customFormat="false" ht="15" hidden="false" customHeight="true" outlineLevel="0" collapsed="false">
      <c r="A20" s="50"/>
      <c r="B20" s="90"/>
      <c r="C20" s="90"/>
      <c r="D20" s="91"/>
      <c r="E20" s="92"/>
      <c r="F20" s="91"/>
      <c r="G20" s="92"/>
      <c r="H20" s="91"/>
      <c r="I20" s="92"/>
      <c r="J20" s="91"/>
      <c r="K20" s="92"/>
      <c r="L20" s="91"/>
      <c r="M20" s="92"/>
      <c r="N20" s="91"/>
      <c r="O20" s="92"/>
      <c r="P20" s="91"/>
      <c r="Q20" s="92"/>
      <c r="R20" s="91"/>
      <c r="S20" s="92"/>
      <c r="T20" s="91"/>
      <c r="U20" s="92"/>
      <c r="V20" s="91"/>
      <c r="W20" s="92"/>
      <c r="X20" s="91"/>
      <c r="Y20" s="92"/>
      <c r="Z20" s="91"/>
      <c r="AA20" s="92"/>
      <c r="AB20" s="93" t="str">
        <f aca="false">IF(A20="","",SUM(D20,F20,H20,J20,L20,N20,P20,R20,T20,V20,X20,Z20))</f>
        <v/>
      </c>
      <c r="AC20" s="93" t="str">
        <f aca="false">IF(A20="","",SUM(E20,G20,I20,K20,M20,O20,Q20,S20,U20,W20,Y20,AA20))</f>
        <v/>
      </c>
    </row>
    <row r="22" customFormat="false" ht="15" hidden="false" customHeight="false" outlineLevel="0" collapsed="false">
      <c r="A22" s="64" t="s">
        <v>119</v>
      </c>
    </row>
  </sheetData>
  <mergeCells count="18">
    <mergeCell ref="A3:AA3"/>
    <mergeCell ref="A4:A5"/>
    <mergeCell ref="B4:B5"/>
    <mergeCell ref="C4:C5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B5"/>
    <mergeCell ref="AC4:AC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B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22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0"/>
    <col collapsed="false" customWidth="true" hidden="false" outlineLevel="0" max="18" min="18" style="0" width="7"/>
    <col collapsed="false" customWidth="true" hidden="false" outlineLevel="0" max="19" min="19" style="0" width="10"/>
    <col collapsed="false" customWidth="true" hidden="false" outlineLevel="0" max="20" min="20" style="0" width="8"/>
    <col collapsed="false" customWidth="true" hidden="false" outlineLevel="0" max="21" min="21" style="0" width="10"/>
    <col collapsed="false" customWidth="true" hidden="false" outlineLevel="0" max="22" min="22" style="0" width="7"/>
    <col collapsed="false" customWidth="true" hidden="false" outlineLevel="0" max="23" min="23" style="0" width="10"/>
    <col collapsed="false" customWidth="true" hidden="false" outlineLevel="0" max="24" min="24" style="0" width="8"/>
    <col collapsed="false" customWidth="true" hidden="false" outlineLevel="0" max="25" min="25" style="0" width="10"/>
    <col collapsed="false" customWidth="true" hidden="false" outlineLevel="0" max="26" min="26" style="0" width="7"/>
    <col collapsed="false" customWidth="true" hidden="false" outlineLevel="0" max="27" min="27" style="0" width="10"/>
    <col collapsed="false" customWidth="true" hidden="false" outlineLevel="0" max="28" min="28" style="0" width="8"/>
    <col collapsed="false" customWidth="true" hidden="false" outlineLevel="0" max="29" min="29" style="0" width="10"/>
    <col collapsed="false" customWidth="true" hidden="false" outlineLevel="0" max="30" min="30" style="0" width="7"/>
    <col collapsed="false" customWidth="true" hidden="false" outlineLevel="0" max="31" min="31" style="0" width="1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7"/>
    <col collapsed="false" customWidth="true" hidden="false" outlineLevel="0" max="35" min="35" style="0" width="10"/>
    <col collapsed="false" customWidth="true" hidden="false" outlineLevel="0" max="36" min="36" style="0" width="8"/>
    <col collapsed="false" customWidth="true" hidden="false" outlineLevel="0" max="37" min="37" style="0" width="10"/>
    <col collapsed="false" customWidth="true" hidden="false" outlineLevel="0" max="38" min="38" style="0" width="7"/>
    <col collapsed="false" customWidth="true" hidden="false" outlineLevel="0" max="39" min="39" style="0" width="10"/>
    <col collapsed="false" customWidth="true" hidden="false" outlineLevel="0" max="40" min="40" style="0" width="8"/>
    <col collapsed="false" customWidth="true" hidden="false" outlineLevel="0" max="41" min="41" style="0" width="10"/>
    <col collapsed="false" customWidth="true" hidden="false" outlineLevel="0" max="42" min="42" style="0" width="7"/>
    <col collapsed="false" customWidth="true" hidden="false" outlineLevel="0" max="43" min="43" style="0" width="10"/>
    <col collapsed="false" customWidth="true" hidden="false" outlineLevel="0" max="44" min="44" style="0" width="8"/>
    <col collapsed="false" customWidth="true" hidden="false" outlineLevel="0" max="45" min="45" style="0" width="10"/>
    <col collapsed="false" customWidth="true" hidden="false" outlineLevel="0" max="46" min="46" style="0" width="7"/>
    <col collapsed="false" customWidth="true" hidden="false" outlineLevel="0" max="47" min="47" style="0" width="10"/>
    <col collapsed="false" customWidth="true" hidden="false" outlineLevel="0" max="48" min="48" style="0" width="8"/>
    <col collapsed="false" customWidth="true" hidden="false" outlineLevel="0" max="49" min="49" style="0" width="10"/>
    <col collapsed="false" customWidth="true" hidden="false" outlineLevel="0" max="50" min="50" style="0" width="7"/>
    <col collapsed="false" customWidth="true" hidden="false" outlineLevel="0" max="51" min="51" style="0" width="10"/>
    <col collapsed="false" customWidth="true" hidden="false" outlineLevel="0" max="52" min="52" style="0" width="8"/>
    <col collapsed="false" customWidth="true" hidden="false" outlineLevel="0" max="53" min="53" style="0" width="10"/>
    <col collapsed="false" customWidth="true" hidden="false" outlineLevel="0" max="54" min="54" style="0" width="7"/>
    <col collapsed="false" customWidth="true" hidden="false" outlineLevel="0" max="55" min="55" style="0" width="10"/>
    <col collapsed="false" customWidth="true" hidden="false" outlineLevel="0" max="56" min="56" style="0" width="11"/>
    <col collapsed="false" customWidth="true" hidden="false" outlineLevel="0" max="57" min="57" style="0" width="12"/>
    <col collapsed="false" customWidth="true" hidden="false" outlineLevel="0" max="58" min="58" style="0" width="13"/>
    <col collapsed="false" customWidth="true" hidden="false" outlineLevel="0" max="59" min="59" style="0" width="14"/>
  </cols>
  <sheetData>
    <row r="1" customFormat="false" ht="21.75" hidden="false" customHeight="true" outlineLevel="0" collapsed="false">
      <c r="B1" s="45" t="s">
        <v>114</v>
      </c>
      <c r="BG1" s="46" t="s">
        <v>67</v>
      </c>
    </row>
    <row r="3" customFormat="false" ht="15" hidden="false" customHeight="true" outlineLevel="0" collapsed="false">
      <c r="A3" s="64" t="s">
        <v>215</v>
      </c>
    </row>
    <row r="4" customFormat="false" ht="25.5" hidden="false" customHeight="true" outlineLevel="0" collapsed="false">
      <c r="A4" s="49" t="s">
        <v>177</v>
      </c>
      <c r="B4" s="49" t="s">
        <v>198</v>
      </c>
      <c r="C4" s="49" t="s">
        <v>179</v>
      </c>
      <c r="D4" s="49" t="s">
        <v>216</v>
      </c>
      <c r="E4" s="49" t="s">
        <v>217</v>
      </c>
      <c r="F4" s="49" t="s">
        <v>218</v>
      </c>
      <c r="G4" s="49" t="s">
        <v>219</v>
      </c>
      <c r="H4" s="88" t="s">
        <v>199</v>
      </c>
      <c r="I4" s="88"/>
      <c r="J4" s="88"/>
      <c r="K4" s="88"/>
      <c r="L4" s="88" t="s">
        <v>200</v>
      </c>
      <c r="M4" s="88"/>
      <c r="N4" s="88"/>
      <c r="O4" s="88"/>
      <c r="P4" s="88" t="s">
        <v>201</v>
      </c>
      <c r="Q4" s="88"/>
      <c r="R4" s="88"/>
      <c r="S4" s="88"/>
      <c r="T4" s="88" t="s">
        <v>202</v>
      </c>
      <c r="U4" s="88"/>
      <c r="V4" s="88"/>
      <c r="W4" s="88"/>
      <c r="X4" s="88" t="s">
        <v>203</v>
      </c>
      <c r="Y4" s="88"/>
      <c r="Z4" s="88"/>
      <c r="AA4" s="88"/>
      <c r="AB4" s="88" t="s">
        <v>204</v>
      </c>
      <c r="AC4" s="88"/>
      <c r="AD4" s="88"/>
      <c r="AE4" s="88"/>
      <c r="AF4" s="88" t="s">
        <v>205</v>
      </c>
      <c r="AG4" s="88"/>
      <c r="AH4" s="88"/>
      <c r="AI4" s="88"/>
      <c r="AJ4" s="88" t="s">
        <v>206</v>
      </c>
      <c r="AK4" s="88"/>
      <c r="AL4" s="88"/>
      <c r="AM4" s="88"/>
      <c r="AN4" s="88" t="s">
        <v>207</v>
      </c>
      <c r="AO4" s="88"/>
      <c r="AP4" s="88"/>
      <c r="AQ4" s="88"/>
      <c r="AR4" s="88" t="s">
        <v>208</v>
      </c>
      <c r="AS4" s="88"/>
      <c r="AT4" s="88"/>
      <c r="AU4" s="88"/>
      <c r="AV4" s="88" t="s">
        <v>209</v>
      </c>
      <c r="AW4" s="88"/>
      <c r="AX4" s="88"/>
      <c r="AY4" s="88"/>
      <c r="AZ4" s="88" t="s">
        <v>210</v>
      </c>
      <c r="BA4" s="88"/>
      <c r="BB4" s="88"/>
      <c r="BC4" s="88"/>
      <c r="BD4" s="49" t="s">
        <v>220</v>
      </c>
      <c r="BE4" s="49" t="s">
        <v>221</v>
      </c>
      <c r="BF4" s="49" t="s">
        <v>222</v>
      </c>
      <c r="BG4" s="49" t="s">
        <v>223</v>
      </c>
    </row>
    <row r="5" customFormat="false" ht="30" hidden="false" customHeight="true" outlineLevel="0" collapsed="false">
      <c r="A5" s="49"/>
      <c r="B5" s="49"/>
      <c r="C5" s="49"/>
      <c r="D5" s="49"/>
      <c r="E5" s="49"/>
      <c r="F5" s="49"/>
      <c r="G5" s="49"/>
      <c r="H5" s="59" t="s">
        <v>224</v>
      </c>
      <c r="I5" s="59" t="s">
        <v>225</v>
      </c>
      <c r="J5" s="59" t="s">
        <v>226</v>
      </c>
      <c r="K5" s="89" t="s">
        <v>227</v>
      </c>
      <c r="L5" s="59" t="s">
        <v>224</v>
      </c>
      <c r="M5" s="59" t="s">
        <v>225</v>
      </c>
      <c r="N5" s="59" t="s">
        <v>226</v>
      </c>
      <c r="O5" s="89" t="s">
        <v>227</v>
      </c>
      <c r="P5" s="59" t="s">
        <v>224</v>
      </c>
      <c r="Q5" s="59" t="s">
        <v>225</v>
      </c>
      <c r="R5" s="59" t="s">
        <v>226</v>
      </c>
      <c r="S5" s="89" t="s">
        <v>227</v>
      </c>
      <c r="T5" s="59" t="s">
        <v>224</v>
      </c>
      <c r="U5" s="59" t="s">
        <v>225</v>
      </c>
      <c r="V5" s="59" t="s">
        <v>226</v>
      </c>
      <c r="W5" s="89" t="s">
        <v>227</v>
      </c>
      <c r="X5" s="59" t="s">
        <v>224</v>
      </c>
      <c r="Y5" s="59" t="s">
        <v>225</v>
      </c>
      <c r="Z5" s="59" t="s">
        <v>226</v>
      </c>
      <c r="AA5" s="89" t="s">
        <v>227</v>
      </c>
      <c r="AB5" s="59" t="s">
        <v>224</v>
      </c>
      <c r="AC5" s="59" t="s">
        <v>225</v>
      </c>
      <c r="AD5" s="59" t="s">
        <v>226</v>
      </c>
      <c r="AE5" s="89" t="s">
        <v>227</v>
      </c>
      <c r="AF5" s="59" t="s">
        <v>224</v>
      </c>
      <c r="AG5" s="59" t="s">
        <v>225</v>
      </c>
      <c r="AH5" s="59" t="s">
        <v>226</v>
      </c>
      <c r="AI5" s="89" t="s">
        <v>227</v>
      </c>
      <c r="AJ5" s="59" t="s">
        <v>224</v>
      </c>
      <c r="AK5" s="59" t="s">
        <v>225</v>
      </c>
      <c r="AL5" s="59" t="s">
        <v>226</v>
      </c>
      <c r="AM5" s="89" t="s">
        <v>227</v>
      </c>
      <c r="AN5" s="59" t="s">
        <v>224</v>
      </c>
      <c r="AO5" s="59" t="s">
        <v>225</v>
      </c>
      <c r="AP5" s="59" t="s">
        <v>226</v>
      </c>
      <c r="AQ5" s="89" t="s">
        <v>227</v>
      </c>
      <c r="AR5" s="59" t="s">
        <v>224</v>
      </c>
      <c r="AS5" s="59" t="s">
        <v>225</v>
      </c>
      <c r="AT5" s="59" t="s">
        <v>226</v>
      </c>
      <c r="AU5" s="89" t="s">
        <v>227</v>
      </c>
      <c r="AV5" s="59" t="s">
        <v>224</v>
      </c>
      <c r="AW5" s="59" t="s">
        <v>225</v>
      </c>
      <c r="AX5" s="59" t="s">
        <v>226</v>
      </c>
      <c r="AY5" s="89" t="s">
        <v>227</v>
      </c>
      <c r="AZ5" s="59" t="s">
        <v>224</v>
      </c>
      <c r="BA5" s="59" t="s">
        <v>225</v>
      </c>
      <c r="BB5" s="59" t="s">
        <v>226</v>
      </c>
      <c r="BC5" s="89" t="s">
        <v>227</v>
      </c>
      <c r="BD5" s="49"/>
      <c r="BE5" s="49"/>
      <c r="BF5" s="49"/>
      <c r="BG5" s="49"/>
    </row>
    <row r="6" customFormat="false" ht="15" hidden="false" customHeight="true" outlineLevel="0" collapsed="false">
      <c r="A6" s="50" t="n">
        <v>123456</v>
      </c>
      <c r="B6" s="90" t="str">
        <f aca="false">IF(A6="","",IFERROR(INDEX(Personnel!$B$5:$B$19,MATCH($A6,Personnel!$A$5:$A$19,0)),"-- not found --"))</f>
        <v>John Smith</v>
      </c>
      <c r="C6" s="90" t="str">
        <f aca="false">IF(A6="","",IFERROR(INDEX(Personnel!$C$5:$C$19,MATCH($A6,Personnel!$A$5:$A$19,0)),""))</f>
        <v>Engineer 4</v>
      </c>
      <c r="D6" s="94" t="n">
        <f aca="false">IF(A6="","",IFERROR(INDEX(Personnel!$H$5:$H$19,MATCH($A6,Personnel!$A$5:$A$19,0)),""))</f>
        <v>72.1153846153846</v>
      </c>
      <c r="E6" s="50" t="s">
        <v>228</v>
      </c>
      <c r="F6" s="90" t="str">
        <f aca="false">IF(A6="","",IFERROR(INDEX(Personnel!$D$5:$D$19,MATCH($A6,Personnel!$A$5:$A$19,0)),""))</f>
        <v>Exempt</v>
      </c>
      <c r="G6" s="50" t="s">
        <v>129</v>
      </c>
      <c r="H6" s="95" t="n">
        <f aca="false"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>0</v>
      </c>
      <c r="I6" s="96"/>
      <c r="J6" s="96"/>
      <c r="K6" s="97" t="n">
        <f aca="false">IF(A6="","",I6*$D6+IF(OR($F6="Exempt",$E6="Sub"),0,J6*$D6*1.5))</f>
        <v>0</v>
      </c>
      <c r="L6" s="95" t="n">
        <f aca="false"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>0</v>
      </c>
      <c r="M6" s="96"/>
      <c r="N6" s="96"/>
      <c r="O6" s="97" t="n">
        <f aca="false">IF(A6="","",M6*$D6+IF(OR($F6="Exempt",$E6="Sub"),0,N6*$D6*1.5))</f>
        <v>0</v>
      </c>
      <c r="P6" s="95" t="n">
        <f aca="false"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>0</v>
      </c>
      <c r="Q6" s="96"/>
      <c r="R6" s="96"/>
      <c r="S6" s="97" t="n">
        <f aca="false">IF(A6="","",Q6*$D6+IF(OR($F6="Exempt",$E6="Sub"),0,R6*$D6*1.5))</f>
        <v>0</v>
      </c>
      <c r="T6" s="98" t="n">
        <f aca="false"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>0</v>
      </c>
      <c r="U6" s="99"/>
      <c r="V6" s="99"/>
      <c r="W6" s="100" t="n">
        <f aca="false">IF(A6="","",U6*$D6+IF(OR($F6="Exempt",$E6="Sub"),0,V6*$D6*1.5))</f>
        <v>0</v>
      </c>
      <c r="X6" s="98" t="n">
        <f aca="false"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>0</v>
      </c>
      <c r="Y6" s="99"/>
      <c r="Z6" s="99"/>
      <c r="AA6" s="100" t="n">
        <f aca="false">IF(A6="","",Y6*$D6+IF(OR($F6="Exempt",$E6="Sub"),0,Z6*$D6*1.5))</f>
        <v>0</v>
      </c>
      <c r="AB6" s="98" t="n">
        <f aca="false"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>0</v>
      </c>
      <c r="AC6" s="99"/>
      <c r="AD6" s="99"/>
      <c r="AE6" s="100" t="n">
        <f aca="false">IF(A6="","",AC6*$D6+IF(OR($F6="Exempt",$E6="Sub"),0,AD6*$D6*1.5))</f>
        <v>0</v>
      </c>
      <c r="AF6" s="101" t="n">
        <f aca="false"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>123.010752688172</v>
      </c>
      <c r="AG6" s="102" t="n">
        <v>60</v>
      </c>
      <c r="AH6" s="102"/>
      <c r="AI6" s="103" t="n">
        <f aca="false">IF(A6="","",AG6*$D6+IF(OR($F6="Exempt",$E6="Sub"),0,AH6*$D6*1.5))</f>
        <v>4326.92307692308</v>
      </c>
      <c r="AJ6" s="101" t="n">
        <f aca="false"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>173.333333333333</v>
      </c>
      <c r="AK6" s="102"/>
      <c r="AL6" s="102"/>
      <c r="AM6" s="103" t="n">
        <f aca="false">IF(A6="","",AK6*$D6+IF(OR($F6="Exempt",$E6="Sub"),0,AL6*$D6*1.5))</f>
        <v>0</v>
      </c>
      <c r="AN6" s="101" t="n">
        <f aca="false"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>173.333333333333</v>
      </c>
      <c r="AO6" s="102"/>
      <c r="AP6" s="102"/>
      <c r="AQ6" s="103" t="n">
        <f aca="false">IF(A6="","",AO6*$D6+IF(OR($F6="Exempt",$E6="Sub"),0,AP6*$D6*1.5))</f>
        <v>0</v>
      </c>
      <c r="AR6" s="104" t="n">
        <f aca="false"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>173.333333333333</v>
      </c>
      <c r="AS6" s="105"/>
      <c r="AT6" s="105"/>
      <c r="AU6" s="106" t="n">
        <f aca="false">IF(A6="","",AS6*$D6+IF(OR($F6="Exempt",$E6="Sub"),0,AT6*$D6*1.5))</f>
        <v>0</v>
      </c>
      <c r="AV6" s="104" t="n">
        <f aca="false"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>173.333333333333</v>
      </c>
      <c r="AW6" s="105"/>
      <c r="AX6" s="105"/>
      <c r="AY6" s="106" t="n">
        <f aca="false">IF(A6="","",AW6*$D6+IF(OR($F6="Exempt",$E6="Sub"),0,AX6*$D6*1.5))</f>
        <v>0</v>
      </c>
      <c r="AZ6" s="104" t="n">
        <f aca="false"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>173.333333333333</v>
      </c>
      <c r="BA6" s="105"/>
      <c r="BB6" s="105"/>
      <c r="BC6" s="106" t="n">
        <f aca="false">IF(A6="","",BA6*$D6+IF(OR($F6="Exempt",$E6="Sub"),0,BB6*$D6*1.5))</f>
        <v>0</v>
      </c>
      <c r="BD6" s="93" t="n">
        <f aca="false">IF(A6="","",SUM(H6,L6,P6,T6,X6,AB6,AF6,AJ6,AN6,AR6,AV6,AZ6))</f>
        <v>989.677419354839</v>
      </c>
      <c r="BE6" s="93" t="n">
        <f aca="false">IF(A6="","",SUM(I6,J6,M6,N6,Q6,R6,U6,V6,Y6,Z6,AC6,AD6,AG6,AH6,AK6,AL6,AO6,AP6,AS6,AT6,AW6,AX6,BA6,BB6))</f>
        <v>60</v>
      </c>
      <c r="BF6" s="107" t="n">
        <f aca="false">IF(A6="","",BD6*$D6)</f>
        <v>71370.9677419355</v>
      </c>
      <c r="BG6" s="107" t="n">
        <f aca="false">IF(A6="","",SUM(K6,O6,S6,W6,AA6,AE6,AI6,AM6,AQ6,AU6,AY6,BC6))</f>
        <v>4326.92307692308</v>
      </c>
    </row>
    <row r="7" customFormat="false" ht="15" hidden="false" customHeight="true" outlineLevel="0" collapsed="false">
      <c r="A7" s="50" t="n">
        <v>123456</v>
      </c>
      <c r="B7" s="90" t="str">
        <f aca="false">IF(A7="","",IFERROR(INDEX(Personnel!$B$5:$B$19,MATCH($A7,Personnel!$A$5:$A$19,0)),"-- not found --"))</f>
        <v>John Smith</v>
      </c>
      <c r="C7" s="90" t="str">
        <f aca="false">IF(A7="","",IFERROR(INDEX(Personnel!$C$5:$C$19,MATCH($A7,Personnel!$A$5:$A$19,0)),""))</f>
        <v>Engineer 4</v>
      </c>
      <c r="D7" s="94" t="n">
        <f aca="false">IF(A7="","",IFERROR(INDEX(Personnel!$H$5:$H$19,MATCH($A7,Personnel!$A$5:$A$19,0)),""))</f>
        <v>72.1153846153846</v>
      </c>
      <c r="E7" s="50" t="s">
        <v>228</v>
      </c>
      <c r="F7" s="90" t="str">
        <f aca="false">IF(A7="","",IFERROR(INDEX(Personnel!$D$5:$D$19,MATCH($A7,Personnel!$A$5:$A$19,0)),""))</f>
        <v>Exempt</v>
      </c>
      <c r="G7" s="50" t="s">
        <v>131</v>
      </c>
      <c r="H7" s="95" t="n">
        <f aca="false"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>0</v>
      </c>
      <c r="I7" s="96"/>
      <c r="J7" s="96"/>
      <c r="K7" s="97" t="n">
        <f aca="false">IF(A7="","",I7*$D7+IF(OR($F7="Exempt",$E7="Sub"),0,J7*$D7*1.5))</f>
        <v>0</v>
      </c>
      <c r="L7" s="95" t="n">
        <f aca="false"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>0</v>
      </c>
      <c r="M7" s="96"/>
      <c r="N7" s="96"/>
      <c r="O7" s="97" t="n">
        <f aca="false">IF(A7="","",M7*$D7+IF(OR($F7="Exempt",$E7="Sub"),0,N7*$D7*1.5))</f>
        <v>0</v>
      </c>
      <c r="P7" s="95" t="n">
        <f aca="false"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>0</v>
      </c>
      <c r="Q7" s="96"/>
      <c r="R7" s="96"/>
      <c r="S7" s="97" t="n">
        <f aca="false">IF(A7="","",Q7*$D7+IF(OR($F7="Exempt",$E7="Sub"),0,R7*$D7*1.5))</f>
        <v>0</v>
      </c>
      <c r="T7" s="98" t="n">
        <f aca="false"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>0</v>
      </c>
      <c r="U7" s="99"/>
      <c r="V7" s="99"/>
      <c r="W7" s="100" t="n">
        <f aca="false">IF(A7="","",U7*$D7+IF(OR($F7="Exempt",$E7="Sub"),0,V7*$D7*1.5))</f>
        <v>0</v>
      </c>
      <c r="X7" s="98" t="n">
        <f aca="false"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>0</v>
      </c>
      <c r="Y7" s="99"/>
      <c r="Z7" s="99"/>
      <c r="AA7" s="100" t="n">
        <f aca="false">IF(A7="","",Y7*$D7+IF(OR($F7="Exempt",$E7="Sub"),0,Z7*$D7*1.5))</f>
        <v>0</v>
      </c>
      <c r="AB7" s="98" t="n">
        <f aca="false"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>0</v>
      </c>
      <c r="AC7" s="99"/>
      <c r="AD7" s="99"/>
      <c r="AE7" s="100" t="n">
        <f aca="false">IF(A7="","",AC7*$D7+IF(OR($F7="Exempt",$E7="Sub"),0,AD7*$D7*1.5))</f>
        <v>0</v>
      </c>
      <c r="AF7" s="101" t="n">
        <f aca="false"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>123.010752688172</v>
      </c>
      <c r="AG7" s="102"/>
      <c r="AH7" s="102"/>
      <c r="AI7" s="103" t="n">
        <f aca="false">IF(A7="","",AG7*$D7+IF(OR($F7="Exempt",$E7="Sub"),0,AH7*$D7*1.5))</f>
        <v>0</v>
      </c>
      <c r="AJ7" s="101" t="n">
        <f aca="false"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>173.333333333333</v>
      </c>
      <c r="AK7" s="102" t="n">
        <v>173.33</v>
      </c>
      <c r="AL7" s="102"/>
      <c r="AM7" s="103" t="n">
        <f aca="false">IF(A7="","",AK7*$D7+IF(OR($F7="Exempt",$E7="Sub"),0,AL7*$D7*1.5))</f>
        <v>12499.7596153846</v>
      </c>
      <c r="AN7" s="101" t="n">
        <f aca="false"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>173.333333333333</v>
      </c>
      <c r="AO7" s="102"/>
      <c r="AP7" s="102"/>
      <c r="AQ7" s="103" t="n">
        <f aca="false">IF(A7="","",AO7*$D7+IF(OR($F7="Exempt",$E7="Sub"),0,AP7*$D7*1.5))</f>
        <v>0</v>
      </c>
      <c r="AR7" s="104" t="n">
        <f aca="false"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>173.333333333333</v>
      </c>
      <c r="AS7" s="105"/>
      <c r="AT7" s="105"/>
      <c r="AU7" s="106" t="n">
        <f aca="false">IF(A7="","",AS7*$D7+IF(OR($F7="Exempt",$E7="Sub"),0,AT7*$D7*1.5))</f>
        <v>0</v>
      </c>
      <c r="AV7" s="104" t="n">
        <f aca="false"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>173.333333333333</v>
      </c>
      <c r="AW7" s="105"/>
      <c r="AX7" s="105"/>
      <c r="AY7" s="106" t="n">
        <f aca="false">IF(A7="","",AW7*$D7+IF(OR($F7="Exempt",$E7="Sub"),0,AX7*$D7*1.5))</f>
        <v>0</v>
      </c>
      <c r="AZ7" s="104" t="n">
        <f aca="false"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>173.333333333333</v>
      </c>
      <c r="BA7" s="105"/>
      <c r="BB7" s="105"/>
      <c r="BC7" s="106" t="n">
        <f aca="false">IF(A7="","",BA7*$D7+IF(OR($F7="Exempt",$E7="Sub"),0,BB7*$D7*1.5))</f>
        <v>0</v>
      </c>
      <c r="BD7" s="93" t="n">
        <f aca="false">IF(A7="","",SUM(H7,L7,P7,T7,X7,AB7,AF7,AJ7,AN7,AR7,AV7,AZ7))</f>
        <v>989.677419354839</v>
      </c>
      <c r="BE7" s="93" t="n">
        <f aca="false">IF(A7="","",SUM(I7,J7,M7,N7,Q7,R7,U7,V7,Y7,Z7,AC7,AD7,AG7,AH7,AK7,AL7,AO7,AP7,AS7,AT7,AW7,AX7,BA7,BB7))</f>
        <v>173.33</v>
      </c>
      <c r="BF7" s="107" t="n">
        <f aca="false">IF(A7="","",BD7*$D7)</f>
        <v>71370.9677419355</v>
      </c>
      <c r="BG7" s="107" t="n">
        <f aca="false">IF(A7="","",SUM(K7,O7,S7,W7,AA7,AE7,AI7,AM7,AQ7,AU7,AY7,BC7))</f>
        <v>12499.7596153846</v>
      </c>
    </row>
    <row r="8" customFormat="false" ht="15" hidden="false" customHeight="true" outlineLevel="0" collapsed="false">
      <c r="A8" s="50" t="n">
        <v>123457</v>
      </c>
      <c r="B8" s="90" t="str">
        <f aca="false">IF(A8="","",IFERROR(INDEX(Personnel!$B$5:$B$19,MATCH($A8,Personnel!$A$5:$A$19,0)),"-- not found --"))</f>
        <v>Maria Alvarez</v>
      </c>
      <c r="C8" s="90" t="str">
        <f aca="false">IF(A8="","",IFERROR(INDEX(Personnel!$C$5:$C$19,MATCH($A8,Personnel!$A$5:$A$19,0)),""))</f>
        <v>Program Manager</v>
      </c>
      <c r="D8" s="94" t="n">
        <f aca="false">IF(A8="","",IFERROR(INDEX(Personnel!$H$5:$H$19,MATCH($A8,Personnel!$A$5:$A$19,0)),""))</f>
        <v>79.3269230769231</v>
      </c>
      <c r="E8" s="50" t="s">
        <v>228</v>
      </c>
      <c r="F8" s="90" t="str">
        <f aca="false">IF(A8="","",IFERROR(INDEX(Personnel!$D$5:$D$19,MATCH($A8,Personnel!$A$5:$A$19,0)),""))</f>
        <v>Exempt</v>
      </c>
      <c r="G8" s="50" t="s">
        <v>133</v>
      </c>
      <c r="H8" s="95" t="n">
        <f aca="false"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>173.333333333333</v>
      </c>
      <c r="I8" s="96" t="n">
        <v>173.33</v>
      </c>
      <c r="J8" s="96"/>
      <c r="K8" s="97" t="n">
        <f aca="false">IF(A8="","",I8*$D8+IF(OR($F8="Exempt",$E8="Sub"),0,J8*$D8*1.5))</f>
        <v>13749.7355769231</v>
      </c>
      <c r="L8" s="95" t="n">
        <f aca="false"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>173.333333333333</v>
      </c>
      <c r="M8" s="96"/>
      <c r="N8" s="96"/>
      <c r="O8" s="97" t="n">
        <f aca="false">IF(A8="","",M8*$D8+IF(OR($F8="Exempt",$E8="Sub"),0,N8*$D8*1.5))</f>
        <v>0</v>
      </c>
      <c r="P8" s="95" t="n">
        <f aca="false"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>173.333333333333</v>
      </c>
      <c r="Q8" s="96"/>
      <c r="R8" s="96"/>
      <c r="S8" s="97" t="n">
        <f aca="false">IF(A8="","",Q8*$D8+IF(OR($F8="Exempt",$E8="Sub"),0,R8*$D8*1.5))</f>
        <v>0</v>
      </c>
      <c r="T8" s="98" t="n">
        <f aca="false"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>173.333333333333</v>
      </c>
      <c r="U8" s="99"/>
      <c r="V8" s="99"/>
      <c r="W8" s="100" t="n">
        <f aca="false">IF(A8="","",U8*$D8+IF(OR($F8="Exempt",$E8="Sub"),0,V8*$D8*1.5))</f>
        <v>0</v>
      </c>
      <c r="X8" s="98" t="n">
        <f aca="false"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>173.333333333333</v>
      </c>
      <c r="Y8" s="99"/>
      <c r="Z8" s="99"/>
      <c r="AA8" s="100" t="n">
        <f aca="false">IF(A8="","",Y8*$D8+IF(OR($F8="Exempt",$E8="Sub"),0,Z8*$D8*1.5))</f>
        <v>0</v>
      </c>
      <c r="AB8" s="98" t="n">
        <f aca="false"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>173.333333333333</v>
      </c>
      <c r="AC8" s="99"/>
      <c r="AD8" s="99"/>
      <c r="AE8" s="100" t="n">
        <f aca="false">IF(A8="","",AC8*$D8+IF(OR($F8="Exempt",$E8="Sub"),0,AD8*$D8*1.5))</f>
        <v>0</v>
      </c>
      <c r="AF8" s="101" t="n">
        <f aca="false"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>173.333333333333</v>
      </c>
      <c r="AG8" s="102"/>
      <c r="AH8" s="102"/>
      <c r="AI8" s="103" t="n">
        <f aca="false">IF(A8="","",AG8*$D8+IF(OR($F8="Exempt",$E8="Sub"),0,AH8*$D8*1.5))</f>
        <v>0</v>
      </c>
      <c r="AJ8" s="101" t="n">
        <f aca="false"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>173.333333333333</v>
      </c>
      <c r="AK8" s="102"/>
      <c r="AL8" s="102"/>
      <c r="AM8" s="103" t="n">
        <f aca="false">IF(A8="","",AK8*$D8+IF(OR($F8="Exempt",$E8="Sub"),0,AL8*$D8*1.5))</f>
        <v>0</v>
      </c>
      <c r="AN8" s="101" t="n">
        <f aca="false"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>173.333333333333</v>
      </c>
      <c r="AO8" s="102"/>
      <c r="AP8" s="102"/>
      <c r="AQ8" s="103" t="n">
        <f aca="false">IF(A8="","",AO8*$D8+IF(OR($F8="Exempt",$E8="Sub"),0,AP8*$D8*1.5))</f>
        <v>0</v>
      </c>
      <c r="AR8" s="104" t="n">
        <f aca="false"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>173.333333333333</v>
      </c>
      <c r="AS8" s="105"/>
      <c r="AT8" s="105"/>
      <c r="AU8" s="106" t="n">
        <f aca="false">IF(A8="","",AS8*$D8+IF(OR($F8="Exempt",$E8="Sub"),0,AT8*$D8*1.5))</f>
        <v>0</v>
      </c>
      <c r="AV8" s="104" t="n">
        <f aca="false"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>173.333333333333</v>
      </c>
      <c r="AW8" s="105"/>
      <c r="AX8" s="105"/>
      <c r="AY8" s="106" t="n">
        <f aca="false">IF(A8="","",AW8*$D8+IF(OR($F8="Exempt",$E8="Sub"),0,AX8*$D8*1.5))</f>
        <v>0</v>
      </c>
      <c r="AZ8" s="104" t="n">
        <f aca="false"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>173.333333333333</v>
      </c>
      <c r="BA8" s="105"/>
      <c r="BB8" s="105"/>
      <c r="BC8" s="106" t="n">
        <f aca="false">IF(A8="","",BA8*$D8+IF(OR($F8="Exempt",$E8="Sub"),0,BB8*$D8*1.5))</f>
        <v>0</v>
      </c>
      <c r="BD8" s="93" t="n">
        <f aca="false">IF(A8="","",SUM(H8,L8,P8,T8,X8,AB8,AF8,AJ8,AN8,AR8,AV8,AZ8))</f>
        <v>2080</v>
      </c>
      <c r="BE8" s="93" t="n">
        <f aca="false">IF(A8="","",SUM(I8,J8,M8,N8,Q8,R8,U8,V8,Y8,Z8,AC8,AD8,AG8,AH8,AK8,AL8,AO8,AP8,AS8,AT8,AW8,AX8,BA8,BB8))</f>
        <v>173.33</v>
      </c>
      <c r="BF8" s="107" t="n">
        <f aca="false">IF(A8="","",BD8*$D8)</f>
        <v>165000</v>
      </c>
      <c r="BG8" s="107" t="n">
        <f aca="false">IF(A8="","",SUM(K8,O8,S8,W8,AA8,AE8,AI8,AM8,AQ8,AU8,AY8,BC8))</f>
        <v>13749.7355769231</v>
      </c>
    </row>
    <row r="9" customFormat="false" ht="15" hidden="false" customHeight="true" outlineLevel="0" collapsed="false">
      <c r="A9" s="50" t="n">
        <v>123458</v>
      </c>
      <c r="B9" s="90" t="str">
        <f aca="false">IF(A9="","",IFERROR(INDEX(Personnel!$B$5:$B$19,MATCH($A9,Personnel!$A$5:$A$19,0)),"-- not found --"))</f>
        <v>Dave Chen</v>
      </c>
      <c r="C9" s="90" t="str">
        <f aca="false">IF(A9="","",IFERROR(INDEX(Personnel!$C$5:$C$19,MATCH($A9,Personnel!$A$5:$A$19,0)),""))</f>
        <v>Admin Support</v>
      </c>
      <c r="D9" s="94" t="n">
        <f aca="false">IF(A9="","",IFERROR(INDEX(Personnel!$H$5:$H$19,MATCH($A9,Personnel!$A$5:$A$19,0)),""))</f>
        <v>28.5</v>
      </c>
      <c r="E9" s="50" t="s">
        <v>228</v>
      </c>
      <c r="F9" s="90" t="str">
        <f aca="false">IF(A9="","",IFERROR(INDEX(Personnel!$D$5:$D$19,MATCH($A9,Personnel!$A$5:$A$19,0)),""))</f>
        <v>Non-Exempt</v>
      </c>
      <c r="G9" s="50" t="s">
        <v>129</v>
      </c>
      <c r="H9" s="95" t="n">
        <f aca="false"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>173.333333333333</v>
      </c>
      <c r="I9" s="96"/>
      <c r="J9" s="96"/>
      <c r="K9" s="97" t="n">
        <f aca="false">IF(A9="","",I9*$D9+IF(OR($F9="Exempt",$E9="Sub"),0,J9*$D9*1.5))</f>
        <v>0</v>
      </c>
      <c r="L9" s="95" t="n">
        <f aca="false"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>173.333333333333</v>
      </c>
      <c r="M9" s="96"/>
      <c r="N9" s="96"/>
      <c r="O9" s="97" t="n">
        <f aca="false">IF(A9="","",M9*$D9+IF(OR($F9="Exempt",$E9="Sub"),0,N9*$D9*1.5))</f>
        <v>0</v>
      </c>
      <c r="P9" s="95" t="n">
        <f aca="false"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>173.333333333333</v>
      </c>
      <c r="Q9" s="96"/>
      <c r="R9" s="96"/>
      <c r="S9" s="97" t="n">
        <f aca="false">IF(A9="","",Q9*$D9+IF(OR($F9="Exempt",$E9="Sub"),0,R9*$D9*1.5))</f>
        <v>0</v>
      </c>
      <c r="T9" s="98" t="n">
        <f aca="false"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>173.333333333333</v>
      </c>
      <c r="U9" s="99"/>
      <c r="V9" s="99"/>
      <c r="W9" s="100" t="n">
        <f aca="false">IF(A9="","",U9*$D9+IF(OR($F9="Exempt",$E9="Sub"),0,V9*$D9*1.5))</f>
        <v>0</v>
      </c>
      <c r="X9" s="98" t="n">
        <f aca="false"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>173.333333333333</v>
      </c>
      <c r="Y9" s="99"/>
      <c r="Z9" s="99"/>
      <c r="AA9" s="100" t="n">
        <f aca="false">IF(A9="","",Y9*$D9+IF(OR($F9="Exempt",$E9="Sub"),0,Z9*$D9*1.5))</f>
        <v>0</v>
      </c>
      <c r="AB9" s="98" t="n">
        <f aca="false"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>173.333333333333</v>
      </c>
      <c r="AC9" s="99"/>
      <c r="AD9" s="99"/>
      <c r="AE9" s="100" t="n">
        <f aca="false">IF(A9="","",AC9*$D9+IF(OR($F9="Exempt",$E9="Sub"),0,AD9*$D9*1.5))</f>
        <v>0</v>
      </c>
      <c r="AF9" s="101" t="n">
        <f aca="false"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>173.333333333333</v>
      </c>
      <c r="AG9" s="102"/>
      <c r="AH9" s="102"/>
      <c r="AI9" s="103" t="n">
        <f aca="false">IF(A9="","",AG9*$D9+IF(OR($F9="Exempt",$E9="Sub"),0,AH9*$D9*1.5))</f>
        <v>0</v>
      </c>
      <c r="AJ9" s="101" t="n">
        <f aca="false"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>173.333333333333</v>
      </c>
      <c r="AK9" s="102"/>
      <c r="AL9" s="102"/>
      <c r="AM9" s="103" t="n">
        <f aca="false">IF(A9="","",AK9*$D9+IF(OR($F9="Exempt",$E9="Sub"),0,AL9*$D9*1.5))</f>
        <v>0</v>
      </c>
      <c r="AN9" s="101" t="n">
        <f aca="false"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>173.333333333333</v>
      </c>
      <c r="AO9" s="102"/>
      <c r="AP9" s="102"/>
      <c r="AQ9" s="103" t="n">
        <f aca="false">IF(A9="","",AO9*$D9+IF(OR($F9="Exempt",$E9="Sub"),0,AP9*$D9*1.5))</f>
        <v>0</v>
      </c>
      <c r="AR9" s="104" t="n">
        <f aca="false"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>173.333333333333</v>
      </c>
      <c r="AS9" s="105"/>
      <c r="AT9" s="105"/>
      <c r="AU9" s="106" t="n">
        <f aca="false">IF(A9="","",AS9*$D9+IF(OR($F9="Exempt",$E9="Sub"),0,AT9*$D9*1.5))</f>
        <v>0</v>
      </c>
      <c r="AV9" s="104" t="n">
        <f aca="false"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>173.333333333333</v>
      </c>
      <c r="AW9" s="105"/>
      <c r="AX9" s="105"/>
      <c r="AY9" s="106" t="n">
        <f aca="false">IF(A9="","",AW9*$D9+IF(OR($F9="Exempt",$E9="Sub"),0,AX9*$D9*1.5))</f>
        <v>0</v>
      </c>
      <c r="AZ9" s="104" t="n">
        <f aca="false"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>173.333333333333</v>
      </c>
      <c r="BA9" s="105"/>
      <c r="BB9" s="105"/>
      <c r="BC9" s="106" t="n">
        <f aca="false">IF(A9="","",BA9*$D9+IF(OR($F9="Exempt",$E9="Sub"),0,BB9*$D9*1.5))</f>
        <v>0</v>
      </c>
      <c r="BD9" s="93" t="n">
        <f aca="false">IF(A9="","",SUM(H9,L9,P9,T9,X9,AB9,AF9,AJ9,AN9,AR9,AV9,AZ9))</f>
        <v>2080</v>
      </c>
      <c r="BE9" s="93" t="n">
        <f aca="false">IF(A9="","",SUM(I9,J9,M9,N9,Q9,R9,U9,V9,Y9,Z9,AC9,AD9,AG9,AH9,AK9,AL9,AO9,AP9,AS9,AT9,AW9,AX9,BA9,BB9))</f>
        <v>0</v>
      </c>
      <c r="BF9" s="107" t="n">
        <f aca="false">IF(A9="","",BD9*$D9)</f>
        <v>59280</v>
      </c>
      <c r="BG9" s="107" t="n">
        <f aca="false">IF(A9="","",SUM(K9,O9,S9,W9,AA9,AE9,AI9,AM9,AQ9,AU9,AY9,BC9))</f>
        <v>0</v>
      </c>
    </row>
    <row r="10" customFormat="false" ht="15" hidden="false" customHeight="true" outlineLevel="0" collapsed="false">
      <c r="A10" s="50"/>
      <c r="B10" s="90"/>
      <c r="C10" s="90"/>
      <c r="D10" s="90"/>
      <c r="E10" s="50"/>
      <c r="F10" s="90"/>
      <c r="G10" s="50"/>
      <c r="H10" s="95" t="str">
        <f aca="false"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I10" s="96"/>
      <c r="J10" s="96"/>
      <c r="K10" s="97" t="str">
        <f aca="false">IF(A10="","",I10*$D10+IF(OR($F10="Exempt",$E10="Sub"),0,J10*$D10*1.5))</f>
        <v/>
      </c>
      <c r="L10" s="95" t="str">
        <f aca="false"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M10" s="96"/>
      <c r="N10" s="96"/>
      <c r="O10" s="97" t="str">
        <f aca="false">IF(A10="","",M10*$D10+IF(OR($F10="Exempt",$E10="Sub"),0,N10*$D10*1.5))</f>
        <v/>
      </c>
      <c r="P10" s="95" t="str">
        <f aca="false"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Q10" s="96"/>
      <c r="R10" s="96"/>
      <c r="S10" s="97" t="str">
        <f aca="false">IF(A10="","",Q10*$D10+IF(OR($F10="Exempt",$E10="Sub"),0,R10*$D10*1.5))</f>
        <v/>
      </c>
      <c r="T10" s="98" t="str">
        <f aca="false"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U10" s="99"/>
      <c r="V10" s="99"/>
      <c r="W10" s="100" t="str">
        <f aca="false">IF(A10="","",U10*$D10+IF(OR($F10="Exempt",$E10="Sub"),0,V10*$D10*1.5))</f>
        <v/>
      </c>
      <c r="X10" s="98" t="str">
        <f aca="false"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Y10" s="99"/>
      <c r="Z10" s="99"/>
      <c r="AA10" s="100" t="str">
        <f aca="false">IF(A10="","",Y10*$D10+IF(OR($F10="Exempt",$E10="Sub"),0,Z10*$D10*1.5))</f>
        <v/>
      </c>
      <c r="AB10" s="98" t="str">
        <f aca="false"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C10" s="99"/>
      <c r="AD10" s="99"/>
      <c r="AE10" s="100" t="str">
        <f aca="false">IF(A10="","",AC10*$D10+IF(OR($F10="Exempt",$E10="Sub"),0,AD10*$D10*1.5))</f>
        <v/>
      </c>
      <c r="AF10" s="101" t="str">
        <f aca="false"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G10" s="102"/>
      <c r="AH10" s="102"/>
      <c r="AI10" s="103" t="str">
        <f aca="false">IF(A10="","",AG10*$D10+IF(OR($F10="Exempt",$E10="Sub"),0,AH10*$D10*1.5))</f>
        <v/>
      </c>
      <c r="AJ10" s="101" t="str">
        <f aca="false"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K10" s="102"/>
      <c r="AL10" s="102"/>
      <c r="AM10" s="103" t="str">
        <f aca="false">IF(A10="","",AK10*$D10+IF(OR($F10="Exempt",$E10="Sub"),0,AL10*$D10*1.5))</f>
        <v/>
      </c>
      <c r="AN10" s="101" t="str">
        <f aca="false"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O10" s="102"/>
      <c r="AP10" s="102"/>
      <c r="AQ10" s="103" t="str">
        <f aca="false">IF(A10="","",AO10*$D10+IF(OR($F10="Exempt",$E10="Sub"),0,AP10*$D10*1.5))</f>
        <v/>
      </c>
      <c r="AR10" s="104" t="str">
        <f aca="false"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S10" s="105"/>
      <c r="AT10" s="105"/>
      <c r="AU10" s="106" t="str">
        <f aca="false">IF(A10="","",AS10*$D10+IF(OR($F10="Exempt",$E10="Sub"),0,AT10*$D10*1.5))</f>
        <v/>
      </c>
      <c r="AV10" s="104" t="str">
        <f aca="false"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W10" s="105"/>
      <c r="AX10" s="105"/>
      <c r="AY10" s="106" t="str">
        <f aca="false">IF(A10="","",AW10*$D10+IF(OR($F10="Exempt",$E10="Sub"),0,AX10*$D10*1.5))</f>
        <v/>
      </c>
      <c r="AZ10" s="104" t="str">
        <f aca="false"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BA10" s="105"/>
      <c r="BB10" s="105"/>
      <c r="BC10" s="106" t="str">
        <f aca="false">IF(A10="","",BA10*$D10+IF(OR($F10="Exempt",$E10="Sub"),0,BB10*$D10*1.5))</f>
        <v/>
      </c>
      <c r="BD10" s="93" t="str">
        <f aca="false">IF(A10="","",SUM(H10,L10,P10,T10,X10,AB10,AF10,AJ10,AN10,AR10,AV10,AZ10))</f>
        <v/>
      </c>
      <c r="BE10" s="93" t="str">
        <f aca="false">IF(A10="","",SUM(I10,J10,M10,N10,Q10,R10,U10,V10,Y10,Z10,AC10,AD10,AG10,AH10,AK10,AL10,AO10,AP10,AS10,AT10,AW10,AX10,BA10,BB10))</f>
        <v/>
      </c>
      <c r="BF10" s="107" t="str">
        <f aca="false">IF(A10="","",BD10*$D10)</f>
        <v/>
      </c>
      <c r="BG10" s="107" t="str">
        <f aca="false">IF(A10="","",SUM(K10,O10,S10,W10,AA10,AE10,AI10,AM10,AQ10,AU10,AY10,BC10))</f>
        <v/>
      </c>
    </row>
    <row r="11" customFormat="false" ht="15" hidden="false" customHeight="true" outlineLevel="0" collapsed="false">
      <c r="A11" s="50"/>
      <c r="B11" s="90"/>
      <c r="C11" s="90"/>
      <c r="D11" s="90"/>
      <c r="E11" s="50"/>
      <c r="F11" s="90"/>
      <c r="G11" s="50"/>
      <c r="H11" s="95" t="str">
        <f aca="false"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I11" s="96"/>
      <c r="J11" s="96"/>
      <c r="K11" s="97" t="str">
        <f aca="false">IF(A11="","",I11*$D11+IF(OR($F11="Exempt",$E11="Sub"),0,J11*$D11*1.5))</f>
        <v/>
      </c>
      <c r="L11" s="95" t="str">
        <f aca="false"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M11" s="96"/>
      <c r="N11" s="96"/>
      <c r="O11" s="97" t="str">
        <f aca="false">IF(A11="","",M11*$D11+IF(OR($F11="Exempt",$E11="Sub"),0,N11*$D11*1.5))</f>
        <v/>
      </c>
      <c r="P11" s="95" t="str">
        <f aca="false"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Q11" s="96"/>
      <c r="R11" s="96"/>
      <c r="S11" s="97" t="str">
        <f aca="false">IF(A11="","",Q11*$D11+IF(OR($F11="Exempt",$E11="Sub"),0,R11*$D11*1.5))</f>
        <v/>
      </c>
      <c r="T11" s="98" t="str">
        <f aca="false"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U11" s="99"/>
      <c r="V11" s="99"/>
      <c r="W11" s="100" t="str">
        <f aca="false">IF(A11="","",U11*$D11+IF(OR($F11="Exempt",$E11="Sub"),0,V11*$D11*1.5))</f>
        <v/>
      </c>
      <c r="X11" s="98" t="str">
        <f aca="false"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Y11" s="99"/>
      <c r="Z11" s="99"/>
      <c r="AA11" s="100" t="str">
        <f aca="false">IF(A11="","",Y11*$D11+IF(OR($F11="Exempt",$E11="Sub"),0,Z11*$D11*1.5))</f>
        <v/>
      </c>
      <c r="AB11" s="98" t="str">
        <f aca="false"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C11" s="99"/>
      <c r="AD11" s="99"/>
      <c r="AE11" s="100" t="str">
        <f aca="false">IF(A11="","",AC11*$D11+IF(OR($F11="Exempt",$E11="Sub"),0,AD11*$D11*1.5))</f>
        <v/>
      </c>
      <c r="AF11" s="101" t="str">
        <f aca="false"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G11" s="102"/>
      <c r="AH11" s="102"/>
      <c r="AI11" s="103" t="str">
        <f aca="false">IF(A11="","",AG11*$D11+IF(OR($F11="Exempt",$E11="Sub"),0,AH11*$D11*1.5))</f>
        <v/>
      </c>
      <c r="AJ11" s="101" t="str">
        <f aca="false"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K11" s="102"/>
      <c r="AL11" s="102"/>
      <c r="AM11" s="103" t="str">
        <f aca="false">IF(A11="","",AK11*$D11+IF(OR($F11="Exempt",$E11="Sub"),0,AL11*$D11*1.5))</f>
        <v/>
      </c>
      <c r="AN11" s="101" t="str">
        <f aca="false"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O11" s="102"/>
      <c r="AP11" s="102"/>
      <c r="AQ11" s="103" t="str">
        <f aca="false">IF(A11="","",AO11*$D11+IF(OR($F11="Exempt",$E11="Sub"),0,AP11*$D11*1.5))</f>
        <v/>
      </c>
      <c r="AR11" s="104" t="str">
        <f aca="false"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S11" s="105"/>
      <c r="AT11" s="105"/>
      <c r="AU11" s="106" t="str">
        <f aca="false">IF(A11="","",AS11*$D11+IF(OR($F11="Exempt",$E11="Sub"),0,AT11*$D11*1.5))</f>
        <v/>
      </c>
      <c r="AV11" s="104" t="str">
        <f aca="false"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W11" s="105"/>
      <c r="AX11" s="105"/>
      <c r="AY11" s="106" t="str">
        <f aca="false">IF(A11="","",AW11*$D11+IF(OR($F11="Exempt",$E11="Sub"),0,AX11*$D11*1.5))</f>
        <v/>
      </c>
      <c r="AZ11" s="104" t="str">
        <f aca="false"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BA11" s="105"/>
      <c r="BB11" s="105"/>
      <c r="BC11" s="106" t="str">
        <f aca="false">IF(A11="","",BA11*$D11+IF(OR($F11="Exempt",$E11="Sub"),0,BB11*$D11*1.5))</f>
        <v/>
      </c>
      <c r="BD11" s="93" t="str">
        <f aca="false">IF(A11="","",SUM(H11,L11,P11,T11,X11,AB11,AF11,AJ11,AN11,AR11,AV11,AZ11))</f>
        <v/>
      </c>
      <c r="BE11" s="93" t="str">
        <f aca="false">IF(A11="","",SUM(I11,J11,M11,N11,Q11,R11,U11,V11,Y11,Z11,AC11,AD11,AG11,AH11,AK11,AL11,AO11,AP11,AS11,AT11,AW11,AX11,BA11,BB11))</f>
        <v/>
      </c>
      <c r="BF11" s="107" t="str">
        <f aca="false">IF(A11="","",BD11*$D11)</f>
        <v/>
      </c>
      <c r="BG11" s="107" t="str">
        <f aca="false">IF(A11="","",SUM(K11,O11,S11,W11,AA11,AE11,AI11,AM11,AQ11,AU11,AY11,BC11))</f>
        <v/>
      </c>
    </row>
    <row r="12" customFormat="false" ht="15" hidden="false" customHeight="true" outlineLevel="0" collapsed="false">
      <c r="A12" s="50"/>
      <c r="B12" s="90"/>
      <c r="C12" s="90"/>
      <c r="D12" s="90"/>
      <c r="E12" s="50"/>
      <c r="F12" s="90"/>
      <c r="G12" s="50"/>
      <c r="H12" s="95" t="str">
        <f aca="false"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I12" s="96"/>
      <c r="J12" s="96"/>
      <c r="K12" s="97" t="str">
        <f aca="false">IF(A12="","",I12*$D12+IF(OR($F12="Exempt",$E12="Sub"),0,J12*$D12*1.5))</f>
        <v/>
      </c>
      <c r="L12" s="95" t="str">
        <f aca="false"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M12" s="96"/>
      <c r="N12" s="96"/>
      <c r="O12" s="97" t="str">
        <f aca="false">IF(A12="","",M12*$D12+IF(OR($F12="Exempt",$E12="Sub"),0,N12*$D12*1.5))</f>
        <v/>
      </c>
      <c r="P12" s="95" t="str">
        <f aca="false"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Q12" s="96"/>
      <c r="R12" s="96"/>
      <c r="S12" s="97" t="str">
        <f aca="false">IF(A12="","",Q12*$D12+IF(OR($F12="Exempt",$E12="Sub"),0,R12*$D12*1.5))</f>
        <v/>
      </c>
      <c r="T12" s="98" t="str">
        <f aca="false"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U12" s="99"/>
      <c r="V12" s="99"/>
      <c r="W12" s="100" t="str">
        <f aca="false">IF(A12="","",U12*$D12+IF(OR($F12="Exempt",$E12="Sub"),0,V12*$D12*1.5))</f>
        <v/>
      </c>
      <c r="X12" s="98" t="str">
        <f aca="false"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Y12" s="99"/>
      <c r="Z12" s="99"/>
      <c r="AA12" s="100" t="str">
        <f aca="false">IF(A12="","",Y12*$D12+IF(OR($F12="Exempt",$E12="Sub"),0,Z12*$D12*1.5))</f>
        <v/>
      </c>
      <c r="AB12" s="98" t="str">
        <f aca="false"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C12" s="99"/>
      <c r="AD12" s="99"/>
      <c r="AE12" s="100" t="str">
        <f aca="false">IF(A12="","",AC12*$D12+IF(OR($F12="Exempt",$E12="Sub"),0,AD12*$D12*1.5))</f>
        <v/>
      </c>
      <c r="AF12" s="101" t="str">
        <f aca="false"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G12" s="102"/>
      <c r="AH12" s="102"/>
      <c r="AI12" s="103" t="str">
        <f aca="false">IF(A12="","",AG12*$D12+IF(OR($F12="Exempt",$E12="Sub"),0,AH12*$D12*1.5))</f>
        <v/>
      </c>
      <c r="AJ12" s="101" t="str">
        <f aca="false"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K12" s="102"/>
      <c r="AL12" s="102"/>
      <c r="AM12" s="103" t="str">
        <f aca="false">IF(A12="","",AK12*$D12+IF(OR($F12="Exempt",$E12="Sub"),0,AL12*$D12*1.5))</f>
        <v/>
      </c>
      <c r="AN12" s="101" t="str">
        <f aca="false"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O12" s="102"/>
      <c r="AP12" s="102"/>
      <c r="AQ12" s="103" t="str">
        <f aca="false">IF(A12="","",AO12*$D12+IF(OR($F12="Exempt",$E12="Sub"),0,AP12*$D12*1.5))</f>
        <v/>
      </c>
      <c r="AR12" s="104" t="str">
        <f aca="false"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S12" s="105"/>
      <c r="AT12" s="105"/>
      <c r="AU12" s="106" t="str">
        <f aca="false">IF(A12="","",AS12*$D12+IF(OR($F12="Exempt",$E12="Sub"),0,AT12*$D12*1.5))</f>
        <v/>
      </c>
      <c r="AV12" s="104" t="str">
        <f aca="false"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W12" s="105"/>
      <c r="AX12" s="105"/>
      <c r="AY12" s="106" t="str">
        <f aca="false">IF(A12="","",AW12*$D12+IF(OR($F12="Exempt",$E12="Sub"),0,AX12*$D12*1.5))</f>
        <v/>
      </c>
      <c r="AZ12" s="104" t="str">
        <f aca="false"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BA12" s="105"/>
      <c r="BB12" s="105"/>
      <c r="BC12" s="106" t="str">
        <f aca="false">IF(A12="","",BA12*$D12+IF(OR($F12="Exempt",$E12="Sub"),0,BB12*$D12*1.5))</f>
        <v/>
      </c>
      <c r="BD12" s="93" t="str">
        <f aca="false">IF(A12="","",SUM(H12,L12,P12,T12,X12,AB12,AF12,AJ12,AN12,AR12,AV12,AZ12))</f>
        <v/>
      </c>
      <c r="BE12" s="93" t="str">
        <f aca="false">IF(A12="","",SUM(I12,J12,M12,N12,Q12,R12,U12,V12,Y12,Z12,AC12,AD12,AG12,AH12,AK12,AL12,AO12,AP12,AS12,AT12,AW12,AX12,BA12,BB12))</f>
        <v/>
      </c>
      <c r="BF12" s="107" t="str">
        <f aca="false">IF(A12="","",BD12*$D12)</f>
        <v/>
      </c>
      <c r="BG12" s="107" t="str">
        <f aca="false">IF(A12="","",SUM(K12,O12,S12,W12,AA12,AE12,AI12,AM12,AQ12,AU12,AY12,BC12))</f>
        <v/>
      </c>
    </row>
    <row r="13" customFormat="false" ht="15" hidden="false" customHeight="true" outlineLevel="0" collapsed="false">
      <c r="A13" s="50"/>
      <c r="B13" s="90"/>
      <c r="C13" s="90"/>
      <c r="D13" s="90"/>
      <c r="E13" s="50"/>
      <c r="F13" s="90"/>
      <c r="G13" s="50"/>
      <c r="H13" s="95" t="str">
        <f aca="false"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I13" s="96"/>
      <c r="J13" s="96"/>
      <c r="K13" s="97" t="str">
        <f aca="false">IF(A13="","",I13*$D13+IF(OR($F13="Exempt",$E13="Sub"),0,J13*$D13*1.5))</f>
        <v/>
      </c>
      <c r="L13" s="95" t="str">
        <f aca="false"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M13" s="96"/>
      <c r="N13" s="96"/>
      <c r="O13" s="97" t="str">
        <f aca="false">IF(A13="","",M13*$D13+IF(OR($F13="Exempt",$E13="Sub"),0,N13*$D13*1.5))</f>
        <v/>
      </c>
      <c r="P13" s="95" t="str">
        <f aca="false"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Q13" s="96"/>
      <c r="R13" s="96"/>
      <c r="S13" s="97" t="str">
        <f aca="false">IF(A13="","",Q13*$D13+IF(OR($F13="Exempt",$E13="Sub"),0,R13*$D13*1.5))</f>
        <v/>
      </c>
      <c r="T13" s="98" t="str">
        <f aca="false"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U13" s="99"/>
      <c r="V13" s="99"/>
      <c r="W13" s="100" t="str">
        <f aca="false">IF(A13="","",U13*$D13+IF(OR($F13="Exempt",$E13="Sub"),0,V13*$D13*1.5))</f>
        <v/>
      </c>
      <c r="X13" s="98" t="str">
        <f aca="false"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Y13" s="99"/>
      <c r="Z13" s="99"/>
      <c r="AA13" s="100" t="str">
        <f aca="false">IF(A13="","",Y13*$D13+IF(OR($F13="Exempt",$E13="Sub"),0,Z13*$D13*1.5))</f>
        <v/>
      </c>
      <c r="AB13" s="98" t="str">
        <f aca="false"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C13" s="99"/>
      <c r="AD13" s="99"/>
      <c r="AE13" s="100" t="str">
        <f aca="false">IF(A13="","",AC13*$D13+IF(OR($F13="Exempt",$E13="Sub"),0,AD13*$D13*1.5))</f>
        <v/>
      </c>
      <c r="AF13" s="101" t="str">
        <f aca="false"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G13" s="102"/>
      <c r="AH13" s="102"/>
      <c r="AI13" s="103" t="str">
        <f aca="false">IF(A13="","",AG13*$D13+IF(OR($F13="Exempt",$E13="Sub"),0,AH13*$D13*1.5))</f>
        <v/>
      </c>
      <c r="AJ13" s="101" t="str">
        <f aca="false"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K13" s="102"/>
      <c r="AL13" s="102"/>
      <c r="AM13" s="103" t="str">
        <f aca="false">IF(A13="","",AK13*$D13+IF(OR($F13="Exempt",$E13="Sub"),0,AL13*$D13*1.5))</f>
        <v/>
      </c>
      <c r="AN13" s="101" t="str">
        <f aca="false"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O13" s="102"/>
      <c r="AP13" s="102"/>
      <c r="AQ13" s="103" t="str">
        <f aca="false">IF(A13="","",AO13*$D13+IF(OR($F13="Exempt",$E13="Sub"),0,AP13*$D13*1.5))</f>
        <v/>
      </c>
      <c r="AR13" s="104" t="str">
        <f aca="false"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S13" s="105"/>
      <c r="AT13" s="105"/>
      <c r="AU13" s="106" t="str">
        <f aca="false">IF(A13="","",AS13*$D13+IF(OR($F13="Exempt",$E13="Sub"),0,AT13*$D13*1.5))</f>
        <v/>
      </c>
      <c r="AV13" s="104" t="str">
        <f aca="false"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W13" s="105"/>
      <c r="AX13" s="105"/>
      <c r="AY13" s="106" t="str">
        <f aca="false">IF(A13="","",AW13*$D13+IF(OR($F13="Exempt",$E13="Sub"),0,AX13*$D13*1.5))</f>
        <v/>
      </c>
      <c r="AZ13" s="104" t="str">
        <f aca="false"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BA13" s="105"/>
      <c r="BB13" s="105"/>
      <c r="BC13" s="106" t="str">
        <f aca="false">IF(A13="","",BA13*$D13+IF(OR($F13="Exempt",$E13="Sub"),0,BB13*$D13*1.5))</f>
        <v/>
      </c>
      <c r="BD13" s="93" t="str">
        <f aca="false">IF(A13="","",SUM(H13,L13,P13,T13,X13,AB13,AF13,AJ13,AN13,AR13,AV13,AZ13))</f>
        <v/>
      </c>
      <c r="BE13" s="93" t="str">
        <f aca="false">IF(A13="","",SUM(I13,J13,M13,N13,Q13,R13,U13,V13,Y13,Z13,AC13,AD13,AG13,AH13,AK13,AL13,AO13,AP13,AS13,AT13,AW13,AX13,BA13,BB13))</f>
        <v/>
      </c>
      <c r="BF13" s="107" t="str">
        <f aca="false">IF(A13="","",BD13*$D13)</f>
        <v/>
      </c>
      <c r="BG13" s="107" t="str">
        <f aca="false">IF(A13="","",SUM(K13,O13,S13,W13,AA13,AE13,AI13,AM13,AQ13,AU13,AY13,BC13))</f>
        <v/>
      </c>
    </row>
    <row r="14" customFormat="false" ht="15" hidden="false" customHeight="true" outlineLevel="0" collapsed="false">
      <c r="A14" s="50"/>
      <c r="B14" s="90"/>
      <c r="C14" s="90"/>
      <c r="D14" s="90"/>
      <c r="E14" s="50"/>
      <c r="F14" s="90"/>
      <c r="G14" s="50"/>
      <c r="H14" s="95" t="str">
        <f aca="false"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I14" s="96"/>
      <c r="J14" s="96"/>
      <c r="K14" s="97" t="str">
        <f aca="false">IF(A14="","",I14*$D14+IF(OR($F14="Exempt",$E14="Sub"),0,J14*$D14*1.5))</f>
        <v/>
      </c>
      <c r="L14" s="95" t="str">
        <f aca="false"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M14" s="96"/>
      <c r="N14" s="96"/>
      <c r="O14" s="97" t="str">
        <f aca="false">IF(A14="","",M14*$D14+IF(OR($F14="Exempt",$E14="Sub"),0,N14*$D14*1.5))</f>
        <v/>
      </c>
      <c r="P14" s="95" t="str">
        <f aca="false"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Q14" s="96"/>
      <c r="R14" s="96"/>
      <c r="S14" s="97" t="str">
        <f aca="false">IF(A14="","",Q14*$D14+IF(OR($F14="Exempt",$E14="Sub"),0,R14*$D14*1.5))</f>
        <v/>
      </c>
      <c r="T14" s="98" t="str">
        <f aca="false"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U14" s="99"/>
      <c r="V14" s="99"/>
      <c r="W14" s="100" t="str">
        <f aca="false">IF(A14="","",U14*$D14+IF(OR($F14="Exempt",$E14="Sub"),0,V14*$D14*1.5))</f>
        <v/>
      </c>
      <c r="X14" s="98" t="str">
        <f aca="false"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Y14" s="99"/>
      <c r="Z14" s="99"/>
      <c r="AA14" s="100" t="str">
        <f aca="false">IF(A14="","",Y14*$D14+IF(OR($F14="Exempt",$E14="Sub"),0,Z14*$D14*1.5))</f>
        <v/>
      </c>
      <c r="AB14" s="98" t="str">
        <f aca="false"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C14" s="99"/>
      <c r="AD14" s="99"/>
      <c r="AE14" s="100" t="str">
        <f aca="false">IF(A14="","",AC14*$D14+IF(OR($F14="Exempt",$E14="Sub"),0,AD14*$D14*1.5))</f>
        <v/>
      </c>
      <c r="AF14" s="101" t="str">
        <f aca="false"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G14" s="102"/>
      <c r="AH14" s="102"/>
      <c r="AI14" s="103" t="str">
        <f aca="false">IF(A14="","",AG14*$D14+IF(OR($F14="Exempt",$E14="Sub"),0,AH14*$D14*1.5))</f>
        <v/>
      </c>
      <c r="AJ14" s="101" t="str">
        <f aca="false"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K14" s="102"/>
      <c r="AL14" s="102"/>
      <c r="AM14" s="103" t="str">
        <f aca="false">IF(A14="","",AK14*$D14+IF(OR($F14="Exempt",$E14="Sub"),0,AL14*$D14*1.5))</f>
        <v/>
      </c>
      <c r="AN14" s="101" t="str">
        <f aca="false"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O14" s="102"/>
      <c r="AP14" s="102"/>
      <c r="AQ14" s="103" t="str">
        <f aca="false">IF(A14="","",AO14*$D14+IF(OR($F14="Exempt",$E14="Sub"),0,AP14*$D14*1.5))</f>
        <v/>
      </c>
      <c r="AR14" s="104" t="str">
        <f aca="false"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S14" s="105"/>
      <c r="AT14" s="105"/>
      <c r="AU14" s="106" t="str">
        <f aca="false">IF(A14="","",AS14*$D14+IF(OR($F14="Exempt",$E14="Sub"),0,AT14*$D14*1.5))</f>
        <v/>
      </c>
      <c r="AV14" s="104" t="str">
        <f aca="false"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W14" s="105"/>
      <c r="AX14" s="105"/>
      <c r="AY14" s="106" t="str">
        <f aca="false">IF(A14="","",AW14*$D14+IF(OR($F14="Exempt",$E14="Sub"),0,AX14*$D14*1.5))</f>
        <v/>
      </c>
      <c r="AZ14" s="104" t="str">
        <f aca="false"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BA14" s="105"/>
      <c r="BB14" s="105"/>
      <c r="BC14" s="106" t="str">
        <f aca="false">IF(A14="","",BA14*$D14+IF(OR($F14="Exempt",$E14="Sub"),0,BB14*$D14*1.5))</f>
        <v/>
      </c>
      <c r="BD14" s="93" t="str">
        <f aca="false">IF(A14="","",SUM(H14,L14,P14,T14,X14,AB14,AF14,AJ14,AN14,AR14,AV14,AZ14))</f>
        <v/>
      </c>
      <c r="BE14" s="93" t="str">
        <f aca="false">IF(A14="","",SUM(I14,J14,M14,N14,Q14,R14,U14,V14,Y14,Z14,AC14,AD14,AG14,AH14,AK14,AL14,AO14,AP14,AS14,AT14,AW14,AX14,BA14,BB14))</f>
        <v/>
      </c>
      <c r="BF14" s="107" t="str">
        <f aca="false">IF(A14="","",BD14*$D14)</f>
        <v/>
      </c>
      <c r="BG14" s="107" t="str">
        <f aca="false">IF(A14="","",SUM(K14,O14,S14,W14,AA14,AE14,AI14,AM14,AQ14,AU14,AY14,BC14))</f>
        <v/>
      </c>
    </row>
    <row r="15" customFormat="false" ht="15" hidden="false" customHeight="true" outlineLevel="0" collapsed="false">
      <c r="A15" s="50"/>
      <c r="B15" s="90"/>
      <c r="C15" s="90"/>
      <c r="D15" s="90"/>
      <c r="E15" s="50"/>
      <c r="F15" s="90"/>
      <c r="G15" s="50"/>
      <c r="H15" s="95" t="str">
        <f aca="false"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I15" s="96"/>
      <c r="J15" s="96"/>
      <c r="K15" s="97" t="str">
        <f aca="false">IF(A15="","",I15*$D15+IF(OR($F15="Exempt",$E15="Sub"),0,J15*$D15*1.5))</f>
        <v/>
      </c>
      <c r="L15" s="95" t="str">
        <f aca="false"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M15" s="96"/>
      <c r="N15" s="96"/>
      <c r="O15" s="97" t="str">
        <f aca="false">IF(A15="","",M15*$D15+IF(OR($F15="Exempt",$E15="Sub"),0,N15*$D15*1.5))</f>
        <v/>
      </c>
      <c r="P15" s="95" t="str">
        <f aca="false"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Q15" s="96"/>
      <c r="R15" s="96"/>
      <c r="S15" s="97" t="str">
        <f aca="false">IF(A15="","",Q15*$D15+IF(OR($F15="Exempt",$E15="Sub"),0,R15*$D15*1.5))</f>
        <v/>
      </c>
      <c r="T15" s="98" t="str">
        <f aca="false"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U15" s="99"/>
      <c r="V15" s="99"/>
      <c r="W15" s="100" t="str">
        <f aca="false">IF(A15="","",U15*$D15+IF(OR($F15="Exempt",$E15="Sub"),0,V15*$D15*1.5))</f>
        <v/>
      </c>
      <c r="X15" s="98" t="str">
        <f aca="false"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Y15" s="99"/>
      <c r="Z15" s="99"/>
      <c r="AA15" s="100" t="str">
        <f aca="false">IF(A15="","",Y15*$D15+IF(OR($F15="Exempt",$E15="Sub"),0,Z15*$D15*1.5))</f>
        <v/>
      </c>
      <c r="AB15" s="98" t="str">
        <f aca="false"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C15" s="99"/>
      <c r="AD15" s="99"/>
      <c r="AE15" s="100" t="str">
        <f aca="false">IF(A15="","",AC15*$D15+IF(OR($F15="Exempt",$E15="Sub"),0,AD15*$D15*1.5))</f>
        <v/>
      </c>
      <c r="AF15" s="101" t="str">
        <f aca="false"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G15" s="102"/>
      <c r="AH15" s="102"/>
      <c r="AI15" s="103" t="str">
        <f aca="false">IF(A15="","",AG15*$D15+IF(OR($F15="Exempt",$E15="Sub"),0,AH15*$D15*1.5))</f>
        <v/>
      </c>
      <c r="AJ15" s="101" t="str">
        <f aca="false"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K15" s="102"/>
      <c r="AL15" s="102"/>
      <c r="AM15" s="103" t="str">
        <f aca="false">IF(A15="","",AK15*$D15+IF(OR($F15="Exempt",$E15="Sub"),0,AL15*$D15*1.5))</f>
        <v/>
      </c>
      <c r="AN15" s="101" t="str">
        <f aca="false"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O15" s="102"/>
      <c r="AP15" s="102"/>
      <c r="AQ15" s="103" t="str">
        <f aca="false">IF(A15="","",AO15*$D15+IF(OR($F15="Exempt",$E15="Sub"),0,AP15*$D15*1.5))</f>
        <v/>
      </c>
      <c r="AR15" s="104" t="str">
        <f aca="false"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S15" s="105"/>
      <c r="AT15" s="105"/>
      <c r="AU15" s="106" t="str">
        <f aca="false">IF(A15="","",AS15*$D15+IF(OR($F15="Exempt",$E15="Sub"),0,AT15*$D15*1.5))</f>
        <v/>
      </c>
      <c r="AV15" s="104" t="str">
        <f aca="false"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W15" s="105"/>
      <c r="AX15" s="105"/>
      <c r="AY15" s="106" t="str">
        <f aca="false">IF(A15="","",AW15*$D15+IF(OR($F15="Exempt",$E15="Sub"),0,AX15*$D15*1.5))</f>
        <v/>
      </c>
      <c r="AZ15" s="104" t="str">
        <f aca="false"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BA15" s="105"/>
      <c r="BB15" s="105"/>
      <c r="BC15" s="106" t="str">
        <f aca="false">IF(A15="","",BA15*$D15+IF(OR($F15="Exempt",$E15="Sub"),0,BB15*$D15*1.5))</f>
        <v/>
      </c>
      <c r="BD15" s="93" t="str">
        <f aca="false">IF(A15="","",SUM(H15,L15,P15,T15,X15,AB15,AF15,AJ15,AN15,AR15,AV15,AZ15))</f>
        <v/>
      </c>
      <c r="BE15" s="93" t="str">
        <f aca="false">IF(A15="","",SUM(I15,J15,M15,N15,Q15,R15,U15,V15,Y15,Z15,AC15,AD15,AG15,AH15,AK15,AL15,AO15,AP15,AS15,AT15,AW15,AX15,BA15,BB15))</f>
        <v/>
      </c>
      <c r="BF15" s="107" t="str">
        <f aca="false">IF(A15="","",BD15*$D15)</f>
        <v/>
      </c>
      <c r="BG15" s="107" t="str">
        <f aca="false">IF(A15="","",SUM(K15,O15,S15,W15,AA15,AE15,AI15,AM15,AQ15,AU15,AY15,BC15))</f>
        <v/>
      </c>
    </row>
    <row r="16" customFormat="false" ht="15" hidden="false" customHeight="true" outlineLevel="0" collapsed="false">
      <c r="A16" s="50"/>
      <c r="B16" s="90"/>
      <c r="C16" s="90"/>
      <c r="D16" s="90"/>
      <c r="E16" s="50"/>
      <c r="F16" s="90"/>
      <c r="G16" s="50"/>
      <c r="H16" s="95" t="str">
        <f aca="false"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I16" s="96"/>
      <c r="J16" s="96"/>
      <c r="K16" s="97" t="str">
        <f aca="false">IF(A16="","",I16*$D16+IF(OR($F16="Exempt",$E16="Sub"),0,J16*$D16*1.5))</f>
        <v/>
      </c>
      <c r="L16" s="95" t="str">
        <f aca="false"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M16" s="96"/>
      <c r="N16" s="96"/>
      <c r="O16" s="97" t="str">
        <f aca="false">IF(A16="","",M16*$D16+IF(OR($F16="Exempt",$E16="Sub"),0,N16*$D16*1.5))</f>
        <v/>
      </c>
      <c r="P16" s="95" t="str">
        <f aca="false"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Q16" s="96"/>
      <c r="R16" s="96"/>
      <c r="S16" s="97" t="str">
        <f aca="false">IF(A16="","",Q16*$D16+IF(OR($F16="Exempt",$E16="Sub"),0,R16*$D16*1.5))</f>
        <v/>
      </c>
      <c r="T16" s="98" t="str">
        <f aca="false"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U16" s="99"/>
      <c r="V16" s="99"/>
      <c r="W16" s="100" t="str">
        <f aca="false">IF(A16="","",U16*$D16+IF(OR($F16="Exempt",$E16="Sub"),0,V16*$D16*1.5))</f>
        <v/>
      </c>
      <c r="X16" s="98" t="str">
        <f aca="false"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Y16" s="99"/>
      <c r="Z16" s="99"/>
      <c r="AA16" s="100" t="str">
        <f aca="false">IF(A16="","",Y16*$D16+IF(OR($F16="Exempt",$E16="Sub"),0,Z16*$D16*1.5))</f>
        <v/>
      </c>
      <c r="AB16" s="98" t="str">
        <f aca="false"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C16" s="99"/>
      <c r="AD16" s="99"/>
      <c r="AE16" s="100" t="str">
        <f aca="false">IF(A16="","",AC16*$D16+IF(OR($F16="Exempt",$E16="Sub"),0,AD16*$D16*1.5))</f>
        <v/>
      </c>
      <c r="AF16" s="101" t="str">
        <f aca="false"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G16" s="102"/>
      <c r="AH16" s="102"/>
      <c r="AI16" s="103" t="str">
        <f aca="false">IF(A16="","",AG16*$D16+IF(OR($F16="Exempt",$E16="Sub"),0,AH16*$D16*1.5))</f>
        <v/>
      </c>
      <c r="AJ16" s="101" t="str">
        <f aca="false"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K16" s="102"/>
      <c r="AL16" s="102"/>
      <c r="AM16" s="103" t="str">
        <f aca="false">IF(A16="","",AK16*$D16+IF(OR($F16="Exempt",$E16="Sub"),0,AL16*$D16*1.5))</f>
        <v/>
      </c>
      <c r="AN16" s="101" t="str">
        <f aca="false"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O16" s="102"/>
      <c r="AP16" s="102"/>
      <c r="AQ16" s="103" t="str">
        <f aca="false">IF(A16="","",AO16*$D16+IF(OR($F16="Exempt",$E16="Sub"),0,AP16*$D16*1.5))</f>
        <v/>
      </c>
      <c r="AR16" s="104" t="str">
        <f aca="false"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S16" s="105"/>
      <c r="AT16" s="105"/>
      <c r="AU16" s="106" t="str">
        <f aca="false">IF(A16="","",AS16*$D16+IF(OR($F16="Exempt",$E16="Sub"),0,AT16*$D16*1.5))</f>
        <v/>
      </c>
      <c r="AV16" s="104" t="str">
        <f aca="false"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W16" s="105"/>
      <c r="AX16" s="105"/>
      <c r="AY16" s="106" t="str">
        <f aca="false">IF(A16="","",AW16*$D16+IF(OR($F16="Exempt",$E16="Sub"),0,AX16*$D16*1.5))</f>
        <v/>
      </c>
      <c r="AZ16" s="104" t="str">
        <f aca="false"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BA16" s="105"/>
      <c r="BB16" s="105"/>
      <c r="BC16" s="106" t="str">
        <f aca="false">IF(A16="","",BA16*$D16+IF(OR($F16="Exempt",$E16="Sub"),0,BB16*$D16*1.5))</f>
        <v/>
      </c>
      <c r="BD16" s="93" t="str">
        <f aca="false">IF(A16="","",SUM(H16,L16,P16,T16,X16,AB16,AF16,AJ16,AN16,AR16,AV16,AZ16))</f>
        <v/>
      </c>
      <c r="BE16" s="93" t="str">
        <f aca="false">IF(A16="","",SUM(I16,J16,M16,N16,Q16,R16,U16,V16,Y16,Z16,AC16,AD16,AG16,AH16,AK16,AL16,AO16,AP16,AS16,AT16,AW16,AX16,BA16,BB16))</f>
        <v/>
      </c>
      <c r="BF16" s="107" t="str">
        <f aca="false">IF(A16="","",BD16*$D16)</f>
        <v/>
      </c>
      <c r="BG16" s="107" t="str">
        <f aca="false">IF(A16="","",SUM(K16,O16,S16,W16,AA16,AE16,AI16,AM16,AQ16,AU16,AY16,BC16))</f>
        <v/>
      </c>
    </row>
    <row r="17" customFormat="false" ht="15" hidden="false" customHeight="true" outlineLevel="0" collapsed="false">
      <c r="A17" s="50"/>
      <c r="B17" s="90"/>
      <c r="C17" s="90"/>
      <c r="D17" s="90"/>
      <c r="E17" s="50"/>
      <c r="F17" s="90"/>
      <c r="G17" s="50"/>
      <c r="H17" s="95" t="str">
        <f aca="false"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I17" s="96"/>
      <c r="J17" s="96"/>
      <c r="K17" s="97" t="str">
        <f aca="false">IF(A17="","",I17*$D17+IF(OR($F17="Exempt",$E17="Sub"),0,J17*$D17*1.5))</f>
        <v/>
      </c>
      <c r="L17" s="95" t="str">
        <f aca="false"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M17" s="96"/>
      <c r="N17" s="96"/>
      <c r="O17" s="97" t="str">
        <f aca="false">IF(A17="","",M17*$D17+IF(OR($F17="Exempt",$E17="Sub"),0,N17*$D17*1.5))</f>
        <v/>
      </c>
      <c r="P17" s="95" t="str">
        <f aca="false"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Q17" s="96"/>
      <c r="R17" s="96"/>
      <c r="S17" s="97" t="str">
        <f aca="false">IF(A17="","",Q17*$D17+IF(OR($F17="Exempt",$E17="Sub"),0,R17*$D17*1.5))</f>
        <v/>
      </c>
      <c r="T17" s="98" t="str">
        <f aca="false"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U17" s="99"/>
      <c r="V17" s="99"/>
      <c r="W17" s="100" t="str">
        <f aca="false">IF(A17="","",U17*$D17+IF(OR($F17="Exempt",$E17="Sub"),0,V17*$D17*1.5))</f>
        <v/>
      </c>
      <c r="X17" s="98" t="str">
        <f aca="false"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Y17" s="99"/>
      <c r="Z17" s="99"/>
      <c r="AA17" s="100" t="str">
        <f aca="false">IF(A17="","",Y17*$D17+IF(OR($F17="Exempt",$E17="Sub"),0,Z17*$D17*1.5))</f>
        <v/>
      </c>
      <c r="AB17" s="98" t="str">
        <f aca="false"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C17" s="99"/>
      <c r="AD17" s="99"/>
      <c r="AE17" s="100" t="str">
        <f aca="false">IF(A17="","",AC17*$D17+IF(OR($F17="Exempt",$E17="Sub"),0,AD17*$D17*1.5))</f>
        <v/>
      </c>
      <c r="AF17" s="101" t="str">
        <f aca="false"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G17" s="102"/>
      <c r="AH17" s="102"/>
      <c r="AI17" s="103" t="str">
        <f aca="false">IF(A17="","",AG17*$D17+IF(OR($F17="Exempt",$E17="Sub"),0,AH17*$D17*1.5))</f>
        <v/>
      </c>
      <c r="AJ17" s="101" t="str">
        <f aca="false"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K17" s="102"/>
      <c r="AL17" s="102"/>
      <c r="AM17" s="103" t="str">
        <f aca="false">IF(A17="","",AK17*$D17+IF(OR($F17="Exempt",$E17="Sub"),0,AL17*$D17*1.5))</f>
        <v/>
      </c>
      <c r="AN17" s="101" t="str">
        <f aca="false"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O17" s="102"/>
      <c r="AP17" s="102"/>
      <c r="AQ17" s="103" t="str">
        <f aca="false">IF(A17="","",AO17*$D17+IF(OR($F17="Exempt",$E17="Sub"),0,AP17*$D17*1.5))</f>
        <v/>
      </c>
      <c r="AR17" s="104" t="str">
        <f aca="false"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S17" s="105"/>
      <c r="AT17" s="105"/>
      <c r="AU17" s="106" t="str">
        <f aca="false">IF(A17="","",AS17*$D17+IF(OR($F17="Exempt",$E17="Sub"),0,AT17*$D17*1.5))</f>
        <v/>
      </c>
      <c r="AV17" s="104" t="str">
        <f aca="false"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W17" s="105"/>
      <c r="AX17" s="105"/>
      <c r="AY17" s="106" t="str">
        <f aca="false">IF(A17="","",AW17*$D17+IF(OR($F17="Exempt",$E17="Sub"),0,AX17*$D17*1.5))</f>
        <v/>
      </c>
      <c r="AZ17" s="104" t="str">
        <f aca="false"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BA17" s="105"/>
      <c r="BB17" s="105"/>
      <c r="BC17" s="106" t="str">
        <f aca="false">IF(A17="","",BA17*$D17+IF(OR($F17="Exempt",$E17="Sub"),0,BB17*$D17*1.5))</f>
        <v/>
      </c>
      <c r="BD17" s="93" t="str">
        <f aca="false">IF(A17="","",SUM(H17,L17,P17,T17,X17,AB17,AF17,AJ17,AN17,AR17,AV17,AZ17))</f>
        <v/>
      </c>
      <c r="BE17" s="93" t="str">
        <f aca="false">IF(A17="","",SUM(I17,J17,M17,N17,Q17,R17,U17,V17,Y17,Z17,AC17,AD17,AG17,AH17,AK17,AL17,AO17,AP17,AS17,AT17,AW17,AX17,BA17,BB17))</f>
        <v/>
      </c>
      <c r="BF17" s="107" t="str">
        <f aca="false">IF(A17="","",BD17*$D17)</f>
        <v/>
      </c>
      <c r="BG17" s="107" t="str">
        <f aca="false">IF(A17="","",SUM(K17,O17,S17,W17,AA17,AE17,AI17,AM17,AQ17,AU17,AY17,BC17))</f>
        <v/>
      </c>
    </row>
    <row r="18" customFormat="false" ht="15" hidden="false" customHeight="true" outlineLevel="0" collapsed="false">
      <c r="A18" s="50"/>
      <c r="B18" s="90"/>
      <c r="C18" s="90"/>
      <c r="D18" s="90"/>
      <c r="E18" s="50"/>
      <c r="F18" s="90"/>
      <c r="G18" s="50"/>
      <c r="H18" s="95" t="str">
        <f aca="false"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I18" s="96"/>
      <c r="J18" s="96"/>
      <c r="K18" s="97" t="str">
        <f aca="false">IF(A18="","",I18*$D18+IF(OR($F18="Exempt",$E18="Sub"),0,J18*$D18*1.5))</f>
        <v/>
      </c>
      <c r="L18" s="95" t="str">
        <f aca="false"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M18" s="96"/>
      <c r="N18" s="96"/>
      <c r="O18" s="97" t="str">
        <f aca="false">IF(A18="","",M18*$D18+IF(OR($F18="Exempt",$E18="Sub"),0,N18*$D18*1.5))</f>
        <v/>
      </c>
      <c r="P18" s="95" t="str">
        <f aca="false"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Q18" s="96"/>
      <c r="R18" s="96"/>
      <c r="S18" s="97" t="str">
        <f aca="false">IF(A18="","",Q18*$D18+IF(OR($F18="Exempt",$E18="Sub"),0,R18*$D18*1.5))</f>
        <v/>
      </c>
      <c r="T18" s="98" t="str">
        <f aca="false"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U18" s="99"/>
      <c r="V18" s="99"/>
      <c r="W18" s="100" t="str">
        <f aca="false">IF(A18="","",U18*$D18+IF(OR($F18="Exempt",$E18="Sub"),0,V18*$D18*1.5))</f>
        <v/>
      </c>
      <c r="X18" s="98" t="str">
        <f aca="false"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Y18" s="99"/>
      <c r="Z18" s="99"/>
      <c r="AA18" s="100" t="str">
        <f aca="false">IF(A18="","",Y18*$D18+IF(OR($F18="Exempt",$E18="Sub"),0,Z18*$D18*1.5))</f>
        <v/>
      </c>
      <c r="AB18" s="98" t="str">
        <f aca="false"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C18" s="99"/>
      <c r="AD18" s="99"/>
      <c r="AE18" s="100" t="str">
        <f aca="false">IF(A18="","",AC18*$D18+IF(OR($F18="Exempt",$E18="Sub"),0,AD18*$D18*1.5))</f>
        <v/>
      </c>
      <c r="AF18" s="101" t="str">
        <f aca="false"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G18" s="102"/>
      <c r="AH18" s="102"/>
      <c r="AI18" s="103" t="str">
        <f aca="false">IF(A18="","",AG18*$D18+IF(OR($F18="Exempt",$E18="Sub"),0,AH18*$D18*1.5))</f>
        <v/>
      </c>
      <c r="AJ18" s="101" t="str">
        <f aca="false"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K18" s="102"/>
      <c r="AL18" s="102"/>
      <c r="AM18" s="103" t="str">
        <f aca="false">IF(A18="","",AK18*$D18+IF(OR($F18="Exempt",$E18="Sub"),0,AL18*$D18*1.5))</f>
        <v/>
      </c>
      <c r="AN18" s="101" t="str">
        <f aca="false"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O18" s="102"/>
      <c r="AP18" s="102"/>
      <c r="AQ18" s="103" t="str">
        <f aca="false">IF(A18="","",AO18*$D18+IF(OR($F18="Exempt",$E18="Sub"),0,AP18*$D18*1.5))</f>
        <v/>
      </c>
      <c r="AR18" s="104" t="str">
        <f aca="false"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S18" s="105"/>
      <c r="AT18" s="105"/>
      <c r="AU18" s="106" t="str">
        <f aca="false">IF(A18="","",AS18*$D18+IF(OR($F18="Exempt",$E18="Sub"),0,AT18*$D18*1.5))</f>
        <v/>
      </c>
      <c r="AV18" s="104" t="str">
        <f aca="false"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W18" s="105"/>
      <c r="AX18" s="105"/>
      <c r="AY18" s="106" t="str">
        <f aca="false">IF(A18="","",AW18*$D18+IF(OR($F18="Exempt",$E18="Sub"),0,AX18*$D18*1.5))</f>
        <v/>
      </c>
      <c r="AZ18" s="104" t="str">
        <f aca="false"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BA18" s="105"/>
      <c r="BB18" s="105"/>
      <c r="BC18" s="106" t="str">
        <f aca="false">IF(A18="","",BA18*$D18+IF(OR($F18="Exempt",$E18="Sub"),0,BB18*$D18*1.5))</f>
        <v/>
      </c>
      <c r="BD18" s="93" t="str">
        <f aca="false">IF(A18="","",SUM(H18,L18,P18,T18,X18,AB18,AF18,AJ18,AN18,AR18,AV18,AZ18))</f>
        <v/>
      </c>
      <c r="BE18" s="93" t="str">
        <f aca="false">IF(A18="","",SUM(I18,J18,M18,N18,Q18,R18,U18,V18,Y18,Z18,AC18,AD18,AG18,AH18,AK18,AL18,AO18,AP18,AS18,AT18,AW18,AX18,BA18,BB18))</f>
        <v/>
      </c>
      <c r="BF18" s="107" t="str">
        <f aca="false">IF(A18="","",BD18*$D18)</f>
        <v/>
      </c>
      <c r="BG18" s="107" t="str">
        <f aca="false">IF(A18="","",SUM(K18,O18,S18,W18,AA18,AE18,AI18,AM18,AQ18,AU18,AY18,BC18))</f>
        <v/>
      </c>
    </row>
    <row r="19" customFormat="false" ht="15" hidden="false" customHeight="true" outlineLevel="0" collapsed="false">
      <c r="A19" s="50"/>
      <c r="B19" s="90"/>
      <c r="C19" s="90"/>
      <c r="D19" s="90"/>
      <c r="E19" s="50"/>
      <c r="F19" s="90"/>
      <c r="G19" s="50"/>
      <c r="H19" s="95" t="str">
        <f aca="false"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I19" s="96"/>
      <c r="J19" s="96"/>
      <c r="K19" s="97" t="str">
        <f aca="false">IF(A19="","",I19*$D19+IF(OR($F19="Exempt",$E19="Sub"),0,J19*$D19*1.5))</f>
        <v/>
      </c>
      <c r="L19" s="95" t="str">
        <f aca="false"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M19" s="96"/>
      <c r="N19" s="96"/>
      <c r="O19" s="97" t="str">
        <f aca="false">IF(A19="","",M19*$D19+IF(OR($F19="Exempt",$E19="Sub"),0,N19*$D19*1.5))</f>
        <v/>
      </c>
      <c r="P19" s="95" t="str">
        <f aca="false"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Q19" s="96"/>
      <c r="R19" s="96"/>
      <c r="S19" s="97" t="str">
        <f aca="false">IF(A19="","",Q19*$D19+IF(OR($F19="Exempt",$E19="Sub"),0,R19*$D19*1.5))</f>
        <v/>
      </c>
      <c r="T19" s="98" t="str">
        <f aca="false"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U19" s="99"/>
      <c r="V19" s="99"/>
      <c r="W19" s="100" t="str">
        <f aca="false">IF(A19="","",U19*$D19+IF(OR($F19="Exempt",$E19="Sub"),0,V19*$D19*1.5))</f>
        <v/>
      </c>
      <c r="X19" s="98" t="str">
        <f aca="false"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Y19" s="99"/>
      <c r="Z19" s="99"/>
      <c r="AA19" s="100" t="str">
        <f aca="false">IF(A19="","",Y19*$D19+IF(OR($F19="Exempt",$E19="Sub"),0,Z19*$D19*1.5))</f>
        <v/>
      </c>
      <c r="AB19" s="98" t="str">
        <f aca="false"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C19" s="99"/>
      <c r="AD19" s="99"/>
      <c r="AE19" s="100" t="str">
        <f aca="false">IF(A19="","",AC19*$D19+IF(OR($F19="Exempt",$E19="Sub"),0,AD19*$D19*1.5))</f>
        <v/>
      </c>
      <c r="AF19" s="101" t="str">
        <f aca="false"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G19" s="102"/>
      <c r="AH19" s="102"/>
      <c r="AI19" s="103" t="str">
        <f aca="false">IF(A19="","",AG19*$D19+IF(OR($F19="Exempt",$E19="Sub"),0,AH19*$D19*1.5))</f>
        <v/>
      </c>
      <c r="AJ19" s="101" t="str">
        <f aca="false"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K19" s="102"/>
      <c r="AL19" s="102"/>
      <c r="AM19" s="103" t="str">
        <f aca="false">IF(A19="","",AK19*$D19+IF(OR($F19="Exempt",$E19="Sub"),0,AL19*$D19*1.5))</f>
        <v/>
      </c>
      <c r="AN19" s="101" t="str">
        <f aca="false"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O19" s="102"/>
      <c r="AP19" s="102"/>
      <c r="AQ19" s="103" t="str">
        <f aca="false">IF(A19="","",AO19*$D19+IF(OR($F19="Exempt",$E19="Sub"),0,AP19*$D19*1.5))</f>
        <v/>
      </c>
      <c r="AR19" s="104" t="str">
        <f aca="false"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S19" s="105"/>
      <c r="AT19" s="105"/>
      <c r="AU19" s="106" t="str">
        <f aca="false">IF(A19="","",AS19*$D19+IF(OR($F19="Exempt",$E19="Sub"),0,AT19*$D19*1.5))</f>
        <v/>
      </c>
      <c r="AV19" s="104" t="str">
        <f aca="false"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W19" s="105"/>
      <c r="AX19" s="105"/>
      <c r="AY19" s="106" t="str">
        <f aca="false">IF(A19="","",AW19*$D19+IF(OR($F19="Exempt",$E19="Sub"),0,AX19*$D19*1.5))</f>
        <v/>
      </c>
      <c r="AZ19" s="104" t="str">
        <f aca="false"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BA19" s="105"/>
      <c r="BB19" s="105"/>
      <c r="BC19" s="106" t="str">
        <f aca="false">IF(A19="","",BA19*$D19+IF(OR($F19="Exempt",$E19="Sub"),0,BB19*$D19*1.5))</f>
        <v/>
      </c>
      <c r="BD19" s="93" t="str">
        <f aca="false">IF(A19="","",SUM(H19,L19,P19,T19,X19,AB19,AF19,AJ19,AN19,AR19,AV19,AZ19))</f>
        <v/>
      </c>
      <c r="BE19" s="93" t="str">
        <f aca="false">IF(A19="","",SUM(I19,J19,M19,N19,Q19,R19,U19,V19,Y19,Z19,AC19,AD19,AG19,AH19,AK19,AL19,AO19,AP19,AS19,AT19,AW19,AX19,BA19,BB19))</f>
        <v/>
      </c>
      <c r="BF19" s="107" t="str">
        <f aca="false">IF(A19="","",BD19*$D19)</f>
        <v/>
      </c>
      <c r="BG19" s="107" t="str">
        <f aca="false">IF(A19="","",SUM(K19,O19,S19,W19,AA19,AE19,AI19,AM19,AQ19,AU19,AY19,BC19))</f>
        <v/>
      </c>
    </row>
    <row r="20" customFormat="false" ht="15" hidden="false" customHeight="true" outlineLevel="0" collapsed="false">
      <c r="A20" s="50"/>
      <c r="B20" s="90"/>
      <c r="C20" s="90"/>
      <c r="D20" s="90"/>
      <c r="E20" s="50"/>
      <c r="F20" s="90"/>
      <c r="G20" s="50"/>
      <c r="H20" s="95" t="str">
        <f aca="false"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I20" s="96"/>
      <c r="J20" s="96"/>
      <c r="K20" s="97" t="str">
        <f aca="false">IF(A20="","",I20*$D20+IF(OR($F20="Exempt",$E20="Sub"),0,J20*$D20*1.5))</f>
        <v/>
      </c>
      <c r="L20" s="95" t="str">
        <f aca="false"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M20" s="96"/>
      <c r="N20" s="96"/>
      <c r="O20" s="97" t="str">
        <f aca="false">IF(A20="","",M20*$D20+IF(OR($F20="Exempt",$E20="Sub"),0,N20*$D20*1.5))</f>
        <v/>
      </c>
      <c r="P20" s="95" t="str">
        <f aca="false"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Q20" s="96"/>
      <c r="R20" s="96"/>
      <c r="S20" s="97" t="str">
        <f aca="false">IF(A20="","",Q20*$D20+IF(OR($F20="Exempt",$E20="Sub"),0,R20*$D20*1.5))</f>
        <v/>
      </c>
      <c r="T20" s="98" t="str">
        <f aca="false"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U20" s="99"/>
      <c r="V20" s="99"/>
      <c r="W20" s="100" t="str">
        <f aca="false">IF(A20="","",U20*$D20+IF(OR($F20="Exempt",$E20="Sub"),0,V20*$D20*1.5))</f>
        <v/>
      </c>
      <c r="X20" s="98" t="str">
        <f aca="false"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Y20" s="99"/>
      <c r="Z20" s="99"/>
      <c r="AA20" s="100" t="str">
        <f aca="false">IF(A20="","",Y20*$D20+IF(OR($F20="Exempt",$E20="Sub"),0,Z20*$D20*1.5))</f>
        <v/>
      </c>
      <c r="AB20" s="98" t="str">
        <f aca="false"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C20" s="99"/>
      <c r="AD20" s="99"/>
      <c r="AE20" s="100" t="str">
        <f aca="false">IF(A20="","",AC20*$D20+IF(OR($F20="Exempt",$E20="Sub"),0,AD20*$D20*1.5))</f>
        <v/>
      </c>
      <c r="AF20" s="101" t="str">
        <f aca="false"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G20" s="102"/>
      <c r="AH20" s="102"/>
      <c r="AI20" s="103" t="str">
        <f aca="false">IF(A20="","",AG20*$D20+IF(OR($F20="Exempt",$E20="Sub"),0,AH20*$D20*1.5))</f>
        <v/>
      </c>
      <c r="AJ20" s="101" t="str">
        <f aca="false"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K20" s="102"/>
      <c r="AL20" s="102"/>
      <c r="AM20" s="103" t="str">
        <f aca="false">IF(A20="","",AK20*$D20+IF(OR($F20="Exempt",$E20="Sub"),0,AL20*$D20*1.5))</f>
        <v/>
      </c>
      <c r="AN20" s="101" t="str">
        <f aca="false"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O20" s="102"/>
      <c r="AP20" s="102"/>
      <c r="AQ20" s="103" t="str">
        <f aca="false">IF(A20="","",AO20*$D20+IF(OR($F20="Exempt",$E20="Sub"),0,AP20*$D20*1.5))</f>
        <v/>
      </c>
      <c r="AR20" s="104" t="str">
        <f aca="false"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S20" s="105"/>
      <c r="AT20" s="105"/>
      <c r="AU20" s="106" t="str">
        <f aca="false">IF(A20="","",AS20*$D20+IF(OR($F20="Exempt",$E20="Sub"),0,AT20*$D20*1.5))</f>
        <v/>
      </c>
      <c r="AV20" s="104" t="str">
        <f aca="false"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W20" s="105"/>
      <c r="AX20" s="105"/>
      <c r="AY20" s="106" t="str">
        <f aca="false">IF(A20="","",AW20*$D20+IF(OR($F20="Exempt",$E20="Sub"),0,AX20*$D20*1.5))</f>
        <v/>
      </c>
      <c r="AZ20" s="104" t="str">
        <f aca="false"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BA20" s="105"/>
      <c r="BB20" s="105"/>
      <c r="BC20" s="106" t="str">
        <f aca="false">IF(A20="","",BA20*$D20+IF(OR($F20="Exempt",$E20="Sub"),0,BB20*$D20*1.5))</f>
        <v/>
      </c>
      <c r="BD20" s="93" t="str">
        <f aca="false">IF(A20="","",SUM(H20,L20,P20,T20,X20,AB20,AF20,AJ20,AN20,AR20,AV20,AZ20))</f>
        <v/>
      </c>
      <c r="BE20" s="93" t="str">
        <f aca="false">IF(A20="","",SUM(I20,J20,M20,N20,Q20,R20,U20,V20,Y20,Z20,AC20,AD20,AG20,AH20,AK20,AL20,AO20,AP20,AS20,AT20,AW20,AX20,BA20,BB20))</f>
        <v/>
      </c>
      <c r="BF20" s="107" t="str">
        <f aca="false">IF(A20="","",BD20*$D20)</f>
        <v/>
      </c>
      <c r="BG20" s="107" t="str">
        <f aca="false">IF(A20="","",SUM(K20,O20,S20,W20,AA20,AE20,AI20,AM20,AQ20,AU20,AY20,BC20))</f>
        <v/>
      </c>
    </row>
    <row r="21" customFormat="false" ht="15" hidden="false" customHeight="true" outlineLevel="0" collapsed="false">
      <c r="A21" s="50"/>
      <c r="B21" s="90"/>
      <c r="C21" s="90"/>
      <c r="D21" s="90"/>
      <c r="E21" s="50"/>
      <c r="F21" s="90"/>
      <c r="G21" s="50"/>
      <c r="H21" s="95" t="str">
        <f aca="false">IFERROR(IF(A21="","",MAX(0,(INDEX(Personnel!$G$5:$G$19,MATCH($A21,Personnel!$A$5:$A$19,0))/12)*((MIN(EOMONTH(EDATE(Dashboard!$C$5,0),0),IF(INDEX(Personnel!$K$5:$K$19,MATCH($A21,Personnel!$A$5:$A$19,0))="",EOMONTH(EDATE(Dashboard!$C$5,0),0),INDEX(Personnel!$K$5:$K$19,MATCH($A21,Personnel!$A$5:$A$19,0))))-MAX(DATE(YEAR(EDATE(Dashboard!$C$5,0)),MONTH(EDATE(Dashboard!$C$5,0)),1),INDEX(Personnel!$J$5:$J$19,MATCH($A21,Personnel!$A$5:$A$19,0)))+1)/DAY(EOMONTH(EDATE(Dashboard!$C$5,0),0))))),"")</f>
        <v/>
      </c>
      <c r="I21" s="96"/>
      <c r="J21" s="96"/>
      <c r="K21" s="97" t="str">
        <f aca="false">IF(A21="","",I21*$D21+IF(OR($F21="Exempt",$E21="Sub"),0,J21*$D21*1.5))</f>
        <v/>
      </c>
      <c r="L21" s="95" t="str">
        <f aca="false">IFERROR(IF(A21="","",MAX(0,(INDEX(Personnel!$G$5:$G$19,MATCH($A21,Personnel!$A$5:$A$19,0))/12)*((MIN(EOMONTH(EDATE(Dashboard!$C$5,1),0),IF(INDEX(Personnel!$K$5:$K$19,MATCH($A21,Personnel!$A$5:$A$19,0))="",EOMONTH(EDATE(Dashboard!$C$5,1),0),INDEX(Personnel!$K$5:$K$19,MATCH($A21,Personnel!$A$5:$A$19,0))))-MAX(DATE(YEAR(EDATE(Dashboard!$C$5,1)),MONTH(EDATE(Dashboard!$C$5,1)),1),INDEX(Personnel!$J$5:$J$19,MATCH($A21,Personnel!$A$5:$A$19,0)))+1)/DAY(EOMONTH(EDATE(Dashboard!$C$5,1),0))))),"")</f>
        <v/>
      </c>
      <c r="M21" s="96"/>
      <c r="N21" s="96"/>
      <c r="O21" s="97" t="str">
        <f aca="false">IF(A21="","",M21*$D21+IF(OR($F21="Exempt",$E21="Sub"),0,N21*$D21*1.5))</f>
        <v/>
      </c>
      <c r="P21" s="95" t="str">
        <f aca="false">IFERROR(IF(A21="","",MAX(0,(INDEX(Personnel!$G$5:$G$19,MATCH($A21,Personnel!$A$5:$A$19,0))/12)*((MIN(EOMONTH(EDATE(Dashboard!$C$5,2),0),IF(INDEX(Personnel!$K$5:$K$19,MATCH($A21,Personnel!$A$5:$A$19,0))="",EOMONTH(EDATE(Dashboard!$C$5,2),0),INDEX(Personnel!$K$5:$K$19,MATCH($A21,Personnel!$A$5:$A$19,0))))-MAX(DATE(YEAR(EDATE(Dashboard!$C$5,2)),MONTH(EDATE(Dashboard!$C$5,2)),1),INDEX(Personnel!$J$5:$J$19,MATCH($A21,Personnel!$A$5:$A$19,0)))+1)/DAY(EOMONTH(EDATE(Dashboard!$C$5,2),0))))),"")</f>
        <v/>
      </c>
      <c r="Q21" s="96"/>
      <c r="R21" s="96"/>
      <c r="S21" s="97" t="str">
        <f aca="false">IF(A21="","",Q21*$D21+IF(OR($F21="Exempt",$E21="Sub"),0,R21*$D21*1.5))</f>
        <v/>
      </c>
      <c r="T21" s="98" t="str">
        <f aca="false">IFERROR(IF(A21="","",MAX(0,(INDEX(Personnel!$G$5:$G$19,MATCH($A21,Personnel!$A$5:$A$19,0))/12)*((MIN(EOMONTH(EDATE(Dashboard!$C$5,3),0),IF(INDEX(Personnel!$K$5:$K$19,MATCH($A21,Personnel!$A$5:$A$19,0))="",EOMONTH(EDATE(Dashboard!$C$5,3),0),INDEX(Personnel!$K$5:$K$19,MATCH($A21,Personnel!$A$5:$A$19,0))))-MAX(DATE(YEAR(EDATE(Dashboard!$C$5,3)),MONTH(EDATE(Dashboard!$C$5,3)),1),INDEX(Personnel!$J$5:$J$19,MATCH($A21,Personnel!$A$5:$A$19,0)))+1)/DAY(EOMONTH(EDATE(Dashboard!$C$5,3),0))))),"")</f>
        <v/>
      </c>
      <c r="U21" s="99"/>
      <c r="V21" s="99"/>
      <c r="W21" s="100" t="str">
        <f aca="false">IF(A21="","",U21*$D21+IF(OR($F21="Exempt",$E21="Sub"),0,V21*$D21*1.5))</f>
        <v/>
      </c>
      <c r="X21" s="98" t="str">
        <f aca="false">IFERROR(IF(A21="","",MAX(0,(INDEX(Personnel!$G$5:$G$19,MATCH($A21,Personnel!$A$5:$A$19,0))/12)*((MIN(EOMONTH(EDATE(Dashboard!$C$5,4),0),IF(INDEX(Personnel!$K$5:$K$19,MATCH($A21,Personnel!$A$5:$A$19,0))="",EOMONTH(EDATE(Dashboard!$C$5,4),0),INDEX(Personnel!$K$5:$K$19,MATCH($A21,Personnel!$A$5:$A$19,0))))-MAX(DATE(YEAR(EDATE(Dashboard!$C$5,4)),MONTH(EDATE(Dashboard!$C$5,4)),1),INDEX(Personnel!$J$5:$J$19,MATCH($A21,Personnel!$A$5:$A$19,0)))+1)/DAY(EOMONTH(EDATE(Dashboard!$C$5,4),0))))),"")</f>
        <v/>
      </c>
      <c r="Y21" s="99"/>
      <c r="Z21" s="99"/>
      <c r="AA21" s="100" t="str">
        <f aca="false">IF(A21="","",Y21*$D21+IF(OR($F21="Exempt",$E21="Sub"),0,Z21*$D21*1.5))</f>
        <v/>
      </c>
      <c r="AB21" s="98" t="str">
        <f aca="false">IFERROR(IF(A21="","",MAX(0,(INDEX(Personnel!$G$5:$G$19,MATCH($A21,Personnel!$A$5:$A$19,0))/12)*((MIN(EOMONTH(EDATE(Dashboard!$C$5,5),0),IF(INDEX(Personnel!$K$5:$K$19,MATCH($A21,Personnel!$A$5:$A$19,0))="",EOMONTH(EDATE(Dashboard!$C$5,5),0),INDEX(Personnel!$K$5:$K$19,MATCH($A21,Personnel!$A$5:$A$19,0))))-MAX(DATE(YEAR(EDATE(Dashboard!$C$5,5)),MONTH(EDATE(Dashboard!$C$5,5)),1),INDEX(Personnel!$J$5:$J$19,MATCH($A21,Personnel!$A$5:$A$19,0)))+1)/DAY(EOMONTH(EDATE(Dashboard!$C$5,5),0))))),"")</f>
        <v/>
      </c>
      <c r="AC21" s="99"/>
      <c r="AD21" s="99"/>
      <c r="AE21" s="100" t="str">
        <f aca="false">IF(A21="","",AC21*$D21+IF(OR($F21="Exempt",$E21="Sub"),0,AD21*$D21*1.5))</f>
        <v/>
      </c>
      <c r="AF21" s="101" t="str">
        <f aca="false">IFERROR(IF(A21="","",MAX(0,(INDEX(Personnel!$G$5:$G$19,MATCH($A21,Personnel!$A$5:$A$19,0))/12)*((MIN(EOMONTH(EDATE(Dashboard!$C$5,6),0),IF(INDEX(Personnel!$K$5:$K$19,MATCH($A21,Personnel!$A$5:$A$19,0))="",EOMONTH(EDATE(Dashboard!$C$5,6),0),INDEX(Personnel!$K$5:$K$19,MATCH($A21,Personnel!$A$5:$A$19,0))))-MAX(DATE(YEAR(EDATE(Dashboard!$C$5,6)),MONTH(EDATE(Dashboard!$C$5,6)),1),INDEX(Personnel!$J$5:$J$19,MATCH($A21,Personnel!$A$5:$A$19,0)))+1)/DAY(EOMONTH(EDATE(Dashboard!$C$5,6),0))))),"")</f>
        <v/>
      </c>
      <c r="AG21" s="102"/>
      <c r="AH21" s="102"/>
      <c r="AI21" s="103" t="str">
        <f aca="false">IF(A21="","",AG21*$D21+IF(OR($F21="Exempt",$E21="Sub"),0,AH21*$D21*1.5))</f>
        <v/>
      </c>
      <c r="AJ21" s="101" t="str">
        <f aca="false">IFERROR(IF(A21="","",MAX(0,(INDEX(Personnel!$G$5:$G$19,MATCH($A21,Personnel!$A$5:$A$19,0))/12)*((MIN(EOMONTH(EDATE(Dashboard!$C$5,7),0),IF(INDEX(Personnel!$K$5:$K$19,MATCH($A21,Personnel!$A$5:$A$19,0))="",EOMONTH(EDATE(Dashboard!$C$5,7),0),INDEX(Personnel!$K$5:$K$19,MATCH($A21,Personnel!$A$5:$A$19,0))))-MAX(DATE(YEAR(EDATE(Dashboard!$C$5,7)),MONTH(EDATE(Dashboard!$C$5,7)),1),INDEX(Personnel!$J$5:$J$19,MATCH($A21,Personnel!$A$5:$A$19,0)))+1)/DAY(EOMONTH(EDATE(Dashboard!$C$5,7),0))))),"")</f>
        <v/>
      </c>
      <c r="AK21" s="102"/>
      <c r="AL21" s="102"/>
      <c r="AM21" s="103" t="str">
        <f aca="false">IF(A21="","",AK21*$D21+IF(OR($F21="Exempt",$E21="Sub"),0,AL21*$D21*1.5))</f>
        <v/>
      </c>
      <c r="AN21" s="101" t="str">
        <f aca="false">IFERROR(IF(A21="","",MAX(0,(INDEX(Personnel!$G$5:$G$19,MATCH($A21,Personnel!$A$5:$A$19,0))/12)*((MIN(EOMONTH(EDATE(Dashboard!$C$5,8),0),IF(INDEX(Personnel!$K$5:$K$19,MATCH($A21,Personnel!$A$5:$A$19,0))="",EOMONTH(EDATE(Dashboard!$C$5,8),0),INDEX(Personnel!$K$5:$K$19,MATCH($A21,Personnel!$A$5:$A$19,0))))-MAX(DATE(YEAR(EDATE(Dashboard!$C$5,8)),MONTH(EDATE(Dashboard!$C$5,8)),1),INDEX(Personnel!$J$5:$J$19,MATCH($A21,Personnel!$A$5:$A$19,0)))+1)/DAY(EOMONTH(EDATE(Dashboard!$C$5,8),0))))),"")</f>
        <v/>
      </c>
      <c r="AO21" s="102"/>
      <c r="AP21" s="102"/>
      <c r="AQ21" s="103" t="str">
        <f aca="false">IF(A21="","",AO21*$D21+IF(OR($F21="Exempt",$E21="Sub"),0,AP21*$D21*1.5))</f>
        <v/>
      </c>
      <c r="AR21" s="104" t="str">
        <f aca="false">IFERROR(IF(A21="","",MAX(0,(INDEX(Personnel!$G$5:$G$19,MATCH($A21,Personnel!$A$5:$A$19,0))/12)*((MIN(EOMONTH(EDATE(Dashboard!$C$5,9),0),IF(INDEX(Personnel!$K$5:$K$19,MATCH($A21,Personnel!$A$5:$A$19,0))="",EOMONTH(EDATE(Dashboard!$C$5,9),0),INDEX(Personnel!$K$5:$K$19,MATCH($A21,Personnel!$A$5:$A$19,0))))-MAX(DATE(YEAR(EDATE(Dashboard!$C$5,9)),MONTH(EDATE(Dashboard!$C$5,9)),1),INDEX(Personnel!$J$5:$J$19,MATCH($A21,Personnel!$A$5:$A$19,0)))+1)/DAY(EOMONTH(EDATE(Dashboard!$C$5,9),0))))),"")</f>
        <v/>
      </c>
      <c r="AS21" s="105"/>
      <c r="AT21" s="105"/>
      <c r="AU21" s="106" t="str">
        <f aca="false">IF(A21="","",AS21*$D21+IF(OR($F21="Exempt",$E21="Sub"),0,AT21*$D21*1.5))</f>
        <v/>
      </c>
      <c r="AV21" s="104" t="str">
        <f aca="false">IFERROR(IF(A21="","",MAX(0,(INDEX(Personnel!$G$5:$G$19,MATCH($A21,Personnel!$A$5:$A$19,0))/12)*((MIN(EOMONTH(EDATE(Dashboard!$C$5,10),0),IF(INDEX(Personnel!$K$5:$K$19,MATCH($A21,Personnel!$A$5:$A$19,0))="",EOMONTH(EDATE(Dashboard!$C$5,10),0),INDEX(Personnel!$K$5:$K$19,MATCH($A21,Personnel!$A$5:$A$19,0))))-MAX(DATE(YEAR(EDATE(Dashboard!$C$5,10)),MONTH(EDATE(Dashboard!$C$5,10)),1),INDEX(Personnel!$J$5:$J$19,MATCH($A21,Personnel!$A$5:$A$19,0)))+1)/DAY(EOMONTH(EDATE(Dashboard!$C$5,10),0))))),"")</f>
        <v/>
      </c>
      <c r="AW21" s="105"/>
      <c r="AX21" s="105"/>
      <c r="AY21" s="106" t="str">
        <f aca="false">IF(A21="","",AW21*$D21+IF(OR($F21="Exempt",$E21="Sub"),0,AX21*$D21*1.5))</f>
        <v/>
      </c>
      <c r="AZ21" s="104" t="str">
        <f aca="false">IFERROR(IF(A21="","",MAX(0,(INDEX(Personnel!$G$5:$G$19,MATCH($A21,Personnel!$A$5:$A$19,0))/12)*((MIN(EOMONTH(EDATE(Dashboard!$C$5,11),0),IF(INDEX(Personnel!$K$5:$K$19,MATCH($A21,Personnel!$A$5:$A$19,0))="",EOMONTH(EDATE(Dashboard!$C$5,11),0),INDEX(Personnel!$K$5:$K$19,MATCH($A21,Personnel!$A$5:$A$19,0))))-MAX(DATE(YEAR(EDATE(Dashboard!$C$5,11)),MONTH(EDATE(Dashboard!$C$5,11)),1),INDEX(Personnel!$J$5:$J$19,MATCH($A21,Personnel!$A$5:$A$19,0)))+1)/DAY(EOMONTH(EDATE(Dashboard!$C$5,11),0))))),"")</f>
        <v/>
      </c>
      <c r="BA21" s="105"/>
      <c r="BB21" s="105"/>
      <c r="BC21" s="106" t="str">
        <f aca="false">IF(A21="","",BA21*$D21+IF(OR($F21="Exempt",$E21="Sub"),0,BB21*$D21*1.5))</f>
        <v/>
      </c>
      <c r="BD21" s="93" t="str">
        <f aca="false">IF(A21="","",SUM(H21,L21,P21,T21,X21,AB21,AF21,AJ21,AN21,AR21,AV21,AZ21))</f>
        <v/>
      </c>
      <c r="BE21" s="93" t="str">
        <f aca="false">IF(A21="","",SUM(I21,J21,M21,N21,Q21,R21,U21,V21,Y21,Z21,AC21,AD21,AG21,AH21,AK21,AL21,AO21,AP21,AS21,AT21,AW21,AX21,BA21,BB21))</f>
        <v/>
      </c>
      <c r="BF21" s="107" t="str">
        <f aca="false">IF(A21="","",BD21*$D21)</f>
        <v/>
      </c>
      <c r="BG21" s="107" t="str">
        <f aca="false">IF(A21="","",SUM(K21,O21,S21,W21,AA21,AE21,AI21,AM21,AQ21,AU21,AY21,BC21))</f>
        <v/>
      </c>
    </row>
    <row r="22" customFormat="false" ht="15" hidden="false" customHeight="true" outlineLevel="0" collapsed="false">
      <c r="A22" s="50"/>
      <c r="B22" s="90"/>
      <c r="C22" s="90"/>
      <c r="D22" s="90"/>
      <c r="E22" s="50"/>
      <c r="F22" s="90"/>
      <c r="G22" s="50"/>
      <c r="H22" s="95" t="str">
        <f aca="false">IFERROR(IF(A22="","",MAX(0,(INDEX(Personnel!$G$5:$G$19,MATCH($A22,Personnel!$A$5:$A$19,0))/12)*((MIN(EOMONTH(EDATE(Dashboard!$C$5,0),0),IF(INDEX(Personnel!$K$5:$K$19,MATCH($A22,Personnel!$A$5:$A$19,0))="",EOMONTH(EDATE(Dashboard!$C$5,0),0),INDEX(Personnel!$K$5:$K$19,MATCH($A22,Personnel!$A$5:$A$19,0))))-MAX(DATE(YEAR(EDATE(Dashboard!$C$5,0)),MONTH(EDATE(Dashboard!$C$5,0)),1),INDEX(Personnel!$J$5:$J$19,MATCH($A22,Personnel!$A$5:$A$19,0)))+1)/DAY(EOMONTH(EDATE(Dashboard!$C$5,0),0))))),"")</f>
        <v/>
      </c>
      <c r="I22" s="96"/>
      <c r="J22" s="96"/>
      <c r="K22" s="97" t="str">
        <f aca="false">IF(A22="","",I22*$D22+IF(OR($F22="Exempt",$E22="Sub"),0,J22*$D22*1.5))</f>
        <v/>
      </c>
      <c r="L22" s="95" t="str">
        <f aca="false">IFERROR(IF(A22="","",MAX(0,(INDEX(Personnel!$G$5:$G$19,MATCH($A22,Personnel!$A$5:$A$19,0))/12)*((MIN(EOMONTH(EDATE(Dashboard!$C$5,1),0),IF(INDEX(Personnel!$K$5:$K$19,MATCH($A22,Personnel!$A$5:$A$19,0))="",EOMONTH(EDATE(Dashboard!$C$5,1),0),INDEX(Personnel!$K$5:$K$19,MATCH($A22,Personnel!$A$5:$A$19,0))))-MAX(DATE(YEAR(EDATE(Dashboard!$C$5,1)),MONTH(EDATE(Dashboard!$C$5,1)),1),INDEX(Personnel!$J$5:$J$19,MATCH($A22,Personnel!$A$5:$A$19,0)))+1)/DAY(EOMONTH(EDATE(Dashboard!$C$5,1),0))))),"")</f>
        <v/>
      </c>
      <c r="M22" s="96"/>
      <c r="N22" s="96"/>
      <c r="O22" s="97" t="str">
        <f aca="false">IF(A22="","",M22*$D22+IF(OR($F22="Exempt",$E22="Sub"),0,N22*$D22*1.5))</f>
        <v/>
      </c>
      <c r="P22" s="95" t="str">
        <f aca="false">IFERROR(IF(A22="","",MAX(0,(INDEX(Personnel!$G$5:$G$19,MATCH($A22,Personnel!$A$5:$A$19,0))/12)*((MIN(EOMONTH(EDATE(Dashboard!$C$5,2),0),IF(INDEX(Personnel!$K$5:$K$19,MATCH($A22,Personnel!$A$5:$A$19,0))="",EOMONTH(EDATE(Dashboard!$C$5,2),0),INDEX(Personnel!$K$5:$K$19,MATCH($A22,Personnel!$A$5:$A$19,0))))-MAX(DATE(YEAR(EDATE(Dashboard!$C$5,2)),MONTH(EDATE(Dashboard!$C$5,2)),1),INDEX(Personnel!$J$5:$J$19,MATCH($A22,Personnel!$A$5:$A$19,0)))+1)/DAY(EOMONTH(EDATE(Dashboard!$C$5,2),0))))),"")</f>
        <v/>
      </c>
      <c r="Q22" s="96"/>
      <c r="R22" s="96"/>
      <c r="S22" s="97" t="str">
        <f aca="false">IF(A22="","",Q22*$D22+IF(OR($F22="Exempt",$E22="Sub"),0,R22*$D22*1.5))</f>
        <v/>
      </c>
      <c r="T22" s="98" t="str">
        <f aca="false">IFERROR(IF(A22="","",MAX(0,(INDEX(Personnel!$G$5:$G$19,MATCH($A22,Personnel!$A$5:$A$19,0))/12)*((MIN(EOMONTH(EDATE(Dashboard!$C$5,3),0),IF(INDEX(Personnel!$K$5:$K$19,MATCH($A22,Personnel!$A$5:$A$19,0))="",EOMONTH(EDATE(Dashboard!$C$5,3),0),INDEX(Personnel!$K$5:$K$19,MATCH($A22,Personnel!$A$5:$A$19,0))))-MAX(DATE(YEAR(EDATE(Dashboard!$C$5,3)),MONTH(EDATE(Dashboard!$C$5,3)),1),INDEX(Personnel!$J$5:$J$19,MATCH($A22,Personnel!$A$5:$A$19,0)))+1)/DAY(EOMONTH(EDATE(Dashboard!$C$5,3),0))))),"")</f>
        <v/>
      </c>
      <c r="U22" s="99"/>
      <c r="V22" s="99"/>
      <c r="W22" s="100" t="str">
        <f aca="false">IF(A22="","",U22*$D22+IF(OR($F22="Exempt",$E22="Sub"),0,V22*$D22*1.5))</f>
        <v/>
      </c>
      <c r="X22" s="98" t="str">
        <f aca="false">IFERROR(IF(A22="","",MAX(0,(INDEX(Personnel!$G$5:$G$19,MATCH($A22,Personnel!$A$5:$A$19,0))/12)*((MIN(EOMONTH(EDATE(Dashboard!$C$5,4),0),IF(INDEX(Personnel!$K$5:$K$19,MATCH($A22,Personnel!$A$5:$A$19,0))="",EOMONTH(EDATE(Dashboard!$C$5,4),0),INDEX(Personnel!$K$5:$K$19,MATCH($A22,Personnel!$A$5:$A$19,0))))-MAX(DATE(YEAR(EDATE(Dashboard!$C$5,4)),MONTH(EDATE(Dashboard!$C$5,4)),1),INDEX(Personnel!$J$5:$J$19,MATCH($A22,Personnel!$A$5:$A$19,0)))+1)/DAY(EOMONTH(EDATE(Dashboard!$C$5,4),0))))),"")</f>
        <v/>
      </c>
      <c r="Y22" s="99"/>
      <c r="Z22" s="99"/>
      <c r="AA22" s="100" t="str">
        <f aca="false">IF(A22="","",Y22*$D22+IF(OR($F22="Exempt",$E22="Sub"),0,Z22*$D22*1.5))</f>
        <v/>
      </c>
      <c r="AB22" s="98" t="str">
        <f aca="false">IFERROR(IF(A22="","",MAX(0,(INDEX(Personnel!$G$5:$G$19,MATCH($A22,Personnel!$A$5:$A$19,0))/12)*((MIN(EOMONTH(EDATE(Dashboard!$C$5,5),0),IF(INDEX(Personnel!$K$5:$K$19,MATCH($A22,Personnel!$A$5:$A$19,0))="",EOMONTH(EDATE(Dashboard!$C$5,5),0),INDEX(Personnel!$K$5:$K$19,MATCH($A22,Personnel!$A$5:$A$19,0))))-MAX(DATE(YEAR(EDATE(Dashboard!$C$5,5)),MONTH(EDATE(Dashboard!$C$5,5)),1),INDEX(Personnel!$J$5:$J$19,MATCH($A22,Personnel!$A$5:$A$19,0)))+1)/DAY(EOMONTH(EDATE(Dashboard!$C$5,5),0))))),"")</f>
        <v/>
      </c>
      <c r="AC22" s="99"/>
      <c r="AD22" s="99"/>
      <c r="AE22" s="100" t="str">
        <f aca="false">IF(A22="","",AC22*$D22+IF(OR($F22="Exempt",$E22="Sub"),0,AD22*$D22*1.5))</f>
        <v/>
      </c>
      <c r="AF22" s="101" t="str">
        <f aca="false">IFERROR(IF(A22="","",MAX(0,(INDEX(Personnel!$G$5:$G$19,MATCH($A22,Personnel!$A$5:$A$19,0))/12)*((MIN(EOMONTH(EDATE(Dashboard!$C$5,6),0),IF(INDEX(Personnel!$K$5:$K$19,MATCH($A22,Personnel!$A$5:$A$19,0))="",EOMONTH(EDATE(Dashboard!$C$5,6),0),INDEX(Personnel!$K$5:$K$19,MATCH($A22,Personnel!$A$5:$A$19,0))))-MAX(DATE(YEAR(EDATE(Dashboard!$C$5,6)),MONTH(EDATE(Dashboard!$C$5,6)),1),INDEX(Personnel!$J$5:$J$19,MATCH($A22,Personnel!$A$5:$A$19,0)))+1)/DAY(EOMONTH(EDATE(Dashboard!$C$5,6),0))))),"")</f>
        <v/>
      </c>
      <c r="AG22" s="102"/>
      <c r="AH22" s="102"/>
      <c r="AI22" s="103" t="str">
        <f aca="false">IF(A22="","",AG22*$D22+IF(OR($F22="Exempt",$E22="Sub"),0,AH22*$D22*1.5))</f>
        <v/>
      </c>
      <c r="AJ22" s="101" t="str">
        <f aca="false">IFERROR(IF(A22="","",MAX(0,(INDEX(Personnel!$G$5:$G$19,MATCH($A22,Personnel!$A$5:$A$19,0))/12)*((MIN(EOMONTH(EDATE(Dashboard!$C$5,7),0),IF(INDEX(Personnel!$K$5:$K$19,MATCH($A22,Personnel!$A$5:$A$19,0))="",EOMONTH(EDATE(Dashboard!$C$5,7),0),INDEX(Personnel!$K$5:$K$19,MATCH($A22,Personnel!$A$5:$A$19,0))))-MAX(DATE(YEAR(EDATE(Dashboard!$C$5,7)),MONTH(EDATE(Dashboard!$C$5,7)),1),INDEX(Personnel!$J$5:$J$19,MATCH($A22,Personnel!$A$5:$A$19,0)))+1)/DAY(EOMONTH(EDATE(Dashboard!$C$5,7),0))))),"")</f>
        <v/>
      </c>
      <c r="AK22" s="102"/>
      <c r="AL22" s="102"/>
      <c r="AM22" s="103" t="str">
        <f aca="false">IF(A22="","",AK22*$D22+IF(OR($F22="Exempt",$E22="Sub"),0,AL22*$D22*1.5))</f>
        <v/>
      </c>
      <c r="AN22" s="101" t="str">
        <f aca="false">IFERROR(IF(A22="","",MAX(0,(INDEX(Personnel!$G$5:$G$19,MATCH($A22,Personnel!$A$5:$A$19,0))/12)*((MIN(EOMONTH(EDATE(Dashboard!$C$5,8),0),IF(INDEX(Personnel!$K$5:$K$19,MATCH($A22,Personnel!$A$5:$A$19,0))="",EOMONTH(EDATE(Dashboard!$C$5,8),0),INDEX(Personnel!$K$5:$K$19,MATCH($A22,Personnel!$A$5:$A$19,0))))-MAX(DATE(YEAR(EDATE(Dashboard!$C$5,8)),MONTH(EDATE(Dashboard!$C$5,8)),1),INDEX(Personnel!$J$5:$J$19,MATCH($A22,Personnel!$A$5:$A$19,0)))+1)/DAY(EOMONTH(EDATE(Dashboard!$C$5,8),0))))),"")</f>
        <v/>
      </c>
      <c r="AO22" s="102"/>
      <c r="AP22" s="102"/>
      <c r="AQ22" s="103" t="str">
        <f aca="false">IF(A22="","",AO22*$D22+IF(OR($F22="Exempt",$E22="Sub"),0,AP22*$D22*1.5))</f>
        <v/>
      </c>
      <c r="AR22" s="104" t="str">
        <f aca="false">IFERROR(IF(A22="","",MAX(0,(INDEX(Personnel!$G$5:$G$19,MATCH($A22,Personnel!$A$5:$A$19,0))/12)*((MIN(EOMONTH(EDATE(Dashboard!$C$5,9),0),IF(INDEX(Personnel!$K$5:$K$19,MATCH($A22,Personnel!$A$5:$A$19,0))="",EOMONTH(EDATE(Dashboard!$C$5,9),0),INDEX(Personnel!$K$5:$K$19,MATCH($A22,Personnel!$A$5:$A$19,0))))-MAX(DATE(YEAR(EDATE(Dashboard!$C$5,9)),MONTH(EDATE(Dashboard!$C$5,9)),1),INDEX(Personnel!$J$5:$J$19,MATCH($A22,Personnel!$A$5:$A$19,0)))+1)/DAY(EOMONTH(EDATE(Dashboard!$C$5,9),0))))),"")</f>
        <v/>
      </c>
      <c r="AS22" s="105"/>
      <c r="AT22" s="105"/>
      <c r="AU22" s="106" t="str">
        <f aca="false">IF(A22="","",AS22*$D22+IF(OR($F22="Exempt",$E22="Sub"),0,AT22*$D22*1.5))</f>
        <v/>
      </c>
      <c r="AV22" s="104" t="str">
        <f aca="false">IFERROR(IF(A22="","",MAX(0,(INDEX(Personnel!$G$5:$G$19,MATCH($A22,Personnel!$A$5:$A$19,0))/12)*((MIN(EOMONTH(EDATE(Dashboard!$C$5,10),0),IF(INDEX(Personnel!$K$5:$K$19,MATCH($A22,Personnel!$A$5:$A$19,0))="",EOMONTH(EDATE(Dashboard!$C$5,10),0),INDEX(Personnel!$K$5:$K$19,MATCH($A22,Personnel!$A$5:$A$19,0))))-MAX(DATE(YEAR(EDATE(Dashboard!$C$5,10)),MONTH(EDATE(Dashboard!$C$5,10)),1),INDEX(Personnel!$J$5:$J$19,MATCH($A22,Personnel!$A$5:$A$19,0)))+1)/DAY(EOMONTH(EDATE(Dashboard!$C$5,10),0))))),"")</f>
        <v/>
      </c>
      <c r="AW22" s="105"/>
      <c r="AX22" s="105"/>
      <c r="AY22" s="106" t="str">
        <f aca="false">IF(A22="","",AW22*$D22+IF(OR($F22="Exempt",$E22="Sub"),0,AX22*$D22*1.5))</f>
        <v/>
      </c>
      <c r="AZ22" s="104" t="str">
        <f aca="false">IFERROR(IF(A22="","",MAX(0,(INDEX(Personnel!$G$5:$G$19,MATCH($A22,Personnel!$A$5:$A$19,0))/12)*((MIN(EOMONTH(EDATE(Dashboard!$C$5,11),0),IF(INDEX(Personnel!$K$5:$K$19,MATCH($A22,Personnel!$A$5:$A$19,0))="",EOMONTH(EDATE(Dashboard!$C$5,11),0),INDEX(Personnel!$K$5:$K$19,MATCH($A22,Personnel!$A$5:$A$19,0))))-MAX(DATE(YEAR(EDATE(Dashboard!$C$5,11)),MONTH(EDATE(Dashboard!$C$5,11)),1),INDEX(Personnel!$J$5:$J$19,MATCH($A22,Personnel!$A$5:$A$19,0)))+1)/DAY(EOMONTH(EDATE(Dashboard!$C$5,11),0))))),"")</f>
        <v/>
      </c>
      <c r="BA22" s="105"/>
      <c r="BB22" s="105"/>
      <c r="BC22" s="106" t="str">
        <f aca="false">IF(A22="","",BA22*$D22+IF(OR($F22="Exempt",$E22="Sub"),0,BB22*$D22*1.5))</f>
        <v/>
      </c>
      <c r="BD22" s="93" t="str">
        <f aca="false">IF(A22="","",SUM(H22,L22,P22,T22,X22,AB22,AF22,AJ22,AN22,AR22,AV22,AZ22))</f>
        <v/>
      </c>
      <c r="BE22" s="93" t="str">
        <f aca="false">IF(A22="","",SUM(I22,J22,M22,N22,Q22,R22,U22,V22,Y22,Z22,AC22,AD22,AG22,AH22,AK22,AL22,AO22,AP22,AS22,AT22,AW22,AX22,BA22,BB22))</f>
        <v/>
      </c>
      <c r="BF22" s="107" t="str">
        <f aca="false">IF(A22="","",BD22*$D22)</f>
        <v/>
      </c>
      <c r="BG22" s="107" t="str">
        <f aca="false">IF(A22="","",SUM(K22,O22,S22,W22,AA22,AE22,AI22,AM22,AQ22,AU22,AY22,BC22))</f>
        <v/>
      </c>
    </row>
    <row r="23" customFormat="false" ht="15" hidden="false" customHeight="true" outlineLevel="0" collapsed="false">
      <c r="A23" s="50"/>
      <c r="B23" s="90"/>
      <c r="C23" s="90"/>
      <c r="D23" s="90"/>
      <c r="E23" s="50"/>
      <c r="F23" s="90"/>
      <c r="G23" s="50"/>
      <c r="H23" s="95" t="str">
        <f aca="false">IFERROR(IF(A23="","",MAX(0,(INDEX(Personnel!$G$5:$G$19,MATCH($A23,Personnel!$A$5:$A$19,0))/12)*((MIN(EOMONTH(EDATE(Dashboard!$C$5,0),0),IF(INDEX(Personnel!$K$5:$K$19,MATCH($A23,Personnel!$A$5:$A$19,0))="",EOMONTH(EDATE(Dashboard!$C$5,0),0),INDEX(Personnel!$K$5:$K$19,MATCH($A23,Personnel!$A$5:$A$19,0))))-MAX(DATE(YEAR(EDATE(Dashboard!$C$5,0)),MONTH(EDATE(Dashboard!$C$5,0)),1),INDEX(Personnel!$J$5:$J$19,MATCH($A23,Personnel!$A$5:$A$19,0)))+1)/DAY(EOMONTH(EDATE(Dashboard!$C$5,0),0))))),"")</f>
        <v/>
      </c>
      <c r="I23" s="96"/>
      <c r="J23" s="96"/>
      <c r="K23" s="97" t="str">
        <f aca="false">IF(A23="","",I23*$D23+IF(OR($F23="Exempt",$E23="Sub"),0,J23*$D23*1.5))</f>
        <v/>
      </c>
      <c r="L23" s="95" t="str">
        <f aca="false">IFERROR(IF(A23="","",MAX(0,(INDEX(Personnel!$G$5:$G$19,MATCH($A23,Personnel!$A$5:$A$19,0))/12)*((MIN(EOMONTH(EDATE(Dashboard!$C$5,1),0),IF(INDEX(Personnel!$K$5:$K$19,MATCH($A23,Personnel!$A$5:$A$19,0))="",EOMONTH(EDATE(Dashboard!$C$5,1),0),INDEX(Personnel!$K$5:$K$19,MATCH($A23,Personnel!$A$5:$A$19,0))))-MAX(DATE(YEAR(EDATE(Dashboard!$C$5,1)),MONTH(EDATE(Dashboard!$C$5,1)),1),INDEX(Personnel!$J$5:$J$19,MATCH($A23,Personnel!$A$5:$A$19,0)))+1)/DAY(EOMONTH(EDATE(Dashboard!$C$5,1),0))))),"")</f>
        <v/>
      </c>
      <c r="M23" s="96"/>
      <c r="N23" s="96"/>
      <c r="O23" s="97" t="str">
        <f aca="false">IF(A23="","",M23*$D23+IF(OR($F23="Exempt",$E23="Sub"),0,N23*$D23*1.5))</f>
        <v/>
      </c>
      <c r="P23" s="95" t="str">
        <f aca="false">IFERROR(IF(A23="","",MAX(0,(INDEX(Personnel!$G$5:$G$19,MATCH($A23,Personnel!$A$5:$A$19,0))/12)*((MIN(EOMONTH(EDATE(Dashboard!$C$5,2),0),IF(INDEX(Personnel!$K$5:$K$19,MATCH($A23,Personnel!$A$5:$A$19,0))="",EOMONTH(EDATE(Dashboard!$C$5,2),0),INDEX(Personnel!$K$5:$K$19,MATCH($A23,Personnel!$A$5:$A$19,0))))-MAX(DATE(YEAR(EDATE(Dashboard!$C$5,2)),MONTH(EDATE(Dashboard!$C$5,2)),1),INDEX(Personnel!$J$5:$J$19,MATCH($A23,Personnel!$A$5:$A$19,0)))+1)/DAY(EOMONTH(EDATE(Dashboard!$C$5,2),0))))),"")</f>
        <v/>
      </c>
      <c r="Q23" s="96"/>
      <c r="R23" s="96"/>
      <c r="S23" s="97" t="str">
        <f aca="false">IF(A23="","",Q23*$D23+IF(OR($F23="Exempt",$E23="Sub"),0,R23*$D23*1.5))</f>
        <v/>
      </c>
      <c r="T23" s="98" t="str">
        <f aca="false">IFERROR(IF(A23="","",MAX(0,(INDEX(Personnel!$G$5:$G$19,MATCH($A23,Personnel!$A$5:$A$19,0))/12)*((MIN(EOMONTH(EDATE(Dashboard!$C$5,3),0),IF(INDEX(Personnel!$K$5:$K$19,MATCH($A23,Personnel!$A$5:$A$19,0))="",EOMONTH(EDATE(Dashboard!$C$5,3),0),INDEX(Personnel!$K$5:$K$19,MATCH($A23,Personnel!$A$5:$A$19,0))))-MAX(DATE(YEAR(EDATE(Dashboard!$C$5,3)),MONTH(EDATE(Dashboard!$C$5,3)),1),INDEX(Personnel!$J$5:$J$19,MATCH($A23,Personnel!$A$5:$A$19,0)))+1)/DAY(EOMONTH(EDATE(Dashboard!$C$5,3),0))))),"")</f>
        <v/>
      </c>
      <c r="U23" s="99"/>
      <c r="V23" s="99"/>
      <c r="W23" s="100" t="str">
        <f aca="false">IF(A23="","",U23*$D23+IF(OR($F23="Exempt",$E23="Sub"),0,V23*$D23*1.5))</f>
        <v/>
      </c>
      <c r="X23" s="98" t="str">
        <f aca="false">IFERROR(IF(A23="","",MAX(0,(INDEX(Personnel!$G$5:$G$19,MATCH($A23,Personnel!$A$5:$A$19,0))/12)*((MIN(EOMONTH(EDATE(Dashboard!$C$5,4),0),IF(INDEX(Personnel!$K$5:$K$19,MATCH($A23,Personnel!$A$5:$A$19,0))="",EOMONTH(EDATE(Dashboard!$C$5,4),0),INDEX(Personnel!$K$5:$K$19,MATCH($A23,Personnel!$A$5:$A$19,0))))-MAX(DATE(YEAR(EDATE(Dashboard!$C$5,4)),MONTH(EDATE(Dashboard!$C$5,4)),1),INDEX(Personnel!$J$5:$J$19,MATCH($A23,Personnel!$A$5:$A$19,0)))+1)/DAY(EOMONTH(EDATE(Dashboard!$C$5,4),0))))),"")</f>
        <v/>
      </c>
      <c r="Y23" s="99"/>
      <c r="Z23" s="99"/>
      <c r="AA23" s="100" t="str">
        <f aca="false">IF(A23="","",Y23*$D23+IF(OR($F23="Exempt",$E23="Sub"),0,Z23*$D23*1.5))</f>
        <v/>
      </c>
      <c r="AB23" s="98" t="str">
        <f aca="false">IFERROR(IF(A23="","",MAX(0,(INDEX(Personnel!$G$5:$G$19,MATCH($A23,Personnel!$A$5:$A$19,0))/12)*((MIN(EOMONTH(EDATE(Dashboard!$C$5,5),0),IF(INDEX(Personnel!$K$5:$K$19,MATCH($A23,Personnel!$A$5:$A$19,0))="",EOMONTH(EDATE(Dashboard!$C$5,5),0),INDEX(Personnel!$K$5:$K$19,MATCH($A23,Personnel!$A$5:$A$19,0))))-MAX(DATE(YEAR(EDATE(Dashboard!$C$5,5)),MONTH(EDATE(Dashboard!$C$5,5)),1),INDEX(Personnel!$J$5:$J$19,MATCH($A23,Personnel!$A$5:$A$19,0)))+1)/DAY(EOMONTH(EDATE(Dashboard!$C$5,5),0))))),"")</f>
        <v/>
      </c>
      <c r="AC23" s="99"/>
      <c r="AD23" s="99"/>
      <c r="AE23" s="100" t="str">
        <f aca="false">IF(A23="","",AC23*$D23+IF(OR($F23="Exempt",$E23="Sub"),0,AD23*$D23*1.5))</f>
        <v/>
      </c>
      <c r="AF23" s="101" t="str">
        <f aca="false">IFERROR(IF(A23="","",MAX(0,(INDEX(Personnel!$G$5:$G$19,MATCH($A23,Personnel!$A$5:$A$19,0))/12)*((MIN(EOMONTH(EDATE(Dashboard!$C$5,6),0),IF(INDEX(Personnel!$K$5:$K$19,MATCH($A23,Personnel!$A$5:$A$19,0))="",EOMONTH(EDATE(Dashboard!$C$5,6),0),INDEX(Personnel!$K$5:$K$19,MATCH($A23,Personnel!$A$5:$A$19,0))))-MAX(DATE(YEAR(EDATE(Dashboard!$C$5,6)),MONTH(EDATE(Dashboard!$C$5,6)),1),INDEX(Personnel!$J$5:$J$19,MATCH($A23,Personnel!$A$5:$A$19,0)))+1)/DAY(EOMONTH(EDATE(Dashboard!$C$5,6),0))))),"")</f>
        <v/>
      </c>
      <c r="AG23" s="102"/>
      <c r="AH23" s="102"/>
      <c r="AI23" s="103" t="str">
        <f aca="false">IF(A23="","",AG23*$D23+IF(OR($F23="Exempt",$E23="Sub"),0,AH23*$D23*1.5))</f>
        <v/>
      </c>
      <c r="AJ23" s="101" t="str">
        <f aca="false">IFERROR(IF(A23="","",MAX(0,(INDEX(Personnel!$G$5:$G$19,MATCH($A23,Personnel!$A$5:$A$19,0))/12)*((MIN(EOMONTH(EDATE(Dashboard!$C$5,7),0),IF(INDEX(Personnel!$K$5:$K$19,MATCH($A23,Personnel!$A$5:$A$19,0))="",EOMONTH(EDATE(Dashboard!$C$5,7),0),INDEX(Personnel!$K$5:$K$19,MATCH($A23,Personnel!$A$5:$A$19,0))))-MAX(DATE(YEAR(EDATE(Dashboard!$C$5,7)),MONTH(EDATE(Dashboard!$C$5,7)),1),INDEX(Personnel!$J$5:$J$19,MATCH($A23,Personnel!$A$5:$A$19,0)))+1)/DAY(EOMONTH(EDATE(Dashboard!$C$5,7),0))))),"")</f>
        <v/>
      </c>
      <c r="AK23" s="102"/>
      <c r="AL23" s="102"/>
      <c r="AM23" s="103" t="str">
        <f aca="false">IF(A23="","",AK23*$D23+IF(OR($F23="Exempt",$E23="Sub"),0,AL23*$D23*1.5))</f>
        <v/>
      </c>
      <c r="AN23" s="101" t="str">
        <f aca="false">IFERROR(IF(A23="","",MAX(0,(INDEX(Personnel!$G$5:$G$19,MATCH($A23,Personnel!$A$5:$A$19,0))/12)*((MIN(EOMONTH(EDATE(Dashboard!$C$5,8),0),IF(INDEX(Personnel!$K$5:$K$19,MATCH($A23,Personnel!$A$5:$A$19,0))="",EOMONTH(EDATE(Dashboard!$C$5,8),0),INDEX(Personnel!$K$5:$K$19,MATCH($A23,Personnel!$A$5:$A$19,0))))-MAX(DATE(YEAR(EDATE(Dashboard!$C$5,8)),MONTH(EDATE(Dashboard!$C$5,8)),1),INDEX(Personnel!$J$5:$J$19,MATCH($A23,Personnel!$A$5:$A$19,0)))+1)/DAY(EOMONTH(EDATE(Dashboard!$C$5,8),0))))),"")</f>
        <v/>
      </c>
      <c r="AO23" s="102"/>
      <c r="AP23" s="102"/>
      <c r="AQ23" s="103" t="str">
        <f aca="false">IF(A23="","",AO23*$D23+IF(OR($F23="Exempt",$E23="Sub"),0,AP23*$D23*1.5))</f>
        <v/>
      </c>
      <c r="AR23" s="104" t="str">
        <f aca="false">IFERROR(IF(A23="","",MAX(0,(INDEX(Personnel!$G$5:$G$19,MATCH($A23,Personnel!$A$5:$A$19,0))/12)*((MIN(EOMONTH(EDATE(Dashboard!$C$5,9),0),IF(INDEX(Personnel!$K$5:$K$19,MATCH($A23,Personnel!$A$5:$A$19,0))="",EOMONTH(EDATE(Dashboard!$C$5,9),0),INDEX(Personnel!$K$5:$K$19,MATCH($A23,Personnel!$A$5:$A$19,0))))-MAX(DATE(YEAR(EDATE(Dashboard!$C$5,9)),MONTH(EDATE(Dashboard!$C$5,9)),1),INDEX(Personnel!$J$5:$J$19,MATCH($A23,Personnel!$A$5:$A$19,0)))+1)/DAY(EOMONTH(EDATE(Dashboard!$C$5,9),0))))),"")</f>
        <v/>
      </c>
      <c r="AS23" s="105"/>
      <c r="AT23" s="105"/>
      <c r="AU23" s="106" t="str">
        <f aca="false">IF(A23="","",AS23*$D23+IF(OR($F23="Exempt",$E23="Sub"),0,AT23*$D23*1.5))</f>
        <v/>
      </c>
      <c r="AV23" s="104" t="str">
        <f aca="false">IFERROR(IF(A23="","",MAX(0,(INDEX(Personnel!$G$5:$G$19,MATCH($A23,Personnel!$A$5:$A$19,0))/12)*((MIN(EOMONTH(EDATE(Dashboard!$C$5,10),0),IF(INDEX(Personnel!$K$5:$K$19,MATCH($A23,Personnel!$A$5:$A$19,0))="",EOMONTH(EDATE(Dashboard!$C$5,10),0),INDEX(Personnel!$K$5:$K$19,MATCH($A23,Personnel!$A$5:$A$19,0))))-MAX(DATE(YEAR(EDATE(Dashboard!$C$5,10)),MONTH(EDATE(Dashboard!$C$5,10)),1),INDEX(Personnel!$J$5:$J$19,MATCH($A23,Personnel!$A$5:$A$19,0)))+1)/DAY(EOMONTH(EDATE(Dashboard!$C$5,10),0))))),"")</f>
        <v/>
      </c>
      <c r="AW23" s="105"/>
      <c r="AX23" s="105"/>
      <c r="AY23" s="106" t="str">
        <f aca="false">IF(A23="","",AW23*$D23+IF(OR($F23="Exempt",$E23="Sub"),0,AX23*$D23*1.5))</f>
        <v/>
      </c>
      <c r="AZ23" s="104" t="str">
        <f aca="false">IFERROR(IF(A23="","",MAX(0,(INDEX(Personnel!$G$5:$G$19,MATCH($A23,Personnel!$A$5:$A$19,0))/12)*((MIN(EOMONTH(EDATE(Dashboard!$C$5,11),0),IF(INDEX(Personnel!$K$5:$K$19,MATCH($A23,Personnel!$A$5:$A$19,0))="",EOMONTH(EDATE(Dashboard!$C$5,11),0),INDEX(Personnel!$K$5:$K$19,MATCH($A23,Personnel!$A$5:$A$19,0))))-MAX(DATE(YEAR(EDATE(Dashboard!$C$5,11)),MONTH(EDATE(Dashboard!$C$5,11)),1),INDEX(Personnel!$J$5:$J$19,MATCH($A23,Personnel!$A$5:$A$19,0)))+1)/DAY(EOMONTH(EDATE(Dashboard!$C$5,11),0))))),"")</f>
        <v/>
      </c>
      <c r="BA23" s="105"/>
      <c r="BB23" s="105"/>
      <c r="BC23" s="106" t="str">
        <f aca="false">IF(A23="","",BA23*$D23+IF(OR($F23="Exempt",$E23="Sub"),0,BB23*$D23*1.5))</f>
        <v/>
      </c>
      <c r="BD23" s="93" t="str">
        <f aca="false">IF(A23="","",SUM(H23,L23,P23,T23,X23,AB23,AF23,AJ23,AN23,AR23,AV23,AZ23))</f>
        <v/>
      </c>
      <c r="BE23" s="93" t="str">
        <f aca="false">IF(A23="","",SUM(I23,J23,M23,N23,Q23,R23,U23,V23,Y23,Z23,AC23,AD23,AG23,AH23,AK23,AL23,AO23,AP23,AS23,AT23,AW23,AX23,BA23,BB23))</f>
        <v/>
      </c>
      <c r="BF23" s="107" t="str">
        <f aca="false">IF(A23="","",BD23*$D23)</f>
        <v/>
      </c>
      <c r="BG23" s="107" t="str">
        <f aca="false">IF(A23="","",SUM(K23,O23,S23,W23,AA23,AE23,AI23,AM23,AQ23,AU23,AY23,BC23))</f>
        <v/>
      </c>
    </row>
    <row r="24" customFormat="false" ht="15" hidden="false" customHeight="true" outlineLevel="0" collapsed="false">
      <c r="A24" s="50"/>
      <c r="B24" s="90"/>
      <c r="C24" s="90"/>
      <c r="D24" s="90"/>
      <c r="E24" s="50"/>
      <c r="F24" s="90"/>
      <c r="G24" s="50"/>
      <c r="H24" s="95" t="str">
        <f aca="false">IFERROR(IF(A24="","",MAX(0,(INDEX(Personnel!$G$5:$G$19,MATCH($A24,Personnel!$A$5:$A$19,0))/12)*((MIN(EOMONTH(EDATE(Dashboard!$C$5,0),0),IF(INDEX(Personnel!$K$5:$K$19,MATCH($A24,Personnel!$A$5:$A$19,0))="",EOMONTH(EDATE(Dashboard!$C$5,0),0),INDEX(Personnel!$K$5:$K$19,MATCH($A24,Personnel!$A$5:$A$19,0))))-MAX(DATE(YEAR(EDATE(Dashboard!$C$5,0)),MONTH(EDATE(Dashboard!$C$5,0)),1),INDEX(Personnel!$J$5:$J$19,MATCH($A24,Personnel!$A$5:$A$19,0)))+1)/DAY(EOMONTH(EDATE(Dashboard!$C$5,0),0))))),"")</f>
        <v/>
      </c>
      <c r="I24" s="96"/>
      <c r="J24" s="96"/>
      <c r="K24" s="97" t="str">
        <f aca="false">IF(A24="","",I24*$D24+IF(OR($F24="Exempt",$E24="Sub"),0,J24*$D24*1.5))</f>
        <v/>
      </c>
      <c r="L24" s="95" t="str">
        <f aca="false">IFERROR(IF(A24="","",MAX(0,(INDEX(Personnel!$G$5:$G$19,MATCH($A24,Personnel!$A$5:$A$19,0))/12)*((MIN(EOMONTH(EDATE(Dashboard!$C$5,1),0),IF(INDEX(Personnel!$K$5:$K$19,MATCH($A24,Personnel!$A$5:$A$19,0))="",EOMONTH(EDATE(Dashboard!$C$5,1),0),INDEX(Personnel!$K$5:$K$19,MATCH($A24,Personnel!$A$5:$A$19,0))))-MAX(DATE(YEAR(EDATE(Dashboard!$C$5,1)),MONTH(EDATE(Dashboard!$C$5,1)),1),INDEX(Personnel!$J$5:$J$19,MATCH($A24,Personnel!$A$5:$A$19,0)))+1)/DAY(EOMONTH(EDATE(Dashboard!$C$5,1),0))))),"")</f>
        <v/>
      </c>
      <c r="M24" s="96"/>
      <c r="N24" s="96"/>
      <c r="O24" s="97" t="str">
        <f aca="false">IF(A24="","",M24*$D24+IF(OR($F24="Exempt",$E24="Sub"),0,N24*$D24*1.5))</f>
        <v/>
      </c>
      <c r="P24" s="95" t="str">
        <f aca="false">IFERROR(IF(A24="","",MAX(0,(INDEX(Personnel!$G$5:$G$19,MATCH($A24,Personnel!$A$5:$A$19,0))/12)*((MIN(EOMONTH(EDATE(Dashboard!$C$5,2),0),IF(INDEX(Personnel!$K$5:$K$19,MATCH($A24,Personnel!$A$5:$A$19,0))="",EOMONTH(EDATE(Dashboard!$C$5,2),0),INDEX(Personnel!$K$5:$K$19,MATCH($A24,Personnel!$A$5:$A$19,0))))-MAX(DATE(YEAR(EDATE(Dashboard!$C$5,2)),MONTH(EDATE(Dashboard!$C$5,2)),1),INDEX(Personnel!$J$5:$J$19,MATCH($A24,Personnel!$A$5:$A$19,0)))+1)/DAY(EOMONTH(EDATE(Dashboard!$C$5,2),0))))),"")</f>
        <v/>
      </c>
      <c r="Q24" s="96"/>
      <c r="R24" s="96"/>
      <c r="S24" s="97" t="str">
        <f aca="false">IF(A24="","",Q24*$D24+IF(OR($F24="Exempt",$E24="Sub"),0,R24*$D24*1.5))</f>
        <v/>
      </c>
      <c r="T24" s="98" t="str">
        <f aca="false">IFERROR(IF(A24="","",MAX(0,(INDEX(Personnel!$G$5:$G$19,MATCH($A24,Personnel!$A$5:$A$19,0))/12)*((MIN(EOMONTH(EDATE(Dashboard!$C$5,3),0),IF(INDEX(Personnel!$K$5:$K$19,MATCH($A24,Personnel!$A$5:$A$19,0))="",EOMONTH(EDATE(Dashboard!$C$5,3),0),INDEX(Personnel!$K$5:$K$19,MATCH($A24,Personnel!$A$5:$A$19,0))))-MAX(DATE(YEAR(EDATE(Dashboard!$C$5,3)),MONTH(EDATE(Dashboard!$C$5,3)),1),INDEX(Personnel!$J$5:$J$19,MATCH($A24,Personnel!$A$5:$A$19,0)))+1)/DAY(EOMONTH(EDATE(Dashboard!$C$5,3),0))))),"")</f>
        <v/>
      </c>
      <c r="U24" s="99"/>
      <c r="V24" s="99"/>
      <c r="W24" s="100" t="str">
        <f aca="false">IF(A24="","",U24*$D24+IF(OR($F24="Exempt",$E24="Sub"),0,V24*$D24*1.5))</f>
        <v/>
      </c>
      <c r="X24" s="98" t="str">
        <f aca="false">IFERROR(IF(A24="","",MAX(0,(INDEX(Personnel!$G$5:$G$19,MATCH($A24,Personnel!$A$5:$A$19,0))/12)*((MIN(EOMONTH(EDATE(Dashboard!$C$5,4),0),IF(INDEX(Personnel!$K$5:$K$19,MATCH($A24,Personnel!$A$5:$A$19,0))="",EOMONTH(EDATE(Dashboard!$C$5,4),0),INDEX(Personnel!$K$5:$K$19,MATCH($A24,Personnel!$A$5:$A$19,0))))-MAX(DATE(YEAR(EDATE(Dashboard!$C$5,4)),MONTH(EDATE(Dashboard!$C$5,4)),1),INDEX(Personnel!$J$5:$J$19,MATCH($A24,Personnel!$A$5:$A$19,0)))+1)/DAY(EOMONTH(EDATE(Dashboard!$C$5,4),0))))),"")</f>
        <v/>
      </c>
      <c r="Y24" s="99"/>
      <c r="Z24" s="99"/>
      <c r="AA24" s="100" t="str">
        <f aca="false">IF(A24="","",Y24*$D24+IF(OR($F24="Exempt",$E24="Sub"),0,Z24*$D24*1.5))</f>
        <v/>
      </c>
      <c r="AB24" s="98" t="str">
        <f aca="false">IFERROR(IF(A24="","",MAX(0,(INDEX(Personnel!$G$5:$G$19,MATCH($A24,Personnel!$A$5:$A$19,0))/12)*((MIN(EOMONTH(EDATE(Dashboard!$C$5,5),0),IF(INDEX(Personnel!$K$5:$K$19,MATCH($A24,Personnel!$A$5:$A$19,0))="",EOMONTH(EDATE(Dashboard!$C$5,5),0),INDEX(Personnel!$K$5:$K$19,MATCH($A24,Personnel!$A$5:$A$19,0))))-MAX(DATE(YEAR(EDATE(Dashboard!$C$5,5)),MONTH(EDATE(Dashboard!$C$5,5)),1),INDEX(Personnel!$J$5:$J$19,MATCH($A24,Personnel!$A$5:$A$19,0)))+1)/DAY(EOMONTH(EDATE(Dashboard!$C$5,5),0))))),"")</f>
        <v/>
      </c>
      <c r="AC24" s="99"/>
      <c r="AD24" s="99"/>
      <c r="AE24" s="100" t="str">
        <f aca="false">IF(A24="","",AC24*$D24+IF(OR($F24="Exempt",$E24="Sub"),0,AD24*$D24*1.5))</f>
        <v/>
      </c>
      <c r="AF24" s="101" t="str">
        <f aca="false">IFERROR(IF(A24="","",MAX(0,(INDEX(Personnel!$G$5:$G$19,MATCH($A24,Personnel!$A$5:$A$19,0))/12)*((MIN(EOMONTH(EDATE(Dashboard!$C$5,6),0),IF(INDEX(Personnel!$K$5:$K$19,MATCH($A24,Personnel!$A$5:$A$19,0))="",EOMONTH(EDATE(Dashboard!$C$5,6),0),INDEX(Personnel!$K$5:$K$19,MATCH($A24,Personnel!$A$5:$A$19,0))))-MAX(DATE(YEAR(EDATE(Dashboard!$C$5,6)),MONTH(EDATE(Dashboard!$C$5,6)),1),INDEX(Personnel!$J$5:$J$19,MATCH($A24,Personnel!$A$5:$A$19,0)))+1)/DAY(EOMONTH(EDATE(Dashboard!$C$5,6),0))))),"")</f>
        <v/>
      </c>
      <c r="AG24" s="102"/>
      <c r="AH24" s="102"/>
      <c r="AI24" s="103" t="str">
        <f aca="false">IF(A24="","",AG24*$D24+IF(OR($F24="Exempt",$E24="Sub"),0,AH24*$D24*1.5))</f>
        <v/>
      </c>
      <c r="AJ24" s="101" t="str">
        <f aca="false">IFERROR(IF(A24="","",MAX(0,(INDEX(Personnel!$G$5:$G$19,MATCH($A24,Personnel!$A$5:$A$19,0))/12)*((MIN(EOMONTH(EDATE(Dashboard!$C$5,7),0),IF(INDEX(Personnel!$K$5:$K$19,MATCH($A24,Personnel!$A$5:$A$19,0))="",EOMONTH(EDATE(Dashboard!$C$5,7),0),INDEX(Personnel!$K$5:$K$19,MATCH($A24,Personnel!$A$5:$A$19,0))))-MAX(DATE(YEAR(EDATE(Dashboard!$C$5,7)),MONTH(EDATE(Dashboard!$C$5,7)),1),INDEX(Personnel!$J$5:$J$19,MATCH($A24,Personnel!$A$5:$A$19,0)))+1)/DAY(EOMONTH(EDATE(Dashboard!$C$5,7),0))))),"")</f>
        <v/>
      </c>
      <c r="AK24" s="102"/>
      <c r="AL24" s="102"/>
      <c r="AM24" s="103" t="str">
        <f aca="false">IF(A24="","",AK24*$D24+IF(OR($F24="Exempt",$E24="Sub"),0,AL24*$D24*1.5))</f>
        <v/>
      </c>
      <c r="AN24" s="101" t="str">
        <f aca="false">IFERROR(IF(A24="","",MAX(0,(INDEX(Personnel!$G$5:$G$19,MATCH($A24,Personnel!$A$5:$A$19,0))/12)*((MIN(EOMONTH(EDATE(Dashboard!$C$5,8),0),IF(INDEX(Personnel!$K$5:$K$19,MATCH($A24,Personnel!$A$5:$A$19,0))="",EOMONTH(EDATE(Dashboard!$C$5,8),0),INDEX(Personnel!$K$5:$K$19,MATCH($A24,Personnel!$A$5:$A$19,0))))-MAX(DATE(YEAR(EDATE(Dashboard!$C$5,8)),MONTH(EDATE(Dashboard!$C$5,8)),1),INDEX(Personnel!$J$5:$J$19,MATCH($A24,Personnel!$A$5:$A$19,0)))+1)/DAY(EOMONTH(EDATE(Dashboard!$C$5,8),0))))),"")</f>
        <v/>
      </c>
      <c r="AO24" s="102"/>
      <c r="AP24" s="102"/>
      <c r="AQ24" s="103" t="str">
        <f aca="false">IF(A24="","",AO24*$D24+IF(OR($F24="Exempt",$E24="Sub"),0,AP24*$D24*1.5))</f>
        <v/>
      </c>
      <c r="AR24" s="104" t="str">
        <f aca="false">IFERROR(IF(A24="","",MAX(0,(INDEX(Personnel!$G$5:$G$19,MATCH($A24,Personnel!$A$5:$A$19,0))/12)*((MIN(EOMONTH(EDATE(Dashboard!$C$5,9),0),IF(INDEX(Personnel!$K$5:$K$19,MATCH($A24,Personnel!$A$5:$A$19,0))="",EOMONTH(EDATE(Dashboard!$C$5,9),0),INDEX(Personnel!$K$5:$K$19,MATCH($A24,Personnel!$A$5:$A$19,0))))-MAX(DATE(YEAR(EDATE(Dashboard!$C$5,9)),MONTH(EDATE(Dashboard!$C$5,9)),1),INDEX(Personnel!$J$5:$J$19,MATCH($A24,Personnel!$A$5:$A$19,0)))+1)/DAY(EOMONTH(EDATE(Dashboard!$C$5,9),0))))),"")</f>
        <v/>
      </c>
      <c r="AS24" s="105"/>
      <c r="AT24" s="105"/>
      <c r="AU24" s="106" t="str">
        <f aca="false">IF(A24="","",AS24*$D24+IF(OR($F24="Exempt",$E24="Sub"),0,AT24*$D24*1.5))</f>
        <v/>
      </c>
      <c r="AV24" s="104" t="str">
        <f aca="false">IFERROR(IF(A24="","",MAX(0,(INDEX(Personnel!$G$5:$G$19,MATCH($A24,Personnel!$A$5:$A$19,0))/12)*((MIN(EOMONTH(EDATE(Dashboard!$C$5,10),0),IF(INDEX(Personnel!$K$5:$K$19,MATCH($A24,Personnel!$A$5:$A$19,0))="",EOMONTH(EDATE(Dashboard!$C$5,10),0),INDEX(Personnel!$K$5:$K$19,MATCH($A24,Personnel!$A$5:$A$19,0))))-MAX(DATE(YEAR(EDATE(Dashboard!$C$5,10)),MONTH(EDATE(Dashboard!$C$5,10)),1),INDEX(Personnel!$J$5:$J$19,MATCH($A24,Personnel!$A$5:$A$19,0)))+1)/DAY(EOMONTH(EDATE(Dashboard!$C$5,10),0))))),"")</f>
        <v/>
      </c>
      <c r="AW24" s="105"/>
      <c r="AX24" s="105"/>
      <c r="AY24" s="106" t="str">
        <f aca="false">IF(A24="","",AW24*$D24+IF(OR($F24="Exempt",$E24="Sub"),0,AX24*$D24*1.5))</f>
        <v/>
      </c>
      <c r="AZ24" s="104" t="str">
        <f aca="false">IFERROR(IF(A24="","",MAX(0,(INDEX(Personnel!$G$5:$G$19,MATCH($A24,Personnel!$A$5:$A$19,0))/12)*((MIN(EOMONTH(EDATE(Dashboard!$C$5,11),0),IF(INDEX(Personnel!$K$5:$K$19,MATCH($A24,Personnel!$A$5:$A$19,0))="",EOMONTH(EDATE(Dashboard!$C$5,11),0),INDEX(Personnel!$K$5:$K$19,MATCH($A24,Personnel!$A$5:$A$19,0))))-MAX(DATE(YEAR(EDATE(Dashboard!$C$5,11)),MONTH(EDATE(Dashboard!$C$5,11)),1),INDEX(Personnel!$J$5:$J$19,MATCH($A24,Personnel!$A$5:$A$19,0)))+1)/DAY(EOMONTH(EDATE(Dashboard!$C$5,11),0))))),"")</f>
        <v/>
      </c>
      <c r="BA24" s="105"/>
      <c r="BB24" s="105"/>
      <c r="BC24" s="106" t="str">
        <f aca="false">IF(A24="","",BA24*$D24+IF(OR($F24="Exempt",$E24="Sub"),0,BB24*$D24*1.5))</f>
        <v/>
      </c>
      <c r="BD24" s="93" t="str">
        <f aca="false">IF(A24="","",SUM(H24,L24,P24,T24,X24,AB24,AF24,AJ24,AN24,AR24,AV24,AZ24))</f>
        <v/>
      </c>
      <c r="BE24" s="93" t="str">
        <f aca="false">IF(A24="","",SUM(I24,J24,M24,N24,Q24,R24,U24,V24,Y24,Z24,AC24,AD24,AG24,AH24,AK24,AL24,AO24,AP24,AS24,AT24,AW24,AX24,BA24,BB24))</f>
        <v/>
      </c>
      <c r="BF24" s="107" t="str">
        <f aca="false">IF(A24="","",BD24*$D24)</f>
        <v/>
      </c>
      <c r="BG24" s="107" t="str">
        <f aca="false">IF(A24="","",SUM(K24,O24,S24,W24,AA24,AE24,AI24,AM24,AQ24,AU24,AY24,BC24))</f>
        <v/>
      </c>
    </row>
    <row r="25" customFormat="false" ht="15" hidden="false" customHeight="true" outlineLevel="0" collapsed="false">
      <c r="A25" s="50"/>
      <c r="B25" s="90"/>
      <c r="C25" s="90"/>
      <c r="D25" s="90"/>
      <c r="E25" s="50"/>
      <c r="F25" s="90"/>
      <c r="G25" s="50"/>
      <c r="H25" s="95" t="str">
        <f aca="false">IFERROR(IF(A25="","",MAX(0,(INDEX(Personnel!$G$5:$G$19,MATCH($A25,Personnel!$A$5:$A$19,0))/12)*((MIN(EOMONTH(EDATE(Dashboard!$C$5,0),0),IF(INDEX(Personnel!$K$5:$K$19,MATCH($A25,Personnel!$A$5:$A$19,0))="",EOMONTH(EDATE(Dashboard!$C$5,0),0),INDEX(Personnel!$K$5:$K$19,MATCH($A25,Personnel!$A$5:$A$19,0))))-MAX(DATE(YEAR(EDATE(Dashboard!$C$5,0)),MONTH(EDATE(Dashboard!$C$5,0)),1),INDEX(Personnel!$J$5:$J$19,MATCH($A25,Personnel!$A$5:$A$19,0)))+1)/DAY(EOMONTH(EDATE(Dashboard!$C$5,0),0))))),"")</f>
        <v/>
      </c>
      <c r="I25" s="96"/>
      <c r="J25" s="96"/>
      <c r="K25" s="97" t="str">
        <f aca="false">IF(A25="","",I25*$D25+IF(OR($F25="Exempt",$E25="Sub"),0,J25*$D25*1.5))</f>
        <v/>
      </c>
      <c r="L25" s="95" t="str">
        <f aca="false">IFERROR(IF(A25="","",MAX(0,(INDEX(Personnel!$G$5:$G$19,MATCH($A25,Personnel!$A$5:$A$19,0))/12)*((MIN(EOMONTH(EDATE(Dashboard!$C$5,1),0),IF(INDEX(Personnel!$K$5:$K$19,MATCH($A25,Personnel!$A$5:$A$19,0))="",EOMONTH(EDATE(Dashboard!$C$5,1),0),INDEX(Personnel!$K$5:$K$19,MATCH($A25,Personnel!$A$5:$A$19,0))))-MAX(DATE(YEAR(EDATE(Dashboard!$C$5,1)),MONTH(EDATE(Dashboard!$C$5,1)),1),INDEX(Personnel!$J$5:$J$19,MATCH($A25,Personnel!$A$5:$A$19,0)))+1)/DAY(EOMONTH(EDATE(Dashboard!$C$5,1),0))))),"")</f>
        <v/>
      </c>
      <c r="M25" s="96"/>
      <c r="N25" s="96"/>
      <c r="O25" s="97" t="str">
        <f aca="false">IF(A25="","",M25*$D25+IF(OR($F25="Exempt",$E25="Sub"),0,N25*$D25*1.5))</f>
        <v/>
      </c>
      <c r="P25" s="95" t="str">
        <f aca="false">IFERROR(IF(A25="","",MAX(0,(INDEX(Personnel!$G$5:$G$19,MATCH($A25,Personnel!$A$5:$A$19,0))/12)*((MIN(EOMONTH(EDATE(Dashboard!$C$5,2),0),IF(INDEX(Personnel!$K$5:$K$19,MATCH($A25,Personnel!$A$5:$A$19,0))="",EOMONTH(EDATE(Dashboard!$C$5,2),0),INDEX(Personnel!$K$5:$K$19,MATCH($A25,Personnel!$A$5:$A$19,0))))-MAX(DATE(YEAR(EDATE(Dashboard!$C$5,2)),MONTH(EDATE(Dashboard!$C$5,2)),1),INDEX(Personnel!$J$5:$J$19,MATCH($A25,Personnel!$A$5:$A$19,0)))+1)/DAY(EOMONTH(EDATE(Dashboard!$C$5,2),0))))),"")</f>
        <v/>
      </c>
      <c r="Q25" s="96"/>
      <c r="R25" s="96"/>
      <c r="S25" s="97" t="str">
        <f aca="false">IF(A25="","",Q25*$D25+IF(OR($F25="Exempt",$E25="Sub"),0,R25*$D25*1.5))</f>
        <v/>
      </c>
      <c r="T25" s="98" t="str">
        <f aca="false">IFERROR(IF(A25="","",MAX(0,(INDEX(Personnel!$G$5:$G$19,MATCH($A25,Personnel!$A$5:$A$19,0))/12)*((MIN(EOMONTH(EDATE(Dashboard!$C$5,3),0),IF(INDEX(Personnel!$K$5:$K$19,MATCH($A25,Personnel!$A$5:$A$19,0))="",EOMONTH(EDATE(Dashboard!$C$5,3),0),INDEX(Personnel!$K$5:$K$19,MATCH($A25,Personnel!$A$5:$A$19,0))))-MAX(DATE(YEAR(EDATE(Dashboard!$C$5,3)),MONTH(EDATE(Dashboard!$C$5,3)),1),INDEX(Personnel!$J$5:$J$19,MATCH($A25,Personnel!$A$5:$A$19,0)))+1)/DAY(EOMONTH(EDATE(Dashboard!$C$5,3),0))))),"")</f>
        <v/>
      </c>
      <c r="U25" s="99"/>
      <c r="V25" s="99"/>
      <c r="W25" s="100" t="str">
        <f aca="false">IF(A25="","",U25*$D25+IF(OR($F25="Exempt",$E25="Sub"),0,V25*$D25*1.5))</f>
        <v/>
      </c>
      <c r="X25" s="98" t="str">
        <f aca="false">IFERROR(IF(A25="","",MAX(0,(INDEX(Personnel!$G$5:$G$19,MATCH($A25,Personnel!$A$5:$A$19,0))/12)*((MIN(EOMONTH(EDATE(Dashboard!$C$5,4),0),IF(INDEX(Personnel!$K$5:$K$19,MATCH($A25,Personnel!$A$5:$A$19,0))="",EOMONTH(EDATE(Dashboard!$C$5,4),0),INDEX(Personnel!$K$5:$K$19,MATCH($A25,Personnel!$A$5:$A$19,0))))-MAX(DATE(YEAR(EDATE(Dashboard!$C$5,4)),MONTH(EDATE(Dashboard!$C$5,4)),1),INDEX(Personnel!$J$5:$J$19,MATCH($A25,Personnel!$A$5:$A$19,0)))+1)/DAY(EOMONTH(EDATE(Dashboard!$C$5,4),0))))),"")</f>
        <v/>
      </c>
      <c r="Y25" s="99"/>
      <c r="Z25" s="99"/>
      <c r="AA25" s="100" t="str">
        <f aca="false">IF(A25="","",Y25*$D25+IF(OR($F25="Exempt",$E25="Sub"),0,Z25*$D25*1.5))</f>
        <v/>
      </c>
      <c r="AB25" s="98" t="str">
        <f aca="false">IFERROR(IF(A25="","",MAX(0,(INDEX(Personnel!$G$5:$G$19,MATCH($A25,Personnel!$A$5:$A$19,0))/12)*((MIN(EOMONTH(EDATE(Dashboard!$C$5,5),0),IF(INDEX(Personnel!$K$5:$K$19,MATCH($A25,Personnel!$A$5:$A$19,0))="",EOMONTH(EDATE(Dashboard!$C$5,5),0),INDEX(Personnel!$K$5:$K$19,MATCH($A25,Personnel!$A$5:$A$19,0))))-MAX(DATE(YEAR(EDATE(Dashboard!$C$5,5)),MONTH(EDATE(Dashboard!$C$5,5)),1),INDEX(Personnel!$J$5:$J$19,MATCH($A25,Personnel!$A$5:$A$19,0)))+1)/DAY(EOMONTH(EDATE(Dashboard!$C$5,5),0))))),"")</f>
        <v/>
      </c>
      <c r="AC25" s="99"/>
      <c r="AD25" s="99"/>
      <c r="AE25" s="100" t="str">
        <f aca="false">IF(A25="","",AC25*$D25+IF(OR($F25="Exempt",$E25="Sub"),0,AD25*$D25*1.5))</f>
        <v/>
      </c>
      <c r="AF25" s="101" t="str">
        <f aca="false">IFERROR(IF(A25="","",MAX(0,(INDEX(Personnel!$G$5:$G$19,MATCH($A25,Personnel!$A$5:$A$19,0))/12)*((MIN(EOMONTH(EDATE(Dashboard!$C$5,6),0),IF(INDEX(Personnel!$K$5:$K$19,MATCH($A25,Personnel!$A$5:$A$19,0))="",EOMONTH(EDATE(Dashboard!$C$5,6),0),INDEX(Personnel!$K$5:$K$19,MATCH($A25,Personnel!$A$5:$A$19,0))))-MAX(DATE(YEAR(EDATE(Dashboard!$C$5,6)),MONTH(EDATE(Dashboard!$C$5,6)),1),INDEX(Personnel!$J$5:$J$19,MATCH($A25,Personnel!$A$5:$A$19,0)))+1)/DAY(EOMONTH(EDATE(Dashboard!$C$5,6),0))))),"")</f>
        <v/>
      </c>
      <c r="AG25" s="102"/>
      <c r="AH25" s="102"/>
      <c r="AI25" s="103" t="str">
        <f aca="false">IF(A25="","",AG25*$D25+IF(OR($F25="Exempt",$E25="Sub"),0,AH25*$D25*1.5))</f>
        <v/>
      </c>
      <c r="AJ25" s="101" t="str">
        <f aca="false">IFERROR(IF(A25="","",MAX(0,(INDEX(Personnel!$G$5:$G$19,MATCH($A25,Personnel!$A$5:$A$19,0))/12)*((MIN(EOMONTH(EDATE(Dashboard!$C$5,7),0),IF(INDEX(Personnel!$K$5:$K$19,MATCH($A25,Personnel!$A$5:$A$19,0))="",EOMONTH(EDATE(Dashboard!$C$5,7),0),INDEX(Personnel!$K$5:$K$19,MATCH($A25,Personnel!$A$5:$A$19,0))))-MAX(DATE(YEAR(EDATE(Dashboard!$C$5,7)),MONTH(EDATE(Dashboard!$C$5,7)),1),INDEX(Personnel!$J$5:$J$19,MATCH($A25,Personnel!$A$5:$A$19,0)))+1)/DAY(EOMONTH(EDATE(Dashboard!$C$5,7),0))))),"")</f>
        <v/>
      </c>
      <c r="AK25" s="102"/>
      <c r="AL25" s="102"/>
      <c r="AM25" s="103" t="str">
        <f aca="false">IF(A25="","",AK25*$D25+IF(OR($F25="Exempt",$E25="Sub"),0,AL25*$D25*1.5))</f>
        <v/>
      </c>
      <c r="AN25" s="101" t="str">
        <f aca="false">IFERROR(IF(A25="","",MAX(0,(INDEX(Personnel!$G$5:$G$19,MATCH($A25,Personnel!$A$5:$A$19,0))/12)*((MIN(EOMONTH(EDATE(Dashboard!$C$5,8),0),IF(INDEX(Personnel!$K$5:$K$19,MATCH($A25,Personnel!$A$5:$A$19,0))="",EOMONTH(EDATE(Dashboard!$C$5,8),0),INDEX(Personnel!$K$5:$K$19,MATCH($A25,Personnel!$A$5:$A$19,0))))-MAX(DATE(YEAR(EDATE(Dashboard!$C$5,8)),MONTH(EDATE(Dashboard!$C$5,8)),1),INDEX(Personnel!$J$5:$J$19,MATCH($A25,Personnel!$A$5:$A$19,0)))+1)/DAY(EOMONTH(EDATE(Dashboard!$C$5,8),0))))),"")</f>
        <v/>
      </c>
      <c r="AO25" s="102"/>
      <c r="AP25" s="102"/>
      <c r="AQ25" s="103" t="str">
        <f aca="false">IF(A25="","",AO25*$D25+IF(OR($F25="Exempt",$E25="Sub"),0,AP25*$D25*1.5))</f>
        <v/>
      </c>
      <c r="AR25" s="104" t="str">
        <f aca="false">IFERROR(IF(A25="","",MAX(0,(INDEX(Personnel!$G$5:$G$19,MATCH($A25,Personnel!$A$5:$A$19,0))/12)*((MIN(EOMONTH(EDATE(Dashboard!$C$5,9),0),IF(INDEX(Personnel!$K$5:$K$19,MATCH($A25,Personnel!$A$5:$A$19,0))="",EOMONTH(EDATE(Dashboard!$C$5,9),0),INDEX(Personnel!$K$5:$K$19,MATCH($A25,Personnel!$A$5:$A$19,0))))-MAX(DATE(YEAR(EDATE(Dashboard!$C$5,9)),MONTH(EDATE(Dashboard!$C$5,9)),1),INDEX(Personnel!$J$5:$J$19,MATCH($A25,Personnel!$A$5:$A$19,0)))+1)/DAY(EOMONTH(EDATE(Dashboard!$C$5,9),0))))),"")</f>
        <v/>
      </c>
      <c r="AS25" s="105"/>
      <c r="AT25" s="105"/>
      <c r="AU25" s="106" t="str">
        <f aca="false">IF(A25="","",AS25*$D25+IF(OR($F25="Exempt",$E25="Sub"),0,AT25*$D25*1.5))</f>
        <v/>
      </c>
      <c r="AV25" s="104" t="str">
        <f aca="false">IFERROR(IF(A25="","",MAX(0,(INDEX(Personnel!$G$5:$G$19,MATCH($A25,Personnel!$A$5:$A$19,0))/12)*((MIN(EOMONTH(EDATE(Dashboard!$C$5,10),0),IF(INDEX(Personnel!$K$5:$K$19,MATCH($A25,Personnel!$A$5:$A$19,0))="",EOMONTH(EDATE(Dashboard!$C$5,10),0),INDEX(Personnel!$K$5:$K$19,MATCH($A25,Personnel!$A$5:$A$19,0))))-MAX(DATE(YEAR(EDATE(Dashboard!$C$5,10)),MONTH(EDATE(Dashboard!$C$5,10)),1),INDEX(Personnel!$J$5:$J$19,MATCH($A25,Personnel!$A$5:$A$19,0)))+1)/DAY(EOMONTH(EDATE(Dashboard!$C$5,10),0))))),"")</f>
        <v/>
      </c>
      <c r="AW25" s="105"/>
      <c r="AX25" s="105"/>
      <c r="AY25" s="106" t="str">
        <f aca="false">IF(A25="","",AW25*$D25+IF(OR($F25="Exempt",$E25="Sub"),0,AX25*$D25*1.5))</f>
        <v/>
      </c>
      <c r="AZ25" s="104" t="str">
        <f aca="false">IFERROR(IF(A25="","",MAX(0,(INDEX(Personnel!$G$5:$G$19,MATCH($A25,Personnel!$A$5:$A$19,0))/12)*((MIN(EOMONTH(EDATE(Dashboard!$C$5,11),0),IF(INDEX(Personnel!$K$5:$K$19,MATCH($A25,Personnel!$A$5:$A$19,0))="",EOMONTH(EDATE(Dashboard!$C$5,11),0),INDEX(Personnel!$K$5:$K$19,MATCH($A25,Personnel!$A$5:$A$19,0))))-MAX(DATE(YEAR(EDATE(Dashboard!$C$5,11)),MONTH(EDATE(Dashboard!$C$5,11)),1),INDEX(Personnel!$J$5:$J$19,MATCH($A25,Personnel!$A$5:$A$19,0)))+1)/DAY(EOMONTH(EDATE(Dashboard!$C$5,11),0))))),"")</f>
        <v/>
      </c>
      <c r="BA25" s="105"/>
      <c r="BB25" s="105"/>
      <c r="BC25" s="106" t="str">
        <f aca="false">IF(A25="","",BA25*$D25+IF(OR($F25="Exempt",$E25="Sub"),0,BB25*$D25*1.5))</f>
        <v/>
      </c>
      <c r="BD25" s="93" t="str">
        <f aca="false">IF(A25="","",SUM(H25,L25,P25,T25,X25,AB25,AF25,AJ25,AN25,AR25,AV25,AZ25))</f>
        <v/>
      </c>
      <c r="BE25" s="93" t="str">
        <f aca="false">IF(A25="","",SUM(I25,J25,M25,N25,Q25,R25,U25,V25,Y25,Z25,AC25,AD25,AG25,AH25,AK25,AL25,AO25,AP25,AS25,AT25,AW25,AX25,BA25,BB25))</f>
        <v/>
      </c>
      <c r="BF25" s="107" t="str">
        <f aca="false">IF(A25="","",BD25*$D25)</f>
        <v/>
      </c>
      <c r="BG25" s="107" t="str">
        <f aca="false">IF(A25="","",SUM(K25,O25,S25,W25,AA25,AE25,AI25,AM25,AQ25,AU25,AY25,BC25))</f>
        <v/>
      </c>
    </row>
    <row r="27" customFormat="false" ht="15" hidden="false" customHeight="false" outlineLevel="0" collapsed="false">
      <c r="A27" s="56" t="s">
        <v>229</v>
      </c>
    </row>
    <row r="28" customFormat="false" ht="31.5" hidden="false" customHeight="true" outlineLevel="0" collapsed="false">
      <c r="A28" s="59" t="s">
        <v>159</v>
      </c>
      <c r="B28" s="59" t="s">
        <v>160</v>
      </c>
      <c r="C28" s="59" t="s">
        <v>230</v>
      </c>
      <c r="D28" s="59" t="s">
        <v>231</v>
      </c>
      <c r="E28" s="59" t="s">
        <v>232</v>
      </c>
      <c r="F28" s="59" t="s">
        <v>233</v>
      </c>
      <c r="G28" s="59" t="s">
        <v>234</v>
      </c>
      <c r="H28" s="59" t="s">
        <v>235</v>
      </c>
      <c r="I28" s="59" t="s">
        <v>236</v>
      </c>
      <c r="J28" s="59" t="s">
        <v>237</v>
      </c>
    </row>
    <row r="29" customFormat="false" ht="15" hidden="false" customHeight="false" outlineLevel="0" collapsed="false">
      <c r="A29" s="60" t="n">
        <v>1</v>
      </c>
      <c r="B29" s="108" t="n">
        <f aca="false">EDATE(Dashboard!$C$5,A29-1)</f>
        <v>46023</v>
      </c>
      <c r="C29" s="52" t="n">
        <f aca="false">SUMIFS(K$6:K$25,$E$6:$E$25,"Prime")</f>
        <v>13749.7355769231</v>
      </c>
      <c r="D29" s="52" t="n">
        <f aca="false">C29*Rates!$B$6</f>
        <v>4812.40745192308</v>
      </c>
      <c r="E29" s="52" t="n">
        <f aca="false">(C29+D29)*Rates!$B$7</f>
        <v>10209.1786658654</v>
      </c>
      <c r="F29" s="52" t="n">
        <f aca="false">C29+D29+E29</f>
        <v>28771.3216947115</v>
      </c>
      <c r="G29" s="52" t="n">
        <f aca="false">SUMIFS(K$6:K$25,$E$6:$E$25,"Sub")</f>
        <v>0</v>
      </c>
      <c r="H29" s="52" t="n">
        <f aca="false">F29+G29</f>
        <v>28771.3216947115</v>
      </c>
      <c r="I29" s="52" t="n">
        <f aca="false">H29*Rates!$B$8</f>
        <v>3452.55860336539</v>
      </c>
      <c r="J29" s="52" t="n">
        <f aca="false">H29+I29</f>
        <v>32223.8802980769</v>
      </c>
    </row>
    <row r="30" customFormat="false" ht="15" hidden="false" customHeight="false" outlineLevel="0" collapsed="false">
      <c r="A30" s="60" t="n">
        <v>2</v>
      </c>
      <c r="B30" s="108" t="n">
        <f aca="false">EDATE(Dashboard!$C$5,A30-1)</f>
        <v>46054</v>
      </c>
      <c r="C30" s="52" t="n">
        <f aca="false">SUMIFS(O$6:O$25,$E$6:$E$25,"Prime")</f>
        <v>0</v>
      </c>
      <c r="D30" s="52" t="n">
        <f aca="false">C30*Rates!$B$6</f>
        <v>0</v>
      </c>
      <c r="E30" s="52" t="n">
        <f aca="false">(C30+D30)*Rates!$B$7</f>
        <v>0</v>
      </c>
      <c r="F30" s="52" t="n">
        <f aca="false">C30+D30+E30</f>
        <v>0</v>
      </c>
      <c r="G30" s="52" t="n">
        <f aca="false">SUMIFS(O$6:O$25,$E$6:$E$25,"Sub")</f>
        <v>0</v>
      </c>
      <c r="H30" s="52" t="n">
        <f aca="false">F30+G30</f>
        <v>0</v>
      </c>
      <c r="I30" s="52" t="n">
        <f aca="false">H30*Rates!$B$8</f>
        <v>0</v>
      </c>
      <c r="J30" s="52" t="n">
        <f aca="false">H30+I30</f>
        <v>0</v>
      </c>
    </row>
    <row r="31" customFormat="false" ht="15" hidden="false" customHeight="false" outlineLevel="0" collapsed="false">
      <c r="A31" s="60" t="n">
        <v>3</v>
      </c>
      <c r="B31" s="108" t="n">
        <f aca="false">EDATE(Dashboard!$C$5,A31-1)</f>
        <v>46082</v>
      </c>
      <c r="C31" s="52" t="n">
        <f aca="false">SUMIFS(S$6:S$25,$E$6:$E$25,"Prime")</f>
        <v>0</v>
      </c>
      <c r="D31" s="52" t="n">
        <f aca="false">C31*Rates!$B$6</f>
        <v>0</v>
      </c>
      <c r="E31" s="52" t="n">
        <f aca="false">(C31+D31)*Rates!$B$7</f>
        <v>0</v>
      </c>
      <c r="F31" s="52" t="n">
        <f aca="false">C31+D31+E31</f>
        <v>0</v>
      </c>
      <c r="G31" s="52" t="n">
        <f aca="false">SUMIFS(S$6:S$25,$E$6:$E$25,"Sub")</f>
        <v>0</v>
      </c>
      <c r="H31" s="52" t="n">
        <f aca="false">F31+G31</f>
        <v>0</v>
      </c>
      <c r="I31" s="52" t="n">
        <f aca="false">H31*Rates!$B$8</f>
        <v>0</v>
      </c>
      <c r="J31" s="52" t="n">
        <f aca="false">H31+I31</f>
        <v>0</v>
      </c>
    </row>
    <row r="32" customFormat="false" ht="15" hidden="false" customHeight="false" outlineLevel="0" collapsed="false">
      <c r="A32" s="60" t="n">
        <v>4</v>
      </c>
      <c r="B32" s="108" t="n">
        <f aca="false">EDATE(Dashboard!$C$5,A32-1)</f>
        <v>46113</v>
      </c>
      <c r="C32" s="52" t="n">
        <f aca="false">SUMIFS(W$6:W$25,$E$6:$E$25,"Prime")</f>
        <v>0</v>
      </c>
      <c r="D32" s="52" t="n">
        <f aca="false">C32*Rates!$B$6</f>
        <v>0</v>
      </c>
      <c r="E32" s="52" t="n">
        <f aca="false">(C32+D32)*Rates!$B$7</f>
        <v>0</v>
      </c>
      <c r="F32" s="52" t="n">
        <f aca="false">C32+D32+E32</f>
        <v>0</v>
      </c>
      <c r="G32" s="52" t="n">
        <f aca="false">SUMIFS(W$6:W$25,$E$6:$E$25,"Sub")</f>
        <v>0</v>
      </c>
      <c r="H32" s="52" t="n">
        <f aca="false">F32+G32</f>
        <v>0</v>
      </c>
      <c r="I32" s="52" t="n">
        <f aca="false">H32*Rates!$B$8</f>
        <v>0</v>
      </c>
      <c r="J32" s="52" t="n">
        <f aca="false">H32+I32</f>
        <v>0</v>
      </c>
    </row>
    <row r="33" customFormat="false" ht="15" hidden="false" customHeight="false" outlineLevel="0" collapsed="false">
      <c r="A33" s="60" t="n">
        <v>5</v>
      </c>
      <c r="B33" s="108" t="n">
        <f aca="false">EDATE(Dashboard!$C$5,A33-1)</f>
        <v>46143</v>
      </c>
      <c r="C33" s="52" t="n">
        <f aca="false">SUMIFS(AA$6:AA$25,$E$6:$E$25,"Prime")</f>
        <v>0</v>
      </c>
      <c r="D33" s="52" t="n">
        <f aca="false">C33*Rates!$B$6</f>
        <v>0</v>
      </c>
      <c r="E33" s="52" t="n">
        <f aca="false">(C33+D33)*Rates!$B$7</f>
        <v>0</v>
      </c>
      <c r="F33" s="52" t="n">
        <f aca="false">C33+D33+E33</f>
        <v>0</v>
      </c>
      <c r="G33" s="52" t="n">
        <f aca="false">SUMIFS(AA$6:AA$25,$E$6:$E$25,"Sub")</f>
        <v>0</v>
      </c>
      <c r="H33" s="52" t="n">
        <f aca="false">F33+G33</f>
        <v>0</v>
      </c>
      <c r="I33" s="52" t="n">
        <f aca="false">H33*Rates!$B$8</f>
        <v>0</v>
      </c>
      <c r="J33" s="52" t="n">
        <f aca="false">H33+I33</f>
        <v>0</v>
      </c>
    </row>
    <row r="34" customFormat="false" ht="15" hidden="false" customHeight="false" outlineLevel="0" collapsed="false">
      <c r="A34" s="60" t="n">
        <v>6</v>
      </c>
      <c r="B34" s="108" t="n">
        <f aca="false">EDATE(Dashboard!$C$5,A34-1)</f>
        <v>46174</v>
      </c>
      <c r="C34" s="52" t="n">
        <f aca="false">SUMIFS(AE$6:AE$25,$E$6:$E$25,"Prime")</f>
        <v>0</v>
      </c>
      <c r="D34" s="52" t="n">
        <f aca="false">C34*Rates!$B$6</f>
        <v>0</v>
      </c>
      <c r="E34" s="52" t="n">
        <f aca="false">(C34+D34)*Rates!$B$7</f>
        <v>0</v>
      </c>
      <c r="F34" s="52" t="n">
        <f aca="false">C34+D34+E34</f>
        <v>0</v>
      </c>
      <c r="G34" s="52" t="n">
        <f aca="false">SUMIFS(AE$6:AE$25,$E$6:$E$25,"Sub")</f>
        <v>0</v>
      </c>
      <c r="H34" s="52" t="n">
        <f aca="false">F34+G34</f>
        <v>0</v>
      </c>
      <c r="I34" s="52" t="n">
        <f aca="false">H34*Rates!$B$8</f>
        <v>0</v>
      </c>
      <c r="J34" s="52" t="n">
        <f aca="false">H34+I34</f>
        <v>0</v>
      </c>
    </row>
    <row r="35" customFormat="false" ht="15" hidden="false" customHeight="false" outlineLevel="0" collapsed="false">
      <c r="A35" s="60" t="n">
        <v>7</v>
      </c>
      <c r="B35" s="108" t="n">
        <f aca="false">EDATE(Dashboard!$C$5,A35-1)</f>
        <v>46204</v>
      </c>
      <c r="C35" s="52" t="n">
        <f aca="false">SUMIFS(AI$6:AI$25,$E$6:$E$25,"Prime")</f>
        <v>4326.92307692308</v>
      </c>
      <c r="D35" s="52" t="n">
        <f aca="false">C35*Rates!$B$6</f>
        <v>1514.42307692308</v>
      </c>
      <c r="E35" s="52" t="n">
        <f aca="false">(C35+D35)*Rates!$B$7</f>
        <v>3212.74038461539</v>
      </c>
      <c r="F35" s="52" t="n">
        <f aca="false">C35+D35+E35</f>
        <v>9054.08653846154</v>
      </c>
      <c r="G35" s="52" t="n">
        <f aca="false">SUMIFS(AI$6:AI$25,$E$6:$E$25,"Sub")</f>
        <v>0</v>
      </c>
      <c r="H35" s="52" t="n">
        <f aca="false">F35+G35</f>
        <v>9054.08653846154</v>
      </c>
      <c r="I35" s="52" t="n">
        <f aca="false">H35*Rates!$B$8</f>
        <v>1086.49038461538</v>
      </c>
      <c r="J35" s="52" t="n">
        <f aca="false">H35+I35</f>
        <v>10140.5769230769</v>
      </c>
    </row>
    <row r="36" customFormat="false" ht="15" hidden="false" customHeight="false" outlineLevel="0" collapsed="false">
      <c r="A36" s="60" t="n">
        <v>8</v>
      </c>
      <c r="B36" s="108" t="n">
        <f aca="false">EDATE(Dashboard!$C$5,A36-1)</f>
        <v>46235</v>
      </c>
      <c r="C36" s="52" t="n">
        <f aca="false">SUMIFS(AM$6:AM$25,$E$6:$E$25,"Prime")</f>
        <v>12499.7596153846</v>
      </c>
      <c r="D36" s="52" t="n">
        <f aca="false">C36*Rates!$B$6</f>
        <v>4374.91586538462</v>
      </c>
      <c r="E36" s="52" t="n">
        <f aca="false">(C36+D36)*Rates!$B$7</f>
        <v>9281.07151442308</v>
      </c>
      <c r="F36" s="52" t="n">
        <f aca="false">C36+D36+E36</f>
        <v>26155.7469951923</v>
      </c>
      <c r="G36" s="52" t="n">
        <f aca="false">SUMIFS(AM$6:AM$25,$E$6:$E$25,"Sub")</f>
        <v>0</v>
      </c>
      <c r="H36" s="52" t="n">
        <f aca="false">F36+G36</f>
        <v>26155.7469951923</v>
      </c>
      <c r="I36" s="52" t="n">
        <f aca="false">H36*Rates!$B$8</f>
        <v>3138.68963942308</v>
      </c>
      <c r="J36" s="52" t="n">
        <f aca="false">H36+I36</f>
        <v>29294.4366346154</v>
      </c>
    </row>
    <row r="37" customFormat="false" ht="15" hidden="false" customHeight="false" outlineLevel="0" collapsed="false">
      <c r="A37" s="60" t="n">
        <v>9</v>
      </c>
      <c r="B37" s="108" t="n">
        <f aca="false">EDATE(Dashboard!$C$5,A37-1)</f>
        <v>46266</v>
      </c>
      <c r="C37" s="52" t="n">
        <f aca="false">SUMIFS(AQ$6:AQ$25,$E$6:$E$25,"Prime")</f>
        <v>0</v>
      </c>
      <c r="D37" s="52" t="n">
        <f aca="false">C37*Rates!$B$6</f>
        <v>0</v>
      </c>
      <c r="E37" s="52" t="n">
        <f aca="false">(C37+D37)*Rates!$B$7</f>
        <v>0</v>
      </c>
      <c r="F37" s="52" t="n">
        <f aca="false">C37+D37+E37</f>
        <v>0</v>
      </c>
      <c r="G37" s="52" t="n">
        <f aca="false">SUMIFS(AQ$6:AQ$25,$E$6:$E$25,"Sub")</f>
        <v>0</v>
      </c>
      <c r="H37" s="52" t="n">
        <f aca="false">F37+G37</f>
        <v>0</v>
      </c>
      <c r="I37" s="52" t="n">
        <f aca="false">H37*Rates!$B$8</f>
        <v>0</v>
      </c>
      <c r="J37" s="52" t="n">
        <f aca="false">H37+I37</f>
        <v>0</v>
      </c>
    </row>
    <row r="38" customFormat="false" ht="15" hidden="false" customHeight="false" outlineLevel="0" collapsed="false">
      <c r="A38" s="60" t="n">
        <v>10</v>
      </c>
      <c r="B38" s="108" t="n">
        <f aca="false">EDATE(Dashboard!$C$5,A38-1)</f>
        <v>46296</v>
      </c>
      <c r="C38" s="52" t="n">
        <f aca="false">SUMIFS(AU$6:AU$25,$E$6:$E$25,"Prime")</f>
        <v>0</v>
      </c>
      <c r="D38" s="52" t="n">
        <f aca="false">C38*Rates!$B$6</f>
        <v>0</v>
      </c>
      <c r="E38" s="52" t="n">
        <f aca="false">(C38+D38)*Rates!$B$7</f>
        <v>0</v>
      </c>
      <c r="F38" s="52" t="n">
        <f aca="false">C38+D38+E38</f>
        <v>0</v>
      </c>
      <c r="G38" s="52" t="n">
        <f aca="false">SUMIFS(AU$6:AU$25,$E$6:$E$25,"Sub")</f>
        <v>0</v>
      </c>
      <c r="H38" s="52" t="n">
        <f aca="false">F38+G38</f>
        <v>0</v>
      </c>
      <c r="I38" s="52" t="n">
        <f aca="false">H38*Rates!$B$8</f>
        <v>0</v>
      </c>
      <c r="J38" s="52" t="n">
        <f aca="false">H38+I38</f>
        <v>0</v>
      </c>
    </row>
    <row r="39" customFormat="false" ht="15" hidden="false" customHeight="false" outlineLevel="0" collapsed="false">
      <c r="A39" s="60" t="n">
        <v>11</v>
      </c>
      <c r="B39" s="108" t="n">
        <f aca="false">EDATE(Dashboard!$C$5,A39-1)</f>
        <v>46327</v>
      </c>
      <c r="C39" s="52" t="n">
        <f aca="false">SUMIFS(AY$6:AY$25,$E$6:$E$25,"Prime")</f>
        <v>0</v>
      </c>
      <c r="D39" s="52" t="n">
        <f aca="false">C39*Rates!$B$6</f>
        <v>0</v>
      </c>
      <c r="E39" s="52" t="n">
        <f aca="false">(C39+D39)*Rates!$B$7</f>
        <v>0</v>
      </c>
      <c r="F39" s="52" t="n">
        <f aca="false">C39+D39+E39</f>
        <v>0</v>
      </c>
      <c r="G39" s="52" t="n">
        <f aca="false">SUMIFS(AY$6:AY$25,$E$6:$E$25,"Sub")</f>
        <v>0</v>
      </c>
      <c r="H39" s="52" t="n">
        <f aca="false">F39+G39</f>
        <v>0</v>
      </c>
      <c r="I39" s="52" t="n">
        <f aca="false">H39*Rates!$B$8</f>
        <v>0</v>
      </c>
      <c r="J39" s="52" t="n">
        <f aca="false">H39+I39</f>
        <v>0</v>
      </c>
    </row>
    <row r="40" customFormat="false" ht="15" hidden="false" customHeight="false" outlineLevel="0" collapsed="false">
      <c r="A40" s="60" t="n">
        <v>12</v>
      </c>
      <c r="B40" s="108" t="n">
        <f aca="false">EDATE(Dashboard!$C$5,A40-1)</f>
        <v>46357</v>
      </c>
      <c r="C40" s="52" t="n">
        <f aca="false">SUMIFS(BC$6:BC$25,$E$6:$E$25,"Prime")</f>
        <v>0</v>
      </c>
      <c r="D40" s="52" t="n">
        <f aca="false">C40*Rates!$B$6</f>
        <v>0</v>
      </c>
      <c r="E40" s="52" t="n">
        <f aca="false">(C40+D40)*Rates!$B$7</f>
        <v>0</v>
      </c>
      <c r="F40" s="52" t="n">
        <f aca="false">C40+D40+E40</f>
        <v>0</v>
      </c>
      <c r="G40" s="52" t="n">
        <f aca="false">SUMIFS(BC$6:BC$25,$E$6:$E$25,"Sub")</f>
        <v>0</v>
      </c>
      <c r="H40" s="52" t="n">
        <f aca="false">F40+G40</f>
        <v>0</v>
      </c>
      <c r="I40" s="52" t="n">
        <f aca="false">H40*Rates!$B$8</f>
        <v>0</v>
      </c>
      <c r="J40" s="52" t="n">
        <f aca="false">H40+I40</f>
        <v>0</v>
      </c>
    </row>
    <row r="42" customFormat="false" ht="15" hidden="false" customHeight="false" outlineLevel="0" collapsed="false">
      <c r="A42" s="64" t="s">
        <v>238</v>
      </c>
    </row>
    <row r="44" customFormat="false" ht="15" hidden="false" customHeight="false" outlineLevel="0" collapsed="false">
      <c r="A44" s="64" t="s">
        <v>119</v>
      </c>
    </row>
  </sheetData>
  <autoFilter ref="A4:G25"/>
  <mergeCells count="23">
    <mergeCell ref="A4:A5"/>
    <mergeCell ref="B4:B5"/>
    <mergeCell ref="C4:C5"/>
    <mergeCell ref="D4:D5"/>
    <mergeCell ref="E4:E5"/>
    <mergeCell ref="F4:F5"/>
    <mergeCell ref="G4:G5"/>
    <mergeCell ref="H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D5"/>
    <mergeCell ref="BE4:BE5"/>
    <mergeCell ref="BF4:BF5"/>
    <mergeCell ref="BG4:BG5"/>
  </mergeCells>
  <conditionalFormatting sqref="J6:J25">
    <cfRule type="expression" priority="2" aboveAverage="0" equalAverage="0" bottom="0" percent="0" rank="0" text="" dxfId="10">
      <formula>OR($F6="Exempt",$E6="Sub")</formula>
    </cfRule>
  </conditionalFormatting>
  <conditionalFormatting sqref="N6:N25">
    <cfRule type="expression" priority="3" aboveAverage="0" equalAverage="0" bottom="0" percent="0" rank="0" text="" dxfId="10">
      <formula>OR($F6="Exempt",$E6="Sub")</formula>
    </cfRule>
  </conditionalFormatting>
  <conditionalFormatting sqref="R6:R25">
    <cfRule type="expression" priority="4" aboveAverage="0" equalAverage="0" bottom="0" percent="0" rank="0" text="" dxfId="10">
      <formula>OR($F6="Exempt",$E6="Sub")</formula>
    </cfRule>
  </conditionalFormatting>
  <conditionalFormatting sqref="V6:V25">
    <cfRule type="expression" priority="5" aboveAverage="0" equalAverage="0" bottom="0" percent="0" rank="0" text="" dxfId="10">
      <formula>OR($F6="Exempt",$E6="Sub")</formula>
    </cfRule>
  </conditionalFormatting>
  <conditionalFormatting sqref="Z6:Z25">
    <cfRule type="expression" priority="6" aboveAverage="0" equalAverage="0" bottom="0" percent="0" rank="0" text="" dxfId="10">
      <formula>OR($F6="Exempt",$E6="Sub")</formula>
    </cfRule>
  </conditionalFormatting>
  <conditionalFormatting sqref="AD6:AD25">
    <cfRule type="expression" priority="7" aboveAverage="0" equalAverage="0" bottom="0" percent="0" rank="0" text="" dxfId="10">
      <formula>OR($F6="Exempt",$E6="Sub")</formula>
    </cfRule>
  </conditionalFormatting>
  <conditionalFormatting sqref="AH6:AH25">
    <cfRule type="expression" priority="8" aboveAverage="0" equalAverage="0" bottom="0" percent="0" rank="0" text="" dxfId="10">
      <formula>OR($F6="Exempt",$E6="Sub")</formula>
    </cfRule>
  </conditionalFormatting>
  <conditionalFormatting sqref="AL6:AL25">
    <cfRule type="expression" priority="9" aboveAverage="0" equalAverage="0" bottom="0" percent="0" rank="0" text="" dxfId="10">
      <formula>OR($F6="Exempt",$E6="Sub")</formula>
    </cfRule>
  </conditionalFormatting>
  <conditionalFormatting sqref="AP6:AP25">
    <cfRule type="expression" priority="10" aboveAverage="0" equalAverage="0" bottom="0" percent="0" rank="0" text="" dxfId="10">
      <formula>OR($F6="Exempt",$E6="Sub")</formula>
    </cfRule>
  </conditionalFormatting>
  <conditionalFormatting sqref="AT6:AT25">
    <cfRule type="expression" priority="11" aboveAverage="0" equalAverage="0" bottom="0" percent="0" rank="0" text="" dxfId="10">
      <formula>OR($F6="Exempt",$E6="Sub")</formula>
    </cfRule>
  </conditionalFormatting>
  <conditionalFormatting sqref="AX6:AX25">
    <cfRule type="expression" priority="12" aboveAverage="0" equalAverage="0" bottom="0" percent="0" rank="0" text="" dxfId="10">
      <formula>OR($F6="Exempt",$E6="Sub")</formula>
    </cfRule>
  </conditionalFormatting>
  <conditionalFormatting sqref="BB6:BB25">
    <cfRule type="expression" priority="13" aboveAverage="0" equalAverage="0" bottom="0" percent="0" rank="0" text="" dxfId="10">
      <formula>OR($F6="Exempt",$E6="Sub")</formula>
    </cfRule>
  </conditionalFormatting>
  <conditionalFormatting sqref="E6:E25">
    <cfRule type="expression" priority="14" aboveAverage="0" equalAverage="0" bottom="0" percent="0" rank="0" text="" dxfId="11">
      <formula>$E6="Sub"</formula>
    </cfRule>
    <cfRule type="expression" priority="15" aboveAverage="0" equalAverage="0" bottom="0" percent="0" rank="0" text="" dxfId="12">
      <formula>$E6="Prime"</formula>
    </cfRule>
  </conditionalFormatting>
  <conditionalFormatting sqref="A6:G25">
    <cfRule type="expression" priority="16" aboveAverage="0" equalAverage="0" bottom="0" percent="0" rank="0" text="" dxfId="13">
      <formula>$E6="Sub"</formula>
    </cfRule>
  </conditionalFormatting>
  <conditionalFormatting sqref="F6:F25">
    <cfRule type="expression" priority="17" aboveAverage="0" equalAverage="0" bottom="0" percent="0" rank="0" text="" dxfId="12">
      <formula>$F6="Exempt"</formula>
    </cfRule>
    <cfRule type="expression" priority="18" aboveAverage="0" equalAverage="0" bottom="0" percent="0" rank="0" text="" dxfId="11">
      <formula>$F6="Non-Exempt"</formula>
    </cfRule>
  </conditionalFormatting>
  <dataValidations count="2">
    <dataValidation allowBlank="true" errorStyle="stop" operator="between" showDropDown="false" showErrorMessage="false" showInputMessage="false" sqref="E6:E25" type="list">
      <formula1>"Prime,Sub"</formula1>
      <formula2>0</formula2>
    </dataValidation>
    <dataValidation allowBlank="true" errorStyle="stop" operator="between" showDropDown="false" showErrorMessage="false" showInputMessage="false" sqref="G6:G25" type="list">
      <formula1>Projects!$A$6:$A$13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4"/>
  </cols>
  <sheetData>
    <row r="1" customFormat="false" ht="21.75" hidden="false" customHeight="true" outlineLevel="0" collapsed="false">
      <c r="B1" s="45" t="s">
        <v>239</v>
      </c>
      <c r="G1" s="46" t="s">
        <v>67</v>
      </c>
    </row>
    <row r="3" customFormat="false" ht="15" hidden="false" customHeight="true" outlineLevel="0" collapsed="false">
      <c r="A3" s="56" t="s">
        <v>240</v>
      </c>
    </row>
    <row r="4" customFormat="false" ht="25.5" hidden="false" customHeight="true" outlineLevel="0" collapsed="false">
      <c r="A4" s="49" t="s">
        <v>91</v>
      </c>
      <c r="B4" s="49" t="s">
        <v>241</v>
      </c>
      <c r="C4" s="49" t="s">
        <v>92</v>
      </c>
      <c r="D4" s="49" t="s">
        <v>219</v>
      </c>
      <c r="E4" s="49" t="s">
        <v>159</v>
      </c>
      <c r="F4" s="49" t="s">
        <v>242</v>
      </c>
    </row>
    <row r="5" customFormat="false" ht="15" hidden="false" customHeight="false" outlineLevel="0" collapsed="false">
      <c r="A5" s="109" t="n">
        <v>46036</v>
      </c>
      <c r="B5" s="50" t="s">
        <v>243</v>
      </c>
      <c r="C5" s="50" t="s">
        <v>244</v>
      </c>
      <c r="D5" s="50" t="s">
        <v>129</v>
      </c>
      <c r="E5" s="50" t="n">
        <v>1</v>
      </c>
      <c r="F5" s="51" t="n">
        <v>4200</v>
      </c>
    </row>
    <row r="6" customFormat="false" ht="15" hidden="false" customHeight="false" outlineLevel="0" collapsed="false">
      <c r="A6" s="109" t="n">
        <v>46056</v>
      </c>
      <c r="B6" s="50" t="s">
        <v>245</v>
      </c>
      <c r="C6" s="50" t="s">
        <v>246</v>
      </c>
      <c r="D6" s="50" t="s">
        <v>131</v>
      </c>
      <c r="E6" s="50" t="n">
        <v>2</v>
      </c>
      <c r="F6" s="51" t="n">
        <v>310</v>
      </c>
    </row>
    <row r="7" customFormat="false" ht="15" hidden="false" customHeight="false" outlineLevel="0" collapsed="false">
      <c r="A7" s="109" t="n">
        <v>46132</v>
      </c>
      <c r="B7" s="50" t="s">
        <v>247</v>
      </c>
      <c r="C7" s="50" t="s">
        <v>248</v>
      </c>
      <c r="D7" s="50" t="s">
        <v>131</v>
      </c>
      <c r="E7" s="50" t="n">
        <v>4</v>
      </c>
      <c r="F7" s="51" t="n">
        <v>860</v>
      </c>
    </row>
    <row r="8" customFormat="false" ht="15" hidden="false" customHeight="false" outlineLevel="0" collapsed="false">
      <c r="A8" s="109"/>
      <c r="B8" s="50"/>
      <c r="C8" s="50"/>
      <c r="D8" s="50"/>
      <c r="E8" s="50"/>
      <c r="F8" s="51"/>
    </row>
    <row r="9" customFormat="false" ht="15" hidden="false" customHeight="false" outlineLevel="0" collapsed="false">
      <c r="A9" s="109"/>
      <c r="B9" s="50"/>
      <c r="C9" s="50"/>
      <c r="D9" s="50"/>
      <c r="E9" s="50"/>
      <c r="F9" s="51"/>
    </row>
    <row r="10" customFormat="false" ht="15" hidden="false" customHeight="false" outlineLevel="0" collapsed="false">
      <c r="A10" s="109"/>
      <c r="B10" s="50"/>
      <c r="C10" s="50"/>
      <c r="D10" s="50"/>
      <c r="E10" s="50"/>
      <c r="F10" s="51"/>
    </row>
    <row r="11" customFormat="false" ht="15" hidden="false" customHeight="false" outlineLevel="0" collapsed="false">
      <c r="A11" s="109"/>
      <c r="B11" s="50"/>
      <c r="C11" s="50"/>
      <c r="D11" s="50"/>
      <c r="E11" s="50"/>
      <c r="F11" s="51"/>
    </row>
    <row r="12" customFormat="false" ht="15" hidden="false" customHeight="false" outlineLevel="0" collapsed="false">
      <c r="A12" s="109"/>
      <c r="B12" s="50"/>
      <c r="C12" s="50"/>
      <c r="D12" s="50"/>
      <c r="E12" s="50"/>
      <c r="F12" s="51"/>
    </row>
    <row r="13" customFormat="false" ht="15" hidden="false" customHeight="false" outlineLevel="0" collapsed="false">
      <c r="A13" s="109"/>
      <c r="B13" s="50"/>
      <c r="C13" s="50"/>
      <c r="D13" s="50"/>
      <c r="E13" s="50"/>
      <c r="F13" s="51"/>
    </row>
    <row r="14" customFormat="false" ht="15" hidden="false" customHeight="false" outlineLevel="0" collapsed="false">
      <c r="A14" s="109"/>
      <c r="B14" s="50"/>
      <c r="C14" s="50"/>
      <c r="D14" s="50"/>
      <c r="E14" s="50"/>
      <c r="F14" s="51"/>
    </row>
    <row r="15" customFormat="false" ht="15" hidden="false" customHeight="false" outlineLevel="0" collapsed="false">
      <c r="A15" s="109"/>
      <c r="B15" s="50"/>
      <c r="C15" s="50"/>
      <c r="D15" s="50"/>
      <c r="E15" s="50"/>
      <c r="F15" s="51"/>
    </row>
    <row r="16" customFormat="false" ht="15" hidden="false" customHeight="false" outlineLevel="0" collapsed="false">
      <c r="A16" s="109"/>
      <c r="B16" s="50"/>
      <c r="C16" s="50"/>
      <c r="D16" s="50"/>
      <c r="E16" s="50"/>
      <c r="F16" s="51"/>
    </row>
    <row r="17" customFormat="false" ht="15" hidden="false" customHeight="false" outlineLevel="0" collapsed="false">
      <c r="A17" s="109"/>
      <c r="B17" s="50"/>
      <c r="C17" s="50"/>
      <c r="D17" s="50"/>
      <c r="E17" s="50"/>
      <c r="F17" s="51"/>
    </row>
    <row r="18" customFormat="false" ht="15" hidden="false" customHeight="false" outlineLevel="0" collapsed="false">
      <c r="A18" s="109"/>
      <c r="B18" s="50"/>
      <c r="C18" s="50"/>
      <c r="D18" s="50"/>
      <c r="E18" s="50"/>
      <c r="F18" s="51"/>
    </row>
    <row r="19" customFormat="false" ht="15" hidden="false" customHeight="false" outlineLevel="0" collapsed="false">
      <c r="A19" s="109"/>
      <c r="B19" s="50"/>
      <c r="C19" s="50"/>
      <c r="D19" s="50"/>
      <c r="E19" s="50"/>
      <c r="F19" s="51"/>
    </row>
    <row r="20" customFormat="false" ht="15" hidden="false" customHeight="false" outlineLevel="0" collapsed="false">
      <c r="A20" s="109"/>
      <c r="B20" s="50"/>
      <c r="C20" s="50"/>
      <c r="D20" s="50"/>
      <c r="E20" s="50"/>
      <c r="F20" s="51"/>
    </row>
    <row r="21" customFormat="false" ht="15" hidden="false" customHeight="false" outlineLevel="0" collapsed="false">
      <c r="A21" s="109"/>
      <c r="B21" s="50"/>
      <c r="C21" s="50"/>
      <c r="D21" s="50"/>
      <c r="E21" s="50"/>
      <c r="F21" s="51"/>
    </row>
    <row r="22" customFormat="false" ht="15" hidden="false" customHeight="false" outlineLevel="0" collapsed="false">
      <c r="A22" s="109"/>
      <c r="B22" s="50"/>
      <c r="C22" s="50"/>
      <c r="D22" s="50"/>
      <c r="E22" s="50"/>
      <c r="F22" s="51"/>
    </row>
    <row r="23" customFormat="false" ht="15" hidden="false" customHeight="false" outlineLevel="0" collapsed="false">
      <c r="B23" s="110" t="s">
        <v>249</v>
      </c>
      <c r="F23" s="111" t="n">
        <f aca="false">SUM(F5:F22)</f>
        <v>5370</v>
      </c>
    </row>
    <row r="25" customFormat="false" ht="15" hidden="false" customHeight="false" outlineLevel="0" collapsed="false">
      <c r="A25" s="64"/>
    </row>
    <row r="26" customFormat="false" ht="15" hidden="false" customHeight="false" outlineLevel="0" collapsed="false">
      <c r="A26" s="59" t="s">
        <v>159</v>
      </c>
      <c r="B26" s="59" t="s">
        <v>160</v>
      </c>
      <c r="C26" s="59" t="s">
        <v>250</v>
      </c>
    </row>
    <row r="27" customFormat="false" ht="15" hidden="false" customHeight="false" outlineLevel="0" collapsed="false">
      <c r="A27" s="60" t="n">
        <v>1</v>
      </c>
      <c r="B27" s="108" t="n">
        <f aca="false">EDATE(Dashboard!$C$5,A27-1)</f>
        <v>46023</v>
      </c>
      <c r="C27" s="52" t="n">
        <f aca="false">SUMIFS($F$5:$F$22,$E$5:$E$22,A27)</f>
        <v>4200</v>
      </c>
    </row>
    <row r="28" customFormat="false" ht="15" hidden="false" customHeight="false" outlineLevel="0" collapsed="false">
      <c r="A28" s="60" t="n">
        <v>2</v>
      </c>
      <c r="B28" s="108" t="n">
        <f aca="false">EDATE(Dashboard!$C$5,A28-1)</f>
        <v>46054</v>
      </c>
      <c r="C28" s="52" t="n">
        <f aca="false">SUMIFS($F$5:$F$22,$E$5:$E$22,A28)</f>
        <v>310</v>
      </c>
    </row>
    <row r="29" customFormat="false" ht="15" hidden="false" customHeight="false" outlineLevel="0" collapsed="false">
      <c r="A29" s="60" t="n">
        <v>3</v>
      </c>
      <c r="B29" s="108" t="n">
        <f aca="false">EDATE(Dashboard!$C$5,A29-1)</f>
        <v>46082</v>
      </c>
      <c r="C29" s="52" t="n">
        <f aca="false">SUMIFS($F$5:$F$22,$E$5:$E$22,A29)</f>
        <v>0</v>
      </c>
    </row>
    <row r="30" customFormat="false" ht="15" hidden="false" customHeight="false" outlineLevel="0" collapsed="false">
      <c r="A30" s="60" t="n">
        <v>4</v>
      </c>
      <c r="B30" s="108" t="n">
        <f aca="false">EDATE(Dashboard!$C$5,A30-1)</f>
        <v>46113</v>
      </c>
      <c r="C30" s="52" t="n">
        <f aca="false">SUMIFS($F$5:$F$22,$E$5:$E$22,A30)</f>
        <v>860</v>
      </c>
    </row>
    <row r="31" customFormat="false" ht="15" hidden="false" customHeight="false" outlineLevel="0" collapsed="false">
      <c r="A31" s="60" t="n">
        <v>5</v>
      </c>
      <c r="B31" s="108" t="n">
        <f aca="false">EDATE(Dashboard!$C$5,A31-1)</f>
        <v>46143</v>
      </c>
      <c r="C31" s="52" t="n">
        <f aca="false">SUMIFS($F$5:$F$22,$E$5:$E$22,A31)</f>
        <v>0</v>
      </c>
    </row>
    <row r="32" customFormat="false" ht="15" hidden="false" customHeight="false" outlineLevel="0" collapsed="false">
      <c r="A32" s="60" t="n">
        <v>6</v>
      </c>
      <c r="B32" s="108" t="n">
        <f aca="false">EDATE(Dashboard!$C$5,A32-1)</f>
        <v>46174</v>
      </c>
      <c r="C32" s="52" t="n">
        <f aca="false">SUMIFS($F$5:$F$22,$E$5:$E$22,A32)</f>
        <v>0</v>
      </c>
    </row>
    <row r="33" customFormat="false" ht="15" hidden="false" customHeight="false" outlineLevel="0" collapsed="false">
      <c r="A33" s="60" t="n">
        <v>7</v>
      </c>
      <c r="B33" s="108" t="n">
        <f aca="false">EDATE(Dashboard!$C$5,A33-1)</f>
        <v>46204</v>
      </c>
      <c r="C33" s="52" t="n">
        <f aca="false">SUMIFS($F$5:$F$22,$E$5:$E$22,A33)</f>
        <v>0</v>
      </c>
    </row>
    <row r="34" customFormat="false" ht="15" hidden="false" customHeight="false" outlineLevel="0" collapsed="false">
      <c r="A34" s="60" t="n">
        <v>8</v>
      </c>
      <c r="B34" s="108" t="n">
        <f aca="false">EDATE(Dashboard!$C$5,A34-1)</f>
        <v>46235</v>
      </c>
      <c r="C34" s="52" t="n">
        <f aca="false">SUMIFS($F$5:$F$22,$E$5:$E$22,A34)</f>
        <v>0</v>
      </c>
    </row>
    <row r="35" customFormat="false" ht="15" hidden="false" customHeight="false" outlineLevel="0" collapsed="false">
      <c r="A35" s="60" t="n">
        <v>9</v>
      </c>
      <c r="B35" s="108" t="n">
        <f aca="false">EDATE(Dashboard!$C$5,A35-1)</f>
        <v>46266</v>
      </c>
      <c r="C35" s="52" t="n">
        <f aca="false">SUMIFS($F$5:$F$22,$E$5:$E$22,A35)</f>
        <v>0</v>
      </c>
    </row>
    <row r="36" customFormat="false" ht="15" hidden="false" customHeight="false" outlineLevel="0" collapsed="false">
      <c r="A36" s="60" t="n">
        <v>10</v>
      </c>
      <c r="B36" s="108" t="n">
        <f aca="false">EDATE(Dashboard!$C$5,A36-1)</f>
        <v>46296</v>
      </c>
      <c r="C36" s="52" t="n">
        <f aca="false">SUMIFS($F$5:$F$22,$E$5:$E$22,A36)</f>
        <v>0</v>
      </c>
    </row>
    <row r="37" customFormat="false" ht="15" hidden="false" customHeight="false" outlineLevel="0" collapsed="false">
      <c r="A37" s="60" t="n">
        <v>11</v>
      </c>
      <c r="B37" s="108" t="n">
        <f aca="false">EDATE(Dashboard!$C$5,A37-1)</f>
        <v>46327</v>
      </c>
      <c r="C37" s="52" t="n">
        <f aca="false">SUMIFS($F$5:$F$22,$E$5:$E$22,A37)</f>
        <v>0</v>
      </c>
    </row>
    <row r="38" customFormat="false" ht="15" hidden="false" customHeight="false" outlineLevel="0" collapsed="false">
      <c r="A38" s="60" t="n">
        <v>12</v>
      </c>
      <c r="B38" s="108" t="n">
        <f aca="false">EDATE(Dashboard!$C$5,A38-1)</f>
        <v>46357</v>
      </c>
      <c r="C38" s="52" t="n">
        <f aca="false">SUMIFS($F$5:$F$22,$E$5:$E$22,A38)</f>
        <v>0</v>
      </c>
    </row>
    <row r="40" customFormat="false" ht="15" hidden="false" customHeight="false" outlineLevel="0" collapsed="false">
      <c r="A40" s="64" t="s">
        <v>119</v>
      </c>
    </row>
  </sheetData>
  <autoFilter ref="A4:F22"/>
  <dataValidations count="1">
    <dataValidation allowBlank="true" errorStyle="stop" operator="between" showDropDown="false" showErrorMessage="false" showInputMessage="false" sqref="D5:D22" type="list">
      <formula1>Projects!$A$6:$A$13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4"/>
  </cols>
  <sheetData>
    <row r="1" customFormat="false" ht="21.75" hidden="false" customHeight="true" outlineLevel="0" collapsed="false">
      <c r="B1" s="45" t="s">
        <v>115</v>
      </c>
      <c r="G1" s="46" t="s">
        <v>67</v>
      </c>
    </row>
    <row r="3" customFormat="false" ht="15" hidden="false" customHeight="true" outlineLevel="0" collapsed="false">
      <c r="A3" s="56" t="s">
        <v>240</v>
      </c>
    </row>
    <row r="4" customFormat="false" ht="25.5" hidden="false" customHeight="true" outlineLevel="0" collapsed="false">
      <c r="A4" s="49" t="s">
        <v>91</v>
      </c>
      <c r="B4" s="49" t="s">
        <v>241</v>
      </c>
      <c r="C4" s="49" t="s">
        <v>92</v>
      </c>
      <c r="D4" s="49" t="s">
        <v>219</v>
      </c>
      <c r="E4" s="49" t="s">
        <v>159</v>
      </c>
      <c r="F4" s="49" t="s">
        <v>242</v>
      </c>
    </row>
    <row r="5" customFormat="false" ht="15" hidden="false" customHeight="false" outlineLevel="0" collapsed="false">
      <c r="A5" s="109" t="n">
        <v>46042</v>
      </c>
      <c r="B5" s="50" t="s">
        <v>251</v>
      </c>
      <c r="C5" s="50" t="s">
        <v>252</v>
      </c>
      <c r="D5" s="50" t="s">
        <v>129</v>
      </c>
      <c r="E5" s="50" t="n">
        <v>1</v>
      </c>
      <c r="F5" s="51" t="n">
        <v>480</v>
      </c>
    </row>
    <row r="6" customFormat="false" ht="15" hidden="false" customHeight="false" outlineLevel="0" collapsed="false">
      <c r="A6" s="109" t="n">
        <v>46042</v>
      </c>
      <c r="B6" s="50" t="s">
        <v>253</v>
      </c>
      <c r="C6" s="50" t="s">
        <v>254</v>
      </c>
      <c r="D6" s="50" t="s">
        <v>129</v>
      </c>
      <c r="E6" s="50" t="n">
        <v>1</v>
      </c>
      <c r="F6" s="51" t="n">
        <v>610</v>
      </c>
    </row>
    <row r="7" customFormat="false" ht="15" hidden="false" customHeight="false" outlineLevel="0" collapsed="false">
      <c r="A7" s="109" t="n">
        <v>46091</v>
      </c>
      <c r="B7" s="50" t="s">
        <v>255</v>
      </c>
      <c r="C7" s="50" t="s">
        <v>256</v>
      </c>
      <c r="D7" s="50" t="s">
        <v>133</v>
      </c>
      <c r="E7" s="50" t="n">
        <v>3</v>
      </c>
      <c r="F7" s="51" t="n">
        <v>1150</v>
      </c>
    </row>
    <row r="8" customFormat="false" ht="15" hidden="false" customHeight="false" outlineLevel="0" collapsed="false">
      <c r="A8" s="109"/>
      <c r="B8" s="50"/>
      <c r="C8" s="50"/>
      <c r="D8" s="50"/>
      <c r="E8" s="50"/>
      <c r="F8" s="51"/>
    </row>
    <row r="9" customFormat="false" ht="15" hidden="false" customHeight="false" outlineLevel="0" collapsed="false">
      <c r="A9" s="109"/>
      <c r="B9" s="50"/>
      <c r="C9" s="50"/>
      <c r="D9" s="50"/>
      <c r="E9" s="50"/>
      <c r="F9" s="51"/>
    </row>
    <row r="10" customFormat="false" ht="15" hidden="false" customHeight="false" outlineLevel="0" collapsed="false">
      <c r="A10" s="109"/>
      <c r="B10" s="50"/>
      <c r="C10" s="50"/>
      <c r="D10" s="50"/>
      <c r="E10" s="50"/>
      <c r="F10" s="51"/>
    </row>
    <row r="11" customFormat="false" ht="15" hidden="false" customHeight="false" outlineLevel="0" collapsed="false">
      <c r="A11" s="109"/>
      <c r="B11" s="50"/>
      <c r="C11" s="50"/>
      <c r="D11" s="50"/>
      <c r="E11" s="50"/>
      <c r="F11" s="51"/>
    </row>
    <row r="12" customFormat="false" ht="15" hidden="false" customHeight="false" outlineLevel="0" collapsed="false">
      <c r="A12" s="109"/>
      <c r="B12" s="50"/>
      <c r="C12" s="50"/>
      <c r="D12" s="50"/>
      <c r="E12" s="50"/>
      <c r="F12" s="51"/>
    </row>
    <row r="13" customFormat="false" ht="15" hidden="false" customHeight="false" outlineLevel="0" collapsed="false">
      <c r="A13" s="109"/>
      <c r="B13" s="50"/>
      <c r="C13" s="50"/>
      <c r="D13" s="50"/>
      <c r="E13" s="50"/>
      <c r="F13" s="51"/>
    </row>
    <row r="14" customFormat="false" ht="15" hidden="false" customHeight="false" outlineLevel="0" collapsed="false">
      <c r="A14" s="109"/>
      <c r="B14" s="50"/>
      <c r="C14" s="50"/>
      <c r="D14" s="50"/>
      <c r="E14" s="50"/>
      <c r="F14" s="51"/>
    </row>
    <row r="15" customFormat="false" ht="15" hidden="false" customHeight="false" outlineLevel="0" collapsed="false">
      <c r="A15" s="109"/>
      <c r="B15" s="50"/>
      <c r="C15" s="50"/>
      <c r="D15" s="50"/>
      <c r="E15" s="50"/>
      <c r="F15" s="51"/>
    </row>
    <row r="16" customFormat="false" ht="15" hidden="false" customHeight="false" outlineLevel="0" collapsed="false">
      <c r="A16" s="109"/>
      <c r="B16" s="50"/>
      <c r="C16" s="50"/>
      <c r="D16" s="50"/>
      <c r="E16" s="50"/>
      <c r="F16" s="51"/>
    </row>
    <row r="17" customFormat="false" ht="15" hidden="false" customHeight="false" outlineLevel="0" collapsed="false">
      <c r="A17" s="109"/>
      <c r="B17" s="50"/>
      <c r="C17" s="50"/>
      <c r="D17" s="50"/>
      <c r="E17" s="50"/>
      <c r="F17" s="51"/>
    </row>
    <row r="18" customFormat="false" ht="15" hidden="false" customHeight="false" outlineLevel="0" collapsed="false">
      <c r="A18" s="109"/>
      <c r="B18" s="50"/>
      <c r="C18" s="50"/>
      <c r="D18" s="50"/>
      <c r="E18" s="50"/>
      <c r="F18" s="51"/>
    </row>
    <row r="19" customFormat="false" ht="15" hidden="false" customHeight="false" outlineLevel="0" collapsed="false">
      <c r="A19" s="109"/>
      <c r="B19" s="50"/>
      <c r="C19" s="50"/>
      <c r="D19" s="50"/>
      <c r="E19" s="50"/>
      <c r="F19" s="51"/>
    </row>
    <row r="20" customFormat="false" ht="15" hidden="false" customHeight="false" outlineLevel="0" collapsed="false">
      <c r="A20" s="109"/>
      <c r="B20" s="50"/>
      <c r="C20" s="50"/>
      <c r="D20" s="50"/>
      <c r="E20" s="50"/>
      <c r="F20" s="51"/>
    </row>
    <row r="21" customFormat="false" ht="15" hidden="false" customHeight="false" outlineLevel="0" collapsed="false">
      <c r="A21" s="109"/>
      <c r="B21" s="50"/>
      <c r="C21" s="50"/>
      <c r="D21" s="50"/>
      <c r="E21" s="50"/>
      <c r="F21" s="51"/>
    </row>
    <row r="22" customFormat="false" ht="15" hidden="false" customHeight="false" outlineLevel="0" collapsed="false">
      <c r="A22" s="109"/>
      <c r="B22" s="50"/>
      <c r="C22" s="50"/>
      <c r="D22" s="50"/>
      <c r="E22" s="50"/>
      <c r="F22" s="51"/>
    </row>
    <row r="23" customFormat="false" ht="15" hidden="false" customHeight="false" outlineLevel="0" collapsed="false">
      <c r="B23" s="110" t="s">
        <v>249</v>
      </c>
      <c r="F23" s="111" t="n">
        <f aca="false">SUM(F5:F22)</f>
        <v>2240</v>
      </c>
    </row>
    <row r="25" customFormat="false" ht="15" hidden="false" customHeight="false" outlineLevel="0" collapsed="false">
      <c r="A25" s="64"/>
    </row>
    <row r="26" customFormat="false" ht="15" hidden="false" customHeight="false" outlineLevel="0" collapsed="false">
      <c r="A26" s="59" t="s">
        <v>159</v>
      </c>
      <c r="B26" s="59" t="s">
        <v>160</v>
      </c>
      <c r="C26" s="59" t="s">
        <v>257</v>
      </c>
    </row>
    <row r="27" customFormat="false" ht="15" hidden="false" customHeight="false" outlineLevel="0" collapsed="false">
      <c r="A27" s="60" t="n">
        <v>1</v>
      </c>
      <c r="B27" s="108" t="n">
        <f aca="false">EDATE(Dashboard!$C$5,A27-1)</f>
        <v>46023</v>
      </c>
      <c r="C27" s="52" t="n">
        <f aca="false">SUMIFS($F$5:$F$22,$E$5:$E$22,A27)</f>
        <v>1090</v>
      </c>
    </row>
    <row r="28" customFormat="false" ht="15" hidden="false" customHeight="false" outlineLevel="0" collapsed="false">
      <c r="A28" s="60" t="n">
        <v>2</v>
      </c>
      <c r="B28" s="108" t="n">
        <f aca="false">EDATE(Dashboard!$C$5,A28-1)</f>
        <v>46054</v>
      </c>
      <c r="C28" s="52" t="n">
        <f aca="false">SUMIFS($F$5:$F$22,$E$5:$E$22,A28)</f>
        <v>0</v>
      </c>
    </row>
    <row r="29" customFormat="false" ht="15" hidden="false" customHeight="false" outlineLevel="0" collapsed="false">
      <c r="A29" s="60" t="n">
        <v>3</v>
      </c>
      <c r="B29" s="108" t="n">
        <f aca="false">EDATE(Dashboard!$C$5,A29-1)</f>
        <v>46082</v>
      </c>
      <c r="C29" s="52" t="n">
        <f aca="false">SUMIFS($F$5:$F$22,$E$5:$E$22,A29)</f>
        <v>1150</v>
      </c>
    </row>
    <row r="30" customFormat="false" ht="15" hidden="false" customHeight="false" outlineLevel="0" collapsed="false">
      <c r="A30" s="60" t="n">
        <v>4</v>
      </c>
      <c r="B30" s="108" t="n">
        <f aca="false">EDATE(Dashboard!$C$5,A30-1)</f>
        <v>46113</v>
      </c>
      <c r="C30" s="52" t="n">
        <f aca="false">SUMIFS($F$5:$F$22,$E$5:$E$22,A30)</f>
        <v>0</v>
      </c>
    </row>
    <row r="31" customFormat="false" ht="15" hidden="false" customHeight="false" outlineLevel="0" collapsed="false">
      <c r="A31" s="60" t="n">
        <v>5</v>
      </c>
      <c r="B31" s="108" t="n">
        <f aca="false">EDATE(Dashboard!$C$5,A31-1)</f>
        <v>46143</v>
      </c>
      <c r="C31" s="52" t="n">
        <f aca="false">SUMIFS($F$5:$F$22,$E$5:$E$22,A31)</f>
        <v>0</v>
      </c>
    </row>
    <row r="32" customFormat="false" ht="15" hidden="false" customHeight="false" outlineLevel="0" collapsed="false">
      <c r="A32" s="60" t="n">
        <v>6</v>
      </c>
      <c r="B32" s="108" t="n">
        <f aca="false">EDATE(Dashboard!$C$5,A32-1)</f>
        <v>46174</v>
      </c>
      <c r="C32" s="52" t="n">
        <f aca="false">SUMIFS($F$5:$F$22,$E$5:$E$22,A32)</f>
        <v>0</v>
      </c>
    </row>
    <row r="33" customFormat="false" ht="15" hidden="false" customHeight="false" outlineLevel="0" collapsed="false">
      <c r="A33" s="60" t="n">
        <v>7</v>
      </c>
      <c r="B33" s="108" t="n">
        <f aca="false">EDATE(Dashboard!$C$5,A33-1)</f>
        <v>46204</v>
      </c>
      <c r="C33" s="52" t="n">
        <f aca="false">SUMIFS($F$5:$F$22,$E$5:$E$22,A33)</f>
        <v>0</v>
      </c>
    </row>
    <row r="34" customFormat="false" ht="15" hidden="false" customHeight="false" outlineLevel="0" collapsed="false">
      <c r="A34" s="60" t="n">
        <v>8</v>
      </c>
      <c r="B34" s="108" t="n">
        <f aca="false">EDATE(Dashboard!$C$5,A34-1)</f>
        <v>46235</v>
      </c>
      <c r="C34" s="52" t="n">
        <f aca="false">SUMIFS($F$5:$F$22,$E$5:$E$22,A34)</f>
        <v>0</v>
      </c>
    </row>
    <row r="35" customFormat="false" ht="15" hidden="false" customHeight="false" outlineLevel="0" collapsed="false">
      <c r="A35" s="60" t="n">
        <v>9</v>
      </c>
      <c r="B35" s="108" t="n">
        <f aca="false">EDATE(Dashboard!$C$5,A35-1)</f>
        <v>46266</v>
      </c>
      <c r="C35" s="52" t="n">
        <f aca="false">SUMIFS($F$5:$F$22,$E$5:$E$22,A35)</f>
        <v>0</v>
      </c>
    </row>
    <row r="36" customFormat="false" ht="15" hidden="false" customHeight="false" outlineLevel="0" collapsed="false">
      <c r="A36" s="60" t="n">
        <v>10</v>
      </c>
      <c r="B36" s="108" t="n">
        <f aca="false">EDATE(Dashboard!$C$5,A36-1)</f>
        <v>46296</v>
      </c>
      <c r="C36" s="52" t="n">
        <f aca="false">SUMIFS($F$5:$F$22,$E$5:$E$22,A36)</f>
        <v>0</v>
      </c>
    </row>
    <row r="37" customFormat="false" ht="15" hidden="false" customHeight="false" outlineLevel="0" collapsed="false">
      <c r="A37" s="60" t="n">
        <v>11</v>
      </c>
      <c r="B37" s="108" t="n">
        <f aca="false">EDATE(Dashboard!$C$5,A37-1)</f>
        <v>46327</v>
      </c>
      <c r="C37" s="52" t="n">
        <f aca="false">SUMIFS($F$5:$F$22,$E$5:$E$22,A37)</f>
        <v>0</v>
      </c>
    </row>
    <row r="38" customFormat="false" ht="15" hidden="false" customHeight="false" outlineLevel="0" collapsed="false">
      <c r="A38" s="60" t="n">
        <v>12</v>
      </c>
      <c r="B38" s="108" t="n">
        <f aca="false">EDATE(Dashboard!$C$5,A38-1)</f>
        <v>46357</v>
      </c>
      <c r="C38" s="52" t="n">
        <f aca="false">SUMIFS($F$5:$F$22,$E$5:$E$22,A38)</f>
        <v>0</v>
      </c>
    </row>
    <row r="40" customFormat="false" ht="15" hidden="false" customHeight="false" outlineLevel="0" collapsed="false">
      <c r="A40" s="64" t="s">
        <v>119</v>
      </c>
    </row>
  </sheetData>
  <autoFilter ref="A4:F22"/>
  <dataValidations count="1">
    <dataValidation allowBlank="true" errorStyle="stop" operator="between" showDropDown="false" showErrorMessage="false" showInputMessage="false" sqref="D5:D22" type="list">
      <formula1>Projects!$A$6:$A$13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4"/>
  </cols>
  <sheetData>
    <row r="1" customFormat="false" ht="21.75" hidden="false" customHeight="true" outlineLevel="0" collapsed="false">
      <c r="B1" s="45" t="s">
        <v>117</v>
      </c>
      <c r="G1" s="46" t="s">
        <v>67</v>
      </c>
    </row>
    <row r="3" customFormat="false" ht="15" hidden="false" customHeight="true" outlineLevel="0" collapsed="false">
      <c r="A3" s="56" t="s">
        <v>240</v>
      </c>
    </row>
    <row r="4" customFormat="false" ht="25.5" hidden="false" customHeight="true" outlineLevel="0" collapsed="false">
      <c r="A4" s="49" t="s">
        <v>91</v>
      </c>
      <c r="B4" s="49" t="s">
        <v>241</v>
      </c>
      <c r="C4" s="49" t="s">
        <v>92</v>
      </c>
      <c r="D4" s="49" t="s">
        <v>219</v>
      </c>
      <c r="E4" s="49" t="s">
        <v>159</v>
      </c>
      <c r="F4" s="49" t="s">
        <v>242</v>
      </c>
    </row>
    <row r="5" customFormat="false" ht="15" hidden="false" customHeight="false" outlineLevel="0" collapsed="false">
      <c r="A5" s="109" t="n">
        <v>46036</v>
      </c>
      <c r="B5" s="50" t="s">
        <v>258</v>
      </c>
      <c r="C5" s="50" t="s">
        <v>259</v>
      </c>
      <c r="D5" s="50" t="s">
        <v>131</v>
      </c>
      <c r="E5" s="50" t="n">
        <v>1</v>
      </c>
      <c r="F5" s="51" t="n">
        <v>14200</v>
      </c>
    </row>
    <row r="6" customFormat="false" ht="15" hidden="false" customHeight="false" outlineLevel="0" collapsed="false">
      <c r="A6" s="109" t="n">
        <v>46056</v>
      </c>
      <c r="B6" s="50" t="s">
        <v>258</v>
      </c>
      <c r="C6" s="50" t="s">
        <v>260</v>
      </c>
      <c r="D6" s="50" t="s">
        <v>131</v>
      </c>
      <c r="E6" s="50" t="n">
        <v>2</v>
      </c>
      <c r="F6" s="51" t="n">
        <v>3100</v>
      </c>
    </row>
    <row r="7" customFormat="false" ht="15" hidden="false" customHeight="false" outlineLevel="0" collapsed="false">
      <c r="A7" s="109" t="n">
        <v>46132</v>
      </c>
      <c r="B7" s="50" t="s">
        <v>261</v>
      </c>
      <c r="C7" s="50" t="s">
        <v>262</v>
      </c>
      <c r="D7" s="50" t="s">
        <v>133</v>
      </c>
      <c r="E7" s="50" t="n">
        <v>4</v>
      </c>
      <c r="F7" s="51" t="n">
        <v>8600</v>
      </c>
    </row>
    <row r="8" customFormat="false" ht="15" hidden="false" customHeight="false" outlineLevel="0" collapsed="false">
      <c r="A8" s="109"/>
      <c r="B8" s="50"/>
      <c r="C8" s="50"/>
      <c r="D8" s="50"/>
      <c r="E8" s="50"/>
      <c r="F8" s="51"/>
    </row>
    <row r="9" customFormat="false" ht="15" hidden="false" customHeight="false" outlineLevel="0" collapsed="false">
      <c r="A9" s="109"/>
      <c r="B9" s="50"/>
      <c r="C9" s="50"/>
      <c r="D9" s="50"/>
      <c r="E9" s="50"/>
      <c r="F9" s="51"/>
    </row>
    <row r="10" customFormat="false" ht="15" hidden="false" customHeight="false" outlineLevel="0" collapsed="false">
      <c r="A10" s="109"/>
      <c r="B10" s="50"/>
      <c r="C10" s="50"/>
      <c r="D10" s="50"/>
      <c r="E10" s="50"/>
      <c r="F10" s="51"/>
    </row>
    <row r="11" customFormat="false" ht="15" hidden="false" customHeight="false" outlineLevel="0" collapsed="false">
      <c r="A11" s="109"/>
      <c r="B11" s="50"/>
      <c r="C11" s="50"/>
      <c r="D11" s="50"/>
      <c r="E11" s="50"/>
      <c r="F11" s="51"/>
    </row>
    <row r="12" customFormat="false" ht="15" hidden="false" customHeight="false" outlineLevel="0" collapsed="false">
      <c r="A12" s="109"/>
      <c r="B12" s="50"/>
      <c r="C12" s="50"/>
      <c r="D12" s="50"/>
      <c r="E12" s="50"/>
      <c r="F12" s="51"/>
    </row>
    <row r="13" customFormat="false" ht="15" hidden="false" customHeight="false" outlineLevel="0" collapsed="false">
      <c r="A13" s="109"/>
      <c r="B13" s="50"/>
      <c r="C13" s="50"/>
      <c r="D13" s="50"/>
      <c r="E13" s="50"/>
      <c r="F13" s="51"/>
    </row>
    <row r="14" customFormat="false" ht="15" hidden="false" customHeight="false" outlineLevel="0" collapsed="false">
      <c r="A14" s="109"/>
      <c r="B14" s="50"/>
      <c r="C14" s="50"/>
      <c r="D14" s="50"/>
      <c r="E14" s="50"/>
      <c r="F14" s="51"/>
    </row>
    <row r="15" customFormat="false" ht="15" hidden="false" customHeight="false" outlineLevel="0" collapsed="false">
      <c r="A15" s="109"/>
      <c r="B15" s="50"/>
      <c r="C15" s="50"/>
      <c r="D15" s="50"/>
      <c r="E15" s="50"/>
      <c r="F15" s="51"/>
    </row>
    <row r="16" customFormat="false" ht="15" hidden="false" customHeight="false" outlineLevel="0" collapsed="false">
      <c r="A16" s="109"/>
      <c r="B16" s="50"/>
      <c r="C16" s="50"/>
      <c r="D16" s="50"/>
      <c r="E16" s="50"/>
      <c r="F16" s="51"/>
    </row>
    <row r="17" customFormat="false" ht="15" hidden="false" customHeight="false" outlineLevel="0" collapsed="false">
      <c r="A17" s="109"/>
      <c r="B17" s="50"/>
      <c r="C17" s="50"/>
      <c r="D17" s="50"/>
      <c r="E17" s="50"/>
      <c r="F17" s="51"/>
    </row>
    <row r="18" customFormat="false" ht="15" hidden="false" customHeight="false" outlineLevel="0" collapsed="false">
      <c r="A18" s="109"/>
      <c r="B18" s="50"/>
      <c r="C18" s="50"/>
      <c r="D18" s="50"/>
      <c r="E18" s="50"/>
      <c r="F18" s="51"/>
    </row>
    <row r="19" customFormat="false" ht="15" hidden="false" customHeight="false" outlineLevel="0" collapsed="false">
      <c r="A19" s="109"/>
      <c r="B19" s="50"/>
      <c r="C19" s="50"/>
      <c r="D19" s="50"/>
      <c r="E19" s="50"/>
      <c r="F19" s="51"/>
    </row>
    <row r="20" customFormat="false" ht="15" hidden="false" customHeight="false" outlineLevel="0" collapsed="false">
      <c r="A20" s="109"/>
      <c r="B20" s="50"/>
      <c r="C20" s="50"/>
      <c r="D20" s="50"/>
      <c r="E20" s="50"/>
      <c r="F20" s="51"/>
    </row>
    <row r="21" customFormat="false" ht="15" hidden="false" customHeight="false" outlineLevel="0" collapsed="false">
      <c r="A21" s="109"/>
      <c r="B21" s="50"/>
      <c r="C21" s="50"/>
      <c r="D21" s="50"/>
      <c r="E21" s="50"/>
      <c r="F21" s="51"/>
    </row>
    <row r="22" customFormat="false" ht="15" hidden="false" customHeight="false" outlineLevel="0" collapsed="false">
      <c r="A22" s="109"/>
      <c r="B22" s="50"/>
      <c r="C22" s="50"/>
      <c r="D22" s="50"/>
      <c r="E22" s="50"/>
      <c r="F22" s="51"/>
    </row>
    <row r="23" customFormat="false" ht="15" hidden="false" customHeight="false" outlineLevel="0" collapsed="false">
      <c r="B23" s="110" t="s">
        <v>249</v>
      </c>
      <c r="F23" s="111" t="n">
        <f aca="false">SUM(F5:F22)</f>
        <v>25900</v>
      </c>
    </row>
    <row r="25" customFormat="false" ht="15" hidden="false" customHeight="false" outlineLevel="0" collapsed="false">
      <c r="A25" s="64"/>
    </row>
    <row r="26" customFormat="false" ht="15" hidden="false" customHeight="false" outlineLevel="0" collapsed="false">
      <c r="A26" s="59" t="s">
        <v>159</v>
      </c>
      <c r="B26" s="59" t="s">
        <v>160</v>
      </c>
      <c r="C26" s="59" t="s">
        <v>263</v>
      </c>
    </row>
    <row r="27" customFormat="false" ht="15" hidden="false" customHeight="false" outlineLevel="0" collapsed="false">
      <c r="A27" s="60" t="n">
        <v>1</v>
      </c>
      <c r="B27" s="108" t="n">
        <f aca="false">EDATE(Dashboard!$C$5,A27-1)</f>
        <v>46023</v>
      </c>
      <c r="C27" s="52" t="n">
        <f aca="false">SUMIFS($F$5:$F$22,$E$5:$E$22,A27)</f>
        <v>14200</v>
      </c>
    </row>
    <row r="28" customFormat="false" ht="15" hidden="false" customHeight="false" outlineLevel="0" collapsed="false">
      <c r="A28" s="60" t="n">
        <v>2</v>
      </c>
      <c r="B28" s="108" t="n">
        <f aca="false">EDATE(Dashboard!$C$5,A28-1)</f>
        <v>46054</v>
      </c>
      <c r="C28" s="52" t="n">
        <f aca="false">SUMIFS($F$5:$F$22,$E$5:$E$22,A28)</f>
        <v>3100</v>
      </c>
    </row>
    <row r="29" customFormat="false" ht="15" hidden="false" customHeight="false" outlineLevel="0" collapsed="false">
      <c r="A29" s="60" t="n">
        <v>3</v>
      </c>
      <c r="B29" s="108" t="n">
        <f aca="false">EDATE(Dashboard!$C$5,A29-1)</f>
        <v>46082</v>
      </c>
      <c r="C29" s="52" t="n">
        <f aca="false">SUMIFS($F$5:$F$22,$E$5:$E$22,A29)</f>
        <v>0</v>
      </c>
    </row>
    <row r="30" customFormat="false" ht="15" hidden="false" customHeight="false" outlineLevel="0" collapsed="false">
      <c r="A30" s="60" t="n">
        <v>4</v>
      </c>
      <c r="B30" s="108" t="n">
        <f aca="false">EDATE(Dashboard!$C$5,A30-1)</f>
        <v>46113</v>
      </c>
      <c r="C30" s="52" t="n">
        <f aca="false">SUMIFS($F$5:$F$22,$E$5:$E$22,A30)</f>
        <v>8600</v>
      </c>
    </row>
    <row r="31" customFormat="false" ht="15" hidden="false" customHeight="false" outlineLevel="0" collapsed="false">
      <c r="A31" s="60" t="n">
        <v>5</v>
      </c>
      <c r="B31" s="108" t="n">
        <f aca="false">EDATE(Dashboard!$C$5,A31-1)</f>
        <v>46143</v>
      </c>
      <c r="C31" s="52" t="n">
        <f aca="false">SUMIFS($F$5:$F$22,$E$5:$E$22,A31)</f>
        <v>0</v>
      </c>
    </row>
    <row r="32" customFormat="false" ht="15" hidden="false" customHeight="false" outlineLevel="0" collapsed="false">
      <c r="A32" s="60" t="n">
        <v>6</v>
      </c>
      <c r="B32" s="108" t="n">
        <f aca="false">EDATE(Dashboard!$C$5,A32-1)</f>
        <v>46174</v>
      </c>
      <c r="C32" s="52" t="n">
        <f aca="false">SUMIFS($F$5:$F$22,$E$5:$E$22,A32)</f>
        <v>0</v>
      </c>
    </row>
    <row r="33" customFormat="false" ht="15" hidden="false" customHeight="false" outlineLevel="0" collapsed="false">
      <c r="A33" s="60" t="n">
        <v>7</v>
      </c>
      <c r="B33" s="108" t="n">
        <f aca="false">EDATE(Dashboard!$C$5,A33-1)</f>
        <v>46204</v>
      </c>
      <c r="C33" s="52" t="n">
        <f aca="false">SUMIFS($F$5:$F$22,$E$5:$E$22,A33)</f>
        <v>0</v>
      </c>
    </row>
    <row r="34" customFormat="false" ht="15" hidden="false" customHeight="false" outlineLevel="0" collapsed="false">
      <c r="A34" s="60" t="n">
        <v>8</v>
      </c>
      <c r="B34" s="108" t="n">
        <f aca="false">EDATE(Dashboard!$C$5,A34-1)</f>
        <v>46235</v>
      </c>
      <c r="C34" s="52" t="n">
        <f aca="false">SUMIFS($F$5:$F$22,$E$5:$E$22,A34)</f>
        <v>0</v>
      </c>
    </row>
    <row r="35" customFormat="false" ht="15" hidden="false" customHeight="false" outlineLevel="0" collapsed="false">
      <c r="A35" s="60" t="n">
        <v>9</v>
      </c>
      <c r="B35" s="108" t="n">
        <f aca="false">EDATE(Dashboard!$C$5,A35-1)</f>
        <v>46266</v>
      </c>
      <c r="C35" s="52" t="n">
        <f aca="false">SUMIFS($F$5:$F$22,$E$5:$E$22,A35)</f>
        <v>0</v>
      </c>
    </row>
    <row r="36" customFormat="false" ht="15" hidden="false" customHeight="false" outlineLevel="0" collapsed="false">
      <c r="A36" s="60" t="n">
        <v>10</v>
      </c>
      <c r="B36" s="108" t="n">
        <f aca="false">EDATE(Dashboard!$C$5,A36-1)</f>
        <v>46296</v>
      </c>
      <c r="C36" s="52" t="n">
        <f aca="false">SUMIFS($F$5:$F$22,$E$5:$E$22,A36)</f>
        <v>0</v>
      </c>
    </row>
    <row r="37" customFormat="false" ht="15" hidden="false" customHeight="false" outlineLevel="0" collapsed="false">
      <c r="A37" s="60" t="n">
        <v>11</v>
      </c>
      <c r="B37" s="108" t="n">
        <f aca="false">EDATE(Dashboard!$C$5,A37-1)</f>
        <v>46327</v>
      </c>
      <c r="C37" s="52" t="n">
        <f aca="false">SUMIFS($F$5:$F$22,$E$5:$E$22,A37)</f>
        <v>0</v>
      </c>
    </row>
    <row r="38" customFormat="false" ht="15" hidden="false" customHeight="false" outlineLevel="0" collapsed="false">
      <c r="A38" s="60" t="n">
        <v>12</v>
      </c>
      <c r="B38" s="108" t="n">
        <f aca="false">EDATE(Dashboard!$C$5,A38-1)</f>
        <v>46357</v>
      </c>
      <c r="C38" s="52" t="n">
        <f aca="false">SUMIFS($F$5:$F$22,$E$5:$E$22,A38)</f>
        <v>0</v>
      </c>
    </row>
    <row r="40" customFormat="false" ht="15" hidden="false" customHeight="false" outlineLevel="0" collapsed="false">
      <c r="A40" s="64" t="s">
        <v>119</v>
      </c>
    </row>
  </sheetData>
  <autoFilter ref="A4:F22"/>
  <dataValidations count="1">
    <dataValidation allowBlank="true" errorStyle="stop" operator="between" showDropDown="false" showErrorMessage="false" showInputMessage="false" sqref="D5:D22" type="list">
      <formula1>Projects!$A$6:$A$13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AF8"/>
    <pageSetUpPr fitToPage="false"/>
  </sheetPr>
  <dimension ref="A1:E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20"/>
    <col collapsed="false" customWidth="true" hidden="false" outlineLevel="0" max="5" min="5" style="1" width="40"/>
  </cols>
  <sheetData>
    <row r="1" customFormat="false" ht="21.75" hidden="false" customHeight="true" outlineLevel="0" collapsed="false">
      <c r="B1" s="4" t="s">
        <v>264</v>
      </c>
      <c r="E1" s="7" t="s">
        <v>67</v>
      </c>
    </row>
    <row r="3" customFormat="false" ht="27.75" hidden="false" customHeight="true" outlineLevel="0" collapsed="false">
      <c r="A3" s="17" t="s">
        <v>265</v>
      </c>
      <c r="B3" s="17"/>
      <c r="C3" s="17"/>
      <c r="D3" s="17"/>
      <c r="E3" s="17"/>
    </row>
    <row r="5" customFormat="false" ht="15" hidden="false" customHeight="true" outlineLevel="0" collapsed="false">
      <c r="A5" s="112" t="s">
        <v>266</v>
      </c>
      <c r="B5" s="112"/>
      <c r="C5" s="112"/>
      <c r="D5" s="112"/>
      <c r="E5" s="112"/>
    </row>
    <row r="6" customFormat="false" ht="15" hidden="false" customHeight="true" outlineLevel="0" collapsed="false">
      <c r="A6" s="9" t="s">
        <v>267</v>
      </c>
      <c r="B6" s="9"/>
      <c r="C6" s="9"/>
      <c r="D6" s="9"/>
      <c r="E6" s="9"/>
    </row>
    <row r="8" customFormat="false" ht="19.5" hidden="false" customHeight="true" outlineLevel="0" collapsed="false">
      <c r="A8" s="10" t="s">
        <v>268</v>
      </c>
      <c r="B8" s="113" t="s">
        <v>189</v>
      </c>
      <c r="C8" s="114"/>
      <c r="D8" s="114"/>
      <c r="E8" s="114"/>
    </row>
    <row r="9" customFormat="false" ht="19.5" hidden="false" customHeight="true" outlineLevel="0" collapsed="false">
      <c r="A9" s="10" t="s">
        <v>180</v>
      </c>
      <c r="B9" s="113" t="s">
        <v>190</v>
      </c>
      <c r="C9" s="114"/>
      <c r="D9" s="114"/>
      <c r="E9" s="114"/>
    </row>
    <row r="10" customFormat="false" ht="19.5" hidden="false" customHeight="true" outlineLevel="0" collapsed="false">
      <c r="A10" s="10" t="s">
        <v>269</v>
      </c>
      <c r="B10" s="115" t="n">
        <v>150000</v>
      </c>
      <c r="C10" s="114"/>
      <c r="D10" s="114"/>
      <c r="E10" s="114"/>
    </row>
    <row r="11" customFormat="false" ht="19.5" hidden="false" customHeight="true" outlineLevel="0" collapsed="false">
      <c r="A11" s="10" t="s">
        <v>270</v>
      </c>
      <c r="B11" s="116"/>
      <c r="C11" s="114"/>
      <c r="D11" s="114"/>
      <c r="E11" s="114"/>
    </row>
    <row r="12" customFormat="false" ht="19.5" hidden="false" customHeight="true" outlineLevel="0" collapsed="false">
      <c r="A12" s="10" t="s">
        <v>271</v>
      </c>
      <c r="B12" s="113" t="n">
        <v>2080</v>
      </c>
      <c r="C12" s="114"/>
      <c r="D12" s="114"/>
      <c r="E12" s="114"/>
    </row>
    <row r="13" customFormat="false" ht="19.5" hidden="false" customHeight="true" outlineLevel="0" collapsed="false">
      <c r="A13" s="10" t="s">
        <v>186</v>
      </c>
      <c r="B13" s="117" t="n">
        <v>46266</v>
      </c>
      <c r="C13" s="114"/>
      <c r="D13" s="114"/>
      <c r="E13" s="114"/>
    </row>
    <row r="14" customFormat="false" ht="15" hidden="false" customHeight="true" outlineLevel="0" collapsed="false">
      <c r="A14" s="10" t="s">
        <v>272</v>
      </c>
      <c r="B14" s="118" t="n">
        <f aca="false">Dashboard!$C$6</f>
        <v>46387</v>
      </c>
      <c r="C14" s="119" t="s">
        <v>273</v>
      </c>
      <c r="D14" s="119"/>
      <c r="E14" s="119"/>
    </row>
    <row r="16" customFormat="false" ht="15" hidden="false" customHeight="true" outlineLevel="0" collapsed="false">
      <c r="A16" s="112" t="s">
        <v>274</v>
      </c>
      <c r="B16" s="112"/>
      <c r="C16" s="112"/>
      <c r="D16" s="112"/>
      <c r="E16" s="112"/>
    </row>
    <row r="17" customFormat="false" ht="15" hidden="false" customHeight="true" outlineLevel="0" collapsed="false">
      <c r="A17" s="9" t="s">
        <v>275</v>
      </c>
      <c r="B17" s="9"/>
      <c r="C17" s="9"/>
      <c r="D17" s="9"/>
      <c r="E17" s="9"/>
    </row>
    <row r="19" customFormat="false" ht="15" hidden="false" customHeight="true" outlineLevel="0" collapsed="false">
      <c r="A19" s="120" t="s">
        <v>276</v>
      </c>
      <c r="B19" s="81" t="n">
        <f aca="false">IF(B9="Exempt",IF(B12=0,"",B10/B12),B11)</f>
        <v>72.1153846153846</v>
      </c>
      <c r="C19" s="114"/>
      <c r="D19" s="114"/>
      <c r="E19" s="114"/>
    </row>
    <row r="20" customFormat="false" ht="15" hidden="false" customHeight="true" outlineLevel="0" collapsed="false">
      <c r="A20" s="120" t="s">
        <v>277</v>
      </c>
      <c r="B20" s="121" t="n">
        <f aca="false">IF(OR(B13="",B14=""),"",B14-B13+1)</f>
        <v>122</v>
      </c>
      <c r="C20" s="114"/>
      <c r="D20" s="114"/>
      <c r="E20" s="114"/>
    </row>
    <row r="21" customFormat="false" ht="15" hidden="false" customHeight="true" outlineLevel="0" collapsed="false">
      <c r="A21" s="120" t="s">
        <v>278</v>
      </c>
      <c r="B21" s="82" t="n">
        <f aca="false">IF(B20="","",B12*B20/365)</f>
        <v>695.232876712329</v>
      </c>
      <c r="C21" s="114"/>
      <c r="D21" s="114"/>
      <c r="E21" s="114"/>
    </row>
    <row r="22" customFormat="false" ht="15" hidden="false" customHeight="true" outlineLevel="0" collapsed="false">
      <c r="A22" s="120" t="s">
        <v>279</v>
      </c>
      <c r="B22" s="27" t="n">
        <f aca="false">IF(OR(B21="",B19=""),"",B21*B19)</f>
        <v>50136.9863013699</v>
      </c>
      <c r="C22" s="114"/>
      <c r="D22" s="114"/>
      <c r="E22" s="114"/>
    </row>
    <row r="23" customFormat="false" ht="15" hidden="false" customHeight="true" outlineLevel="0" collapsed="false">
      <c r="A23" s="120" t="s">
        <v>280</v>
      </c>
      <c r="B23" s="27" t="n">
        <f aca="false">IF(B22="","",B22*Rates!$B$6)</f>
        <v>17547.9452054795</v>
      </c>
      <c r="C23" s="114"/>
      <c r="D23" s="114"/>
      <c r="E23" s="114"/>
    </row>
    <row r="24" customFormat="false" ht="15" hidden="false" customHeight="true" outlineLevel="0" collapsed="false">
      <c r="A24" s="120" t="s">
        <v>281</v>
      </c>
      <c r="B24" s="27" t="n">
        <f aca="false">IF(B22="","",(B22+B23)*Rates!$B$7)</f>
        <v>37226.7123287671</v>
      </c>
      <c r="C24" s="114"/>
      <c r="D24" s="114"/>
      <c r="E24" s="114"/>
    </row>
    <row r="25" customFormat="false" ht="25.5" hidden="false" customHeight="true" outlineLevel="0" collapsed="false">
      <c r="A25" s="14" t="s">
        <v>282</v>
      </c>
      <c r="B25" s="122" t="n">
        <f aca="false">IF(B22="","",B22+B23+B24)</f>
        <v>104911.643835616</v>
      </c>
      <c r="C25" s="123"/>
      <c r="D25" s="123"/>
      <c r="E25" s="123"/>
    </row>
    <row r="27" customFormat="false" ht="15" hidden="false" customHeight="true" outlineLevel="0" collapsed="false">
      <c r="A27" s="112" t="s">
        <v>283</v>
      </c>
      <c r="B27" s="112"/>
      <c r="C27" s="112"/>
      <c r="D27" s="112"/>
      <c r="E27" s="112"/>
    </row>
    <row r="28" customFormat="false" ht="15" hidden="false" customHeight="true" outlineLevel="0" collapsed="false">
      <c r="A28" s="9" t="s">
        <v>284</v>
      </c>
      <c r="B28" s="9"/>
      <c r="C28" s="9"/>
      <c r="D28" s="9"/>
      <c r="E28" s="9"/>
    </row>
    <row r="30" customFormat="false" ht="23.25" hidden="false" customHeight="true" outlineLevel="0" collapsed="false">
      <c r="A30" s="19" t="s">
        <v>285</v>
      </c>
      <c r="B30" s="19" t="s">
        <v>286</v>
      </c>
      <c r="C30" s="19" t="s">
        <v>242</v>
      </c>
      <c r="D30" s="19" t="s">
        <v>287</v>
      </c>
    </row>
    <row r="31" customFormat="false" ht="15" hidden="false" customHeight="true" outlineLevel="0" collapsed="false">
      <c r="A31" s="22" t="s">
        <v>288</v>
      </c>
      <c r="B31" s="22" t="s">
        <v>289</v>
      </c>
      <c r="C31" s="25" t="n">
        <v>8000</v>
      </c>
      <c r="D31" s="27" t="n">
        <f aca="false">IF(C31="","",IF(B31="One-Time $",C31,C31*B20/365))</f>
        <v>2673.97260273973</v>
      </c>
    </row>
    <row r="32" customFormat="false" ht="15" hidden="false" customHeight="true" outlineLevel="0" collapsed="false">
      <c r="A32" s="29" t="s">
        <v>290</v>
      </c>
      <c r="B32" s="29" t="s">
        <v>289</v>
      </c>
      <c r="C32" s="32" t="n">
        <v>24000</v>
      </c>
      <c r="D32" s="34" t="n">
        <f aca="false">IF(C32="","",IF(B32="One-Time $",C32,C32*B20/365))</f>
        <v>8021.91780821918</v>
      </c>
    </row>
    <row r="33" customFormat="false" ht="15" hidden="false" customHeight="true" outlineLevel="0" collapsed="false">
      <c r="A33" s="22" t="s">
        <v>291</v>
      </c>
      <c r="B33" s="22" t="s">
        <v>292</v>
      </c>
      <c r="C33" s="25" t="n">
        <v>15000</v>
      </c>
      <c r="D33" s="27" t="n">
        <f aca="false">IF(C33="","",IF(B33="One-Time $",C33,C33*B20/365))</f>
        <v>15000</v>
      </c>
    </row>
    <row r="34" customFormat="false" ht="15" hidden="false" customHeight="true" outlineLevel="0" collapsed="false">
      <c r="A34" s="29" t="s">
        <v>293</v>
      </c>
      <c r="B34" s="29" t="s">
        <v>289</v>
      </c>
      <c r="C34" s="32"/>
      <c r="D34" s="34" t="str">
        <f aca="false">IF(C34="","",IF(B34="One-Time $",C34,C34*B20/365))</f>
        <v/>
      </c>
    </row>
    <row r="35" customFormat="false" ht="15" hidden="false" customHeight="true" outlineLevel="0" collapsed="false">
      <c r="A35" s="42" t="s">
        <v>294</v>
      </c>
      <c r="B35" s="123"/>
      <c r="C35" s="123"/>
      <c r="D35" s="43" t="n">
        <f aca="false">SUM(D31:D34)</f>
        <v>25695.8904109589</v>
      </c>
    </row>
    <row r="37" customFormat="false" ht="15" hidden="false" customHeight="true" outlineLevel="0" collapsed="false">
      <c r="A37" s="112" t="s">
        <v>295</v>
      </c>
      <c r="B37" s="112"/>
      <c r="C37" s="112"/>
      <c r="D37" s="112"/>
      <c r="E37" s="112"/>
    </row>
    <row r="38" customFormat="false" ht="15" hidden="false" customHeight="true" outlineLevel="0" collapsed="false">
      <c r="A38" s="9" t="s">
        <v>296</v>
      </c>
      <c r="B38" s="9"/>
      <c r="C38" s="9"/>
      <c r="D38" s="9"/>
      <c r="E38" s="9"/>
    </row>
    <row r="40" customFormat="false" ht="15" hidden="false" customHeight="true" outlineLevel="0" collapsed="false">
      <c r="A40" s="120" t="s">
        <v>297</v>
      </c>
      <c r="B40" s="27" t="n">
        <f aca="false">IF(B25="","",B25+D35)</f>
        <v>130607.534246575</v>
      </c>
      <c r="C40" s="114"/>
      <c r="D40" s="114"/>
      <c r="E40" s="114"/>
    </row>
    <row r="41" customFormat="false" ht="15" hidden="false" customHeight="true" outlineLevel="0" collapsed="false">
      <c r="A41" s="120" t="s">
        <v>167</v>
      </c>
      <c r="B41" s="27" t="n">
        <f aca="false">IF(B40="","",B40*Rates!$B$8)</f>
        <v>15672.904109589</v>
      </c>
      <c r="C41" s="114"/>
      <c r="D41" s="114"/>
      <c r="E41" s="114"/>
    </row>
    <row r="42" customFormat="false" ht="15" hidden="false" customHeight="true" outlineLevel="0" collapsed="false">
      <c r="A42" s="120" t="s">
        <v>298</v>
      </c>
      <c r="B42" s="27" t="n">
        <f aca="false">IF(B40="","",B40+B41)</f>
        <v>146280.438356164</v>
      </c>
      <c r="C42" s="114"/>
      <c r="D42" s="114"/>
      <c r="E42" s="114"/>
    </row>
    <row r="43" customFormat="false" ht="15" hidden="false" customHeight="true" outlineLevel="0" collapsed="false">
      <c r="A43" s="120" t="s">
        <v>169</v>
      </c>
      <c r="B43" s="27" t="n">
        <f aca="false">IF(B42="","",B42*Rates!$C$17)</f>
        <v>10239.6306849315</v>
      </c>
      <c r="C43" s="114"/>
      <c r="D43" s="114"/>
      <c r="E43" s="114"/>
    </row>
    <row r="44" customFormat="false" ht="30" hidden="false" customHeight="true" outlineLevel="0" collapsed="false">
      <c r="A44" s="124" t="s">
        <v>299</v>
      </c>
      <c r="B44" s="125" t="n">
        <f aca="false">IF(B42="","",B42+B43)</f>
        <v>156520.069041096</v>
      </c>
      <c r="C44" s="123"/>
      <c r="D44" s="123"/>
      <c r="E44" s="123"/>
    </row>
    <row r="46" customFormat="false" ht="24" hidden="false" customHeight="true" outlineLevel="0" collapsed="false">
      <c r="A46" s="126" t="str">
        <f aca="false">"For "&amp;B8&amp;" from "&amp;TEXT(B13,"mm/dd/yyyy")&amp;" to "&amp;TEXT(B14,"mm/dd/yyyy")&amp;" ("&amp;B20&amp;" days): "&amp;TEXT(B44,"$#,##0")&amp;" fully burdened, ROM estimate."</f>
        <v>For Engineer 4 from 09/01/2026 to 12/31/2026 (122 days): $156,520 fully burdened, ROM estimate.</v>
      </c>
      <c r="B46" s="126"/>
      <c r="C46" s="126"/>
      <c r="D46" s="126"/>
      <c r="E46" s="126"/>
    </row>
    <row r="47" customFormat="false" ht="15" hidden="false" customHeight="true" outlineLevel="0" collapsed="false">
      <c r="A47" s="9" t="s">
        <v>300</v>
      </c>
      <c r="B47" s="9"/>
      <c r="C47" s="9"/>
      <c r="D47" s="9"/>
      <c r="E47" s="9"/>
    </row>
    <row r="49" customFormat="false" ht="15" hidden="false" customHeight="true" outlineLevel="0" collapsed="false">
      <c r="A49" s="3" t="s">
        <v>119</v>
      </c>
    </row>
  </sheetData>
  <mergeCells count="12">
    <mergeCell ref="A3:E3"/>
    <mergeCell ref="A5:E5"/>
    <mergeCell ref="A6:E6"/>
    <mergeCell ref="C14:E14"/>
    <mergeCell ref="A16:E16"/>
    <mergeCell ref="A17:E17"/>
    <mergeCell ref="A27:E27"/>
    <mergeCell ref="A28:E28"/>
    <mergeCell ref="A37:E37"/>
    <mergeCell ref="A38:E38"/>
    <mergeCell ref="A46:E46"/>
    <mergeCell ref="A47:E47"/>
  </mergeCells>
  <dataValidations count="5">
    <dataValidation allowBlank="false" errorStyle="stop" operator="between" showDropDown="false" showErrorMessage="false" showInputMessage="false" sqref="B9" type="list">
      <formula1>"Exempt,Non-Exempt"</formula1>
      <formula2>0</formula2>
    </dataValidation>
    <dataValidation allowBlank="false" errorStyle="stop" operator="between" showDropDown="false" showErrorMessage="false" showInputMessage="false" sqref="B31" type="list">
      <formula1>"One-Time $,Annual $ (prorate)"</formula1>
      <formula2>0</formula2>
    </dataValidation>
    <dataValidation allowBlank="false" errorStyle="stop" operator="between" showDropDown="false" showErrorMessage="false" showInputMessage="false" sqref="B32" type="list">
      <formula1>"One-Time $,Annual $ (prorate)"</formula1>
      <formula2>0</formula2>
    </dataValidation>
    <dataValidation allowBlank="false" errorStyle="stop" operator="between" showDropDown="false" showErrorMessage="false" showInputMessage="false" sqref="B33" type="list">
      <formula1>"One-Time $,Annual $ (prorate)"</formula1>
      <formula2>0</formula2>
    </dataValidation>
    <dataValidation allowBlank="false" errorStyle="stop" operator="between" showDropDown="false" showErrorMessage="false" showInputMessage="false" sqref="B34" type="list">
      <formula1>"One-Time $,Annual $ (prorate)"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2026-08-12T13:39:53Z</dcterms:created>
  <dc:creator>openpyxl</dc:creator>
  <dc:description/>
  <dc:language>en-US</dc:language>
  <cp:lastModifiedBy/>
  <dcterms:modified xsi:type="dcterms:W3CDTF">2026-08-17T13:24:56Z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