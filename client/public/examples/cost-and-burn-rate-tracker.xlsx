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tes" sheetId="2" state="visible" r:id="rId2"/>
    <sheet xmlns:r="http://schemas.openxmlformats.org/officeDocument/2006/relationships" name="Projects" sheetId="3" state="visible" r:id="rId3"/>
    <sheet xmlns:r="http://schemas.openxmlformats.org/officeDocument/2006/relationships" name="Dashboard" sheetId="4" state="visible" r:id="rId4"/>
    <sheet xmlns:r="http://schemas.openxmlformats.org/officeDocument/2006/relationships" name="Personnel" sheetId="5" state="visible" r:id="rId5"/>
    <sheet xmlns:r="http://schemas.openxmlformats.org/officeDocument/2006/relationships" name="PTO Planner" sheetId="6" state="visible" r:id="rId6"/>
    <sheet xmlns:r="http://schemas.openxmlformats.org/officeDocument/2006/relationships" name="Labor" sheetId="7" state="visible" r:id="rId7"/>
    <sheet xmlns:r="http://schemas.openxmlformats.org/officeDocument/2006/relationships" name="ODCs" sheetId="8" state="visible" r:id="rId8"/>
    <sheet xmlns:r="http://schemas.openxmlformats.org/officeDocument/2006/relationships" name="Travel" sheetId="9" state="visible" r:id="rId9"/>
    <sheet xmlns:r="http://schemas.openxmlformats.org/officeDocument/2006/relationships" name="M&amp;E" sheetId="10" state="visible" r:id="rId10"/>
    <sheet xmlns:r="http://schemas.openxmlformats.org/officeDocument/2006/relationships" name="Revenue Forecast" sheetId="11" state="visible" r:id="rId11"/>
    <sheet xmlns:r="http://schemas.openxmlformats.org/officeDocument/2006/relationships" name="Burn Rate Forecast" sheetId="12" state="visible" r:id="rId12"/>
    <sheet xmlns:r="http://schemas.openxmlformats.org/officeDocument/2006/relationships" name="FundingMods" sheetId="13" state="visible" r:id="rId13"/>
    <sheet xmlns:r="http://schemas.openxmlformats.org/officeDocument/2006/relationships" name="ROM Calculator" sheetId="14" state="visible" r:id="rId14"/>
  </sheets>
  <definedNames>
    <definedName name="_xlnm._FilterDatabase" localSheetId="2" hidden="1">'Projects'!$A$4:$G$13</definedName>
    <definedName name="_xlnm._FilterDatabase" localSheetId="6" hidden="1">'Labor'!$A$4:$G$25</definedName>
    <definedName name="_xlnm._FilterDatabase" localSheetId="7" hidden="1">'ODCs'!$A$4:$F$22</definedName>
    <definedName name="_xlnm._FilterDatabase" localSheetId="8" hidden="1">'Travel'!$A$4:$F$22</definedName>
    <definedName name="_xlnm._FilterDatabase" localSheetId="9" hidden="1">'M&amp;E'!$A$4:$F$22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0.0%"/>
    <numFmt numFmtId="165" formatCode="mm/dd/yyyy"/>
    <numFmt numFmtId="166" formatCode="\$#,##0"/>
    <numFmt numFmtId="167" formatCode="mmm\-yy"/>
    <numFmt numFmtId="168" formatCode="\$#,##0;&quot;($&quot;#,##0\);\-"/>
    <numFmt numFmtId="169" formatCode="\$#,##0.00"/>
    <numFmt numFmtId="170" formatCode="0.0"/>
    <numFmt numFmtId="171" formatCode="yyyy-mm-dd h:mm:ss"/>
    <numFmt numFmtId="172" formatCode="m/d/yyyy"/>
  </numFmts>
  <fonts count="3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1696F"/>
      <sz val="13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0F172A"/>
      <sz val="15"/>
    </font>
    <font>
      <name val="Arial"/>
      <charset val="1"/>
      <family val="0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color rgb="FF085041"/>
      <sz val="12"/>
    </font>
    <font>
      <name val="Arial"/>
      <charset val="1"/>
      <family val="0"/>
      <color rgb="FF0000FF"/>
      <sz val="11"/>
    </font>
    <font>
      <name val="Arial"/>
      <charset val="1"/>
      <family val="0"/>
      <b val="1"/>
      <color rgb="FF085041"/>
      <sz val="13"/>
    </font>
    <font>
      <name val="Arial"/>
      <charset val="1"/>
      <family val="0"/>
      <b val="1"/>
      <color rgb="FF085041"/>
      <sz val="16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1"/>
    </font>
    <font>
      <name val="Arial"/>
      <charset val="1"/>
      <family val="0"/>
      <color rgb="FF008000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7A5AF8"/>
      <sz val="12"/>
    </font>
    <font>
      <name val="Arial"/>
      <charset val="1"/>
      <family val="0"/>
      <b val="1"/>
      <color rgb="FF000000"/>
      <sz val="11"/>
    </font>
    <font>
      <name val="Arial"/>
      <charset val="1"/>
      <family val="0"/>
      <b val="1"/>
      <color rgb="FF085041"/>
      <sz val="14"/>
    </font>
    <font>
      <name val="Arial"/>
      <charset val="1"/>
      <family val="0"/>
      <b val="1"/>
      <color rgb="FF085041"/>
      <sz val="18"/>
    </font>
    <font>
      <name val="Arial"/>
      <charset val="1"/>
      <family val="0"/>
      <b val="1"/>
      <i val="1"/>
      <color rgb="FF0F172A"/>
      <sz val="11"/>
    </font>
    <font>
      <name val="Arial"/>
      <b val="1"/>
      <color rgb="FF0F172A"/>
      <sz val="15"/>
    </font>
    <font>
      <name val="Arial"/>
      <color rgb="FF595959"/>
      <sz val="9"/>
    </font>
    <font>
      <name val="Arial"/>
      <b val="1"/>
      <color rgb="FF085041"/>
      <sz val="12"/>
    </font>
    <font>
      <name val="Arial"/>
      <b val="1"/>
      <sz val="10"/>
    </font>
    <font>
      <name val="Arial"/>
      <color rgb="FF0000FF"/>
      <sz val="11"/>
    </font>
    <font>
      <name val="Arial"/>
      <b val="1"/>
      <color rgb="FFFFFFFF"/>
      <sz val="10"/>
    </font>
    <font>
      <name val="Arial"/>
      <color rgb="FF000000"/>
      <sz val="11"/>
    </font>
    <font>
      <name val="Arial"/>
      <b val="1"/>
      <color rgb="FF085041"/>
      <sz val="11"/>
    </font>
    <font>
      <name val="Arial"/>
      <color rgb="FF008000"/>
      <sz val="11"/>
    </font>
    <font>
      <name val="Arial"/>
      <b val="1"/>
      <color rgb="FF0F172A"/>
      <sz val="13"/>
    </font>
    <font>
      <name val="Arial"/>
      <b val="1"/>
      <color rgb="FF085041"/>
      <sz val="10"/>
    </font>
  </fonts>
  <fills count="2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1F5EE"/>
        <bgColor rgb="FFE6F1FB"/>
      </patternFill>
    </fill>
    <fill>
      <patternFill patternType="solid">
        <fgColor rgb="FF0F6E56"/>
        <bgColor rgb="FF01696F"/>
      </patternFill>
    </fill>
    <fill>
      <patternFill patternType="solid">
        <fgColor rgb="FF085041"/>
        <bgColor rgb="FF0F6E56"/>
      </patternFill>
    </fill>
    <fill>
      <patternFill patternType="solid">
        <fgColor rgb="FFF2F2F2"/>
        <bgColor rgb="FFF1EFE8"/>
      </patternFill>
    </fill>
    <fill>
      <patternFill patternType="solid">
        <fgColor rgb="FFE6F1FB"/>
        <bgColor rgb="FFEEEDFE"/>
      </patternFill>
    </fill>
    <fill>
      <patternFill patternType="solid">
        <fgColor rgb="FFFAEEDA"/>
        <bgColor rgb="FFF1EFE8"/>
      </patternFill>
    </fill>
    <fill>
      <patternFill patternType="solid">
        <fgColor rgb="FFEEEDFE"/>
        <bgColor rgb="FFE6F1FB"/>
      </patternFill>
    </fill>
    <fill>
      <patternFill patternType="solid">
        <fgColor rgb="FFF1EFE8"/>
        <bgColor rgb="FFF2F2F2"/>
      </patternFill>
    </fill>
    <fill>
      <patternFill patternType="solid">
        <fgColor rgb="FFFFFF00"/>
      </patternFill>
    </fill>
    <fill>
      <patternFill patternType="solid">
        <fgColor rgb="FF085041"/>
      </patternFill>
    </fill>
    <fill>
      <patternFill patternType="solid">
        <fgColor rgb="FFF1EFE8"/>
      </patternFill>
    </fill>
    <fill>
      <patternFill patternType="solid">
        <fgColor rgb="FF0F6E56"/>
      </patternFill>
    </fill>
    <fill>
      <patternFill patternType="solid">
        <fgColor rgb="FFE6F1FB"/>
      </patternFill>
    </fill>
    <fill>
      <patternFill patternType="solid">
        <fgColor rgb="FFE1F5EE"/>
      </patternFill>
    </fill>
    <fill>
      <patternFill patternType="solid">
        <fgColor rgb="FFFAEEDA"/>
      </patternFill>
    </fill>
    <fill>
      <patternFill patternType="solid">
        <fgColor rgb="FFEEEDFE"/>
      </patternFill>
    </fill>
    <fill>
      <patternFill patternType="solid">
        <fgColor rgb="FFF2F2F2"/>
      </patternFill>
    </fill>
  </fills>
  <borders count="1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F172A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medium">
        <color rgb="FF0F172A"/>
      </right>
      <top/>
      <bottom/>
      <diagonal/>
    </border>
    <border>
      <left style="thin">
        <color rgb="FFBFBFBF"/>
      </left>
      <right style="medium">
        <color rgb="FF0F172A"/>
      </right>
      <top/>
      <bottom style="thin">
        <color rgb="FFBFBFBF"/>
      </bottom>
      <diagonal/>
    </border>
    <border>
      <left/>
      <right style="medium">
        <color rgb="FF0F172A"/>
      </right>
      <top style="thin">
        <color rgb="FFBFBFBF"/>
      </top>
      <bottom/>
      <diagonal/>
    </border>
    <border>
      <left/>
      <right style="medium">
        <color rgb="FF0F172A"/>
      </right>
      <top style="thin">
        <color rgb="FFBFBFBF"/>
      </top>
      <bottom style="thin">
        <color rgb="FFBFBFBF"/>
      </bottom>
      <diagonal/>
    </border>
    <border>
      <left style="thin"/>
      <right style="thin"/>
      <top style="thin"/>
      <bottom style="thin"/>
    </border>
    <border>
      <left style="thin"/>
      <right style="medium"/>
      <top style="thin"/>
      <bottom style="thin"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10" fillId="2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center" wrapText="1"/>
    </xf>
    <xf numFmtId="0" fontId="10" fillId="2" borderId="1" applyAlignment="1" pivotButton="0" quotePrefix="0" xfId="0">
      <alignment horizontal="center" vertical="bottom"/>
    </xf>
    <xf numFmtId="0" fontId="11" fillId="3" borderId="1" applyAlignment="1" pivotButton="0" quotePrefix="0" xfId="0">
      <alignment horizontal="general" vertical="bottom"/>
    </xf>
    <xf numFmtId="164" fontId="12" fillId="3" borderId="1" applyAlignment="1" pivotButton="0" quotePrefix="0" xfId="0">
      <alignment horizontal="center" vertical="bottom"/>
    </xf>
    <xf numFmtId="0" fontId="5" fillId="3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center" wrapText="1"/>
    </xf>
    <xf numFmtId="0" fontId="13" fillId="4" borderId="1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165" fontId="10" fillId="0" borderId="1" applyAlignment="1" pivotButton="0" quotePrefix="0" xfId="0">
      <alignment horizontal="general" vertical="bottom"/>
    </xf>
    <xf numFmtId="0" fontId="10" fillId="0" borderId="2" applyAlignment="1" pivotButton="0" quotePrefix="0" xfId="0">
      <alignment horizontal="general" vertical="bottom"/>
    </xf>
    <xf numFmtId="166" fontId="10" fillId="0" borderId="1" applyAlignment="1" pivotButton="0" quotePrefix="0" xfId="0">
      <alignment horizontal="general" vertical="bottom"/>
    </xf>
    <xf numFmtId="166" fontId="8" fillId="0" borderId="2" applyAlignment="1" pivotButton="0" quotePrefix="0" xfId="0">
      <alignment horizontal="general" vertical="bottom"/>
    </xf>
    <xf numFmtId="166" fontId="14" fillId="0" borderId="1" applyAlignment="1" pivotButton="0" quotePrefix="0" xfId="0">
      <alignment horizontal="general" vertical="bottom"/>
    </xf>
    <xf numFmtId="166" fontId="8" fillId="0" borderId="1" applyAlignment="1" pivotButton="0" quotePrefix="0" xfId="0">
      <alignment horizontal="general" vertical="bottom"/>
    </xf>
    <xf numFmtId="0" fontId="10" fillId="6" borderId="1" applyAlignment="1" pivotButton="0" quotePrefix="0" xfId="0">
      <alignment horizontal="general" vertical="bottom"/>
    </xf>
    <xf numFmtId="165" fontId="10" fillId="6" borderId="1" applyAlignment="1" pivotButton="0" quotePrefix="0" xfId="0">
      <alignment horizontal="general" vertical="bottom"/>
    </xf>
    <xf numFmtId="0" fontId="10" fillId="6" borderId="2" applyAlignment="1" pivotButton="0" quotePrefix="0" xfId="0">
      <alignment horizontal="general" vertical="bottom"/>
    </xf>
    <xf numFmtId="166" fontId="10" fillId="6" borderId="1" applyAlignment="1" pivotButton="0" quotePrefix="0" xfId="0">
      <alignment horizontal="general" vertical="bottom"/>
    </xf>
    <xf numFmtId="166" fontId="8" fillId="6" borderId="2" applyAlignment="1" pivotButton="0" quotePrefix="0" xfId="0">
      <alignment horizontal="general" vertical="bottom"/>
    </xf>
    <xf numFmtId="166" fontId="14" fillId="6" borderId="1" applyAlignment="1" pivotButton="0" quotePrefix="0" xfId="0">
      <alignment horizontal="general" vertical="bottom"/>
    </xf>
    <xf numFmtId="166" fontId="8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6" fontId="15" fillId="0" borderId="1" applyAlignment="1" pivotButton="0" quotePrefix="0" xfId="0">
      <alignment horizontal="general" vertical="bottom"/>
    </xf>
    <xf numFmtId="164" fontId="14" fillId="0" borderId="1" applyAlignment="1" pivotButton="0" quotePrefix="0" xfId="0">
      <alignment horizontal="general" vertical="bottom"/>
    </xf>
    <xf numFmtId="0" fontId="8" fillId="6" borderId="1" applyAlignment="1" pivotButton="0" quotePrefix="0" xfId="0">
      <alignment horizontal="general" vertical="bottom"/>
    </xf>
    <xf numFmtId="166" fontId="15" fillId="6" borderId="1" applyAlignment="1" pivotButton="0" quotePrefix="0" xfId="0">
      <alignment horizontal="general" vertical="bottom"/>
    </xf>
    <xf numFmtId="164" fontId="14" fillId="6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166" fontId="8" fillId="3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general" vertical="bottom"/>
    </xf>
    <xf numFmtId="165" fontId="10" fillId="2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15" fillId="0" borderId="0" applyAlignment="1" pivotButton="0" quotePrefix="0" xfId="0">
      <alignment horizontal="general" vertical="bottom"/>
    </xf>
    <xf numFmtId="166" fontId="14" fillId="0" borderId="0" applyAlignment="1" pivotButton="0" quotePrefix="0" xfId="0">
      <alignment horizontal="general" vertical="bottom"/>
    </xf>
    <xf numFmtId="164" fontId="14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0" fontId="14" fillId="0" borderId="1" applyAlignment="1" pivotButton="0" quotePrefix="0" xfId="0">
      <alignment horizontal="general" vertical="bottom"/>
    </xf>
    <xf numFmtId="167" fontId="14" fillId="0" borderId="1" applyAlignment="1" pivotButton="0" quotePrefix="0" xfId="0">
      <alignment horizontal="general" vertical="bottom"/>
    </xf>
    <xf numFmtId="168" fontId="14" fillId="0" borderId="1" applyAlignment="1" pivotButton="0" quotePrefix="0" xfId="0">
      <alignment horizontal="general" vertical="bottom"/>
    </xf>
    <xf numFmtId="0" fontId="14" fillId="6" borderId="1" applyAlignment="1" pivotButton="0" quotePrefix="0" xfId="0">
      <alignment horizontal="general" vertical="bottom"/>
    </xf>
    <xf numFmtId="167" fontId="14" fillId="6" borderId="1" applyAlignment="1" pivotButton="0" quotePrefix="0" xfId="0">
      <alignment horizontal="general" vertical="bottom"/>
    </xf>
    <xf numFmtId="168" fontId="14" fillId="6" borderId="1" applyAlignment="1" pivotButton="0" quotePrefix="0" xfId="0">
      <alignment horizontal="general" vertical="bottom"/>
    </xf>
    <xf numFmtId="169" fontId="10" fillId="0" borderId="1" applyAlignment="1" pivotButton="0" quotePrefix="0" xfId="0">
      <alignment horizontal="general" vertical="bottom"/>
    </xf>
    <xf numFmtId="169" fontId="14" fillId="0" borderId="1" applyAlignment="1" pivotButton="0" quotePrefix="0" xfId="0">
      <alignment horizontal="general" vertical="bottom"/>
    </xf>
    <xf numFmtId="170" fontId="14" fillId="0" borderId="1" applyAlignment="1" pivotButton="0" quotePrefix="0" xfId="0">
      <alignment horizontal="general" vertical="bottom"/>
    </xf>
    <xf numFmtId="170" fontId="10" fillId="0" borderId="1" applyAlignment="1" pivotButton="0" quotePrefix="0" xfId="0">
      <alignment horizontal="general" vertical="bottom"/>
    </xf>
    <xf numFmtId="169" fontId="10" fillId="6" borderId="1" applyAlignment="1" pivotButton="0" quotePrefix="0" xfId="0">
      <alignment horizontal="general" vertical="bottom"/>
    </xf>
    <xf numFmtId="169" fontId="14" fillId="6" borderId="1" applyAlignment="1" pivotButton="0" quotePrefix="0" xfId="0">
      <alignment horizontal="general" vertical="bottom"/>
    </xf>
    <xf numFmtId="170" fontId="14" fillId="6" borderId="1" applyAlignment="1" pivotButton="0" quotePrefix="0" xfId="0">
      <alignment horizontal="general" vertical="bottom"/>
    </xf>
    <xf numFmtId="170" fontId="10" fillId="6" borderId="1" applyAlignment="1" pivotButton="0" quotePrefix="0" xfId="0">
      <alignment horizontal="general" vertical="bottom"/>
    </xf>
    <xf numFmtId="0" fontId="13" fillId="5" borderId="2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bottom"/>
    </xf>
    <xf numFmtId="169" fontId="15" fillId="0" borderId="1" applyAlignment="1" pivotButton="0" quotePrefix="0" xfId="0">
      <alignment horizontal="general" vertical="bottom"/>
    </xf>
    <xf numFmtId="0" fontId="15" fillId="0" borderId="2" applyAlignment="1" pivotButton="0" quotePrefix="0" xfId="0">
      <alignment horizontal="general" vertical="bottom"/>
    </xf>
    <xf numFmtId="170" fontId="15" fillId="7" borderId="1" applyAlignment="1" pivotButton="0" quotePrefix="0" xfId="0">
      <alignment horizontal="general" vertical="bottom"/>
    </xf>
    <xf numFmtId="170" fontId="10" fillId="7" borderId="1" applyAlignment="1" pivotButton="0" quotePrefix="0" xfId="0">
      <alignment horizontal="general" vertical="bottom"/>
    </xf>
    <xf numFmtId="166" fontId="14" fillId="7" borderId="2" applyAlignment="1" pivotButton="0" quotePrefix="0" xfId="0">
      <alignment horizontal="general" vertical="bottom"/>
    </xf>
    <xf numFmtId="170" fontId="15" fillId="3" borderId="1" applyAlignment="1" pivotButton="0" quotePrefix="0" xfId="0">
      <alignment horizontal="general" vertical="bottom"/>
    </xf>
    <xf numFmtId="170" fontId="10" fillId="3" borderId="1" applyAlignment="1" pivotButton="0" quotePrefix="0" xfId="0">
      <alignment horizontal="general" vertical="bottom"/>
    </xf>
    <xf numFmtId="166" fontId="14" fillId="3" borderId="2" applyAlignment="1" pivotButton="0" quotePrefix="0" xfId="0">
      <alignment horizontal="general" vertical="bottom"/>
    </xf>
    <xf numFmtId="170" fontId="15" fillId="8" borderId="1" applyAlignment="1" pivotButton="0" quotePrefix="0" xfId="0">
      <alignment horizontal="general" vertical="bottom"/>
    </xf>
    <xf numFmtId="170" fontId="10" fillId="8" borderId="1" applyAlignment="1" pivotButton="0" quotePrefix="0" xfId="0">
      <alignment horizontal="general" vertical="bottom"/>
    </xf>
    <xf numFmtId="166" fontId="14" fillId="8" borderId="2" applyAlignment="1" pivotButton="0" quotePrefix="0" xfId="0">
      <alignment horizontal="general" vertical="bottom"/>
    </xf>
    <xf numFmtId="170" fontId="15" fillId="9" borderId="1" applyAlignment="1" pivotButton="0" quotePrefix="0" xfId="0">
      <alignment horizontal="general" vertical="bottom"/>
    </xf>
    <xf numFmtId="170" fontId="10" fillId="9" borderId="1" applyAlignment="1" pivotButton="0" quotePrefix="0" xfId="0">
      <alignment horizontal="general" vertical="bottom"/>
    </xf>
    <xf numFmtId="166" fontId="14" fillId="9" borderId="2" applyAlignment="1" pivotButton="0" quotePrefix="0" xfId="0">
      <alignment horizontal="general" vertical="bottom"/>
    </xf>
    <xf numFmtId="170" fontId="14" fillId="10" borderId="1" applyAlignment="1" pivotButton="0" quotePrefix="0" xfId="0">
      <alignment horizontal="general" vertical="bottom"/>
    </xf>
    <xf numFmtId="166" fontId="14" fillId="10" borderId="1" applyAlignment="1" pivotButton="0" quotePrefix="0" xfId="0">
      <alignment horizontal="general" vertical="bottom"/>
    </xf>
    <xf numFmtId="0" fontId="15" fillId="6" borderId="1" applyAlignment="1" pivotButton="0" quotePrefix="0" xfId="0">
      <alignment horizontal="general" vertical="bottom"/>
    </xf>
    <xf numFmtId="169" fontId="15" fillId="6" borderId="1" applyAlignment="1" pivotButton="0" quotePrefix="0" xfId="0">
      <alignment horizontal="general" vertical="bottom"/>
    </xf>
    <xf numFmtId="0" fontId="15" fillId="6" borderId="2" applyAlignment="1" pivotButton="0" quotePrefix="0" xfId="0">
      <alignment horizontal="general" vertical="bottom"/>
    </xf>
    <xf numFmtId="166" fontId="15" fillId="3" borderId="1" applyAlignment="1" pivotButton="0" quotePrefix="0" xfId="0">
      <alignment horizontal="general" vertical="bottom"/>
    </xf>
    <xf numFmtId="166" fontId="14" fillId="3" borderId="1" applyAlignment="1" pivotButton="0" quotePrefix="0" xfId="0">
      <alignment horizontal="general" vertical="bottom"/>
    </xf>
    <xf numFmtId="0" fontId="13" fillId="4" borderId="1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2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6" fontId="10" fillId="2" borderId="1" applyAlignment="1" pivotButton="0" quotePrefix="0" xfId="0">
      <alignment horizontal="general" vertical="bottom"/>
    </xf>
    <xf numFmtId="169" fontId="10" fillId="2" borderId="1" applyAlignment="1" pivotButton="0" quotePrefix="0" xfId="0">
      <alignment horizontal="general" vertical="bottom"/>
    </xf>
    <xf numFmtId="165" fontId="10" fillId="2" borderId="1" applyAlignment="1" pivotButton="0" quotePrefix="0" xfId="0">
      <alignment horizontal="general" vertical="bottom"/>
    </xf>
    <xf numFmtId="165" fontId="15" fillId="2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bottom"/>
    </xf>
    <xf numFmtId="1" fontId="14" fillId="0" borderId="1" applyAlignment="1" pivotButton="0" quotePrefix="0" xfId="0">
      <alignment horizontal="general" vertical="bottom"/>
    </xf>
    <xf numFmtId="166" fontId="12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19" fillId="3" borderId="1" applyAlignment="1" pivotButton="0" quotePrefix="0" xfId="0">
      <alignment horizontal="general" vertical="bottom"/>
    </xf>
    <xf numFmtId="166" fontId="20" fillId="3" borderId="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vertical="top" wrapText="1"/>
    </xf>
    <xf numFmtId="0" fontId="24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23" fillId="0" borderId="0" pivotButton="0" quotePrefix="0" xfId="0"/>
    <xf numFmtId="0" fontId="8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2" fillId="0" borderId="0" pivotButton="0" quotePrefix="0" xfId="0"/>
    <xf numFmtId="0" fontId="23" fillId="0" borderId="0" applyAlignment="1" pivotButton="0" quotePrefix="0" xfId="0">
      <alignment horizontal="right" vertical="center"/>
    </xf>
    <xf numFmtId="0" fontId="24" fillId="0" borderId="0" pivotButton="0" quotePrefix="0" xfId="0"/>
    <xf numFmtId="0" fontId="25" fillId="0" borderId="0" pivotButton="0" quotePrefix="0" xfId="0"/>
    <xf numFmtId="9" fontId="26" fillId="11" borderId="14" pivotButton="0" quotePrefix="0" xfId="0"/>
    <xf numFmtId="0" fontId="27" fillId="12" borderId="14" applyAlignment="1" pivotButton="0" quotePrefix="0" xfId="0">
      <alignment horizontal="center" vertical="center" wrapText="1"/>
    </xf>
    <xf numFmtId="0" fontId="25" fillId="0" borderId="14" pivotButton="0" quotePrefix="0" xfId="0"/>
    <xf numFmtId="0" fontId="26" fillId="0" borderId="14" pivotButton="0" quotePrefix="0" xfId="0"/>
    <xf numFmtId="9" fontId="28" fillId="0" borderId="14" pivotButton="0" quotePrefix="0" xfId="0"/>
    <xf numFmtId="0" fontId="0" fillId="0" borderId="0" applyAlignment="1" pivotButton="0" quotePrefix="0" xfId="0">
      <alignment wrapText="1"/>
    </xf>
    <xf numFmtId="166" fontId="26" fillId="0" borderId="14" pivotButton="0" quotePrefix="0" xfId="0"/>
    <xf numFmtId="166" fontId="28" fillId="0" borderId="14" pivotButton="0" quotePrefix="0" xfId="0"/>
    <xf numFmtId="0" fontId="0" fillId="13" borderId="0" pivotButton="0" quotePrefix="0" xfId="0"/>
    <xf numFmtId="0" fontId="25" fillId="13" borderId="0" pivotButton="0" quotePrefix="0" xfId="0"/>
    <xf numFmtId="166" fontId="25" fillId="13" borderId="14" pivotButton="0" quotePrefix="0" xfId="0"/>
    <xf numFmtId="0" fontId="29" fillId="0" borderId="0" pivotButton="0" quotePrefix="0" xfId="0"/>
    <xf numFmtId="0" fontId="27" fillId="14" borderId="14" applyAlignment="1" pivotButton="0" quotePrefix="0" xfId="0">
      <alignment horizontal="center" vertical="center" wrapText="1"/>
    </xf>
    <xf numFmtId="0" fontId="28" fillId="0" borderId="14" pivotButton="0" quotePrefix="0" xfId="0"/>
    <xf numFmtId="0" fontId="25" fillId="13" borderId="14" pivotButton="0" quotePrefix="0" xfId="0"/>
    <xf numFmtId="9" fontId="25" fillId="13" borderId="14" pivotButton="0" quotePrefix="0" xfId="0"/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general" vertical="bottom"/>
    </xf>
    <xf numFmtId="165" fontId="10" fillId="2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15" fillId="0" borderId="0" applyAlignment="1" pivotButton="0" quotePrefix="0" xfId="0">
      <alignment horizontal="general" vertical="bottom"/>
    </xf>
    <xf numFmtId="166" fontId="1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14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0" fontId="13" fillId="4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general" vertical="bottom"/>
    </xf>
    <xf numFmtId="167" fontId="14" fillId="0" borderId="1" applyAlignment="1" pivotButton="0" quotePrefix="0" xfId="0">
      <alignment horizontal="general" vertical="bottom"/>
    </xf>
    <xf numFmtId="166" fontId="14" fillId="0" borderId="1" applyAlignment="1" pivotButton="0" quotePrefix="0" xfId="0">
      <alignment horizontal="general" vertical="bottom"/>
    </xf>
    <xf numFmtId="166" fontId="15" fillId="0" borderId="1" applyAlignment="1" pivotButton="0" quotePrefix="0" xfId="0">
      <alignment horizontal="general" vertical="bottom"/>
    </xf>
    <xf numFmtId="168" fontId="14" fillId="0" borderId="1" applyAlignment="1" pivotButton="0" quotePrefix="0" xfId="0">
      <alignment horizontal="general" vertical="bottom"/>
    </xf>
    <xf numFmtId="164" fontId="14" fillId="0" borderId="1" applyAlignment="1" pivotButton="0" quotePrefix="0" xfId="0">
      <alignment horizontal="general" vertical="bottom"/>
    </xf>
    <xf numFmtId="0" fontId="14" fillId="6" borderId="1" applyAlignment="1" pivotButton="0" quotePrefix="0" xfId="0">
      <alignment horizontal="general" vertical="bottom"/>
    </xf>
    <xf numFmtId="167" fontId="14" fillId="6" borderId="1" applyAlignment="1" pivotButton="0" quotePrefix="0" xfId="0">
      <alignment horizontal="general" vertical="bottom"/>
    </xf>
    <xf numFmtId="166" fontId="14" fillId="6" borderId="1" applyAlignment="1" pivotButton="0" quotePrefix="0" xfId="0">
      <alignment horizontal="general" vertical="bottom"/>
    </xf>
    <xf numFmtId="166" fontId="15" fillId="6" borderId="1" applyAlignment="1" pivotButton="0" quotePrefix="0" xfId="0">
      <alignment horizontal="general" vertical="bottom"/>
    </xf>
    <xf numFmtId="168" fontId="14" fillId="6" borderId="1" applyAlignment="1" pivotButton="0" quotePrefix="0" xfId="0">
      <alignment horizontal="general" vertical="bottom"/>
    </xf>
    <xf numFmtId="164" fontId="14" fillId="6" borderId="1" applyAlignment="1" pivotButton="0" quotePrefix="0" xfId="0">
      <alignment horizontal="general" vertical="bottom"/>
    </xf>
    <xf numFmtId="0" fontId="5" fillId="0" borderId="0" applyAlignment="1" pivotButton="0" quotePrefix="0" xfId="0">
      <alignment vertical="top" wrapText="1"/>
    </xf>
    <xf numFmtId="0" fontId="10" fillId="0" borderId="1" applyAlignment="1" pivotButton="0" quotePrefix="0" xfId="0">
      <alignment horizontal="general" vertical="bottom"/>
    </xf>
    <xf numFmtId="166" fontId="10" fillId="0" borderId="1" applyAlignment="1" pivotButton="0" quotePrefix="0" xfId="0">
      <alignment horizontal="general" vertical="bottom"/>
    </xf>
    <xf numFmtId="169" fontId="10" fillId="0" borderId="1" applyAlignment="1" pivotButton="0" quotePrefix="0" xfId="0">
      <alignment horizontal="general" vertical="bottom"/>
    </xf>
    <xf numFmtId="169" fontId="14" fillId="0" borderId="1" applyAlignment="1" pivotButton="0" quotePrefix="0" xfId="0">
      <alignment horizontal="general" vertical="bottom"/>
    </xf>
    <xf numFmtId="165" fontId="10" fillId="0" borderId="1" applyAlignment="1" pivotButton="0" quotePrefix="0" xfId="0">
      <alignment horizontal="general" vertical="bottom"/>
    </xf>
    <xf numFmtId="170" fontId="14" fillId="0" borderId="1" applyAlignment="1" pivotButton="0" quotePrefix="0" xfId="0">
      <alignment horizontal="general" vertical="bottom"/>
    </xf>
    <xf numFmtId="170" fontId="10" fillId="0" borderId="1" applyAlignment="1" pivotButton="0" quotePrefix="0" xfId="0">
      <alignment horizontal="general" vertical="bottom"/>
    </xf>
    <xf numFmtId="0" fontId="10" fillId="6" borderId="1" applyAlignment="1" pivotButton="0" quotePrefix="0" xfId="0">
      <alignment horizontal="general" vertical="bottom"/>
    </xf>
    <xf numFmtId="166" fontId="10" fillId="6" borderId="1" applyAlignment="1" pivotButton="0" quotePrefix="0" xfId="0">
      <alignment horizontal="general" vertical="bottom"/>
    </xf>
    <xf numFmtId="169" fontId="10" fillId="6" borderId="1" applyAlignment="1" pivotButton="0" quotePrefix="0" xfId="0">
      <alignment horizontal="general" vertical="bottom"/>
    </xf>
    <xf numFmtId="169" fontId="14" fillId="6" borderId="1" applyAlignment="1" pivotButton="0" quotePrefix="0" xfId="0">
      <alignment horizontal="general" vertical="bottom"/>
    </xf>
    <xf numFmtId="165" fontId="10" fillId="6" borderId="1" applyAlignment="1" pivotButton="0" quotePrefix="0" xfId="0">
      <alignment horizontal="general" vertical="bottom"/>
    </xf>
    <xf numFmtId="170" fontId="14" fillId="6" borderId="1" applyAlignment="1" pivotButton="0" quotePrefix="0" xfId="0">
      <alignment horizontal="general" vertical="bottom"/>
    </xf>
    <xf numFmtId="170" fontId="10" fillId="6" borderId="1" applyAlignment="1" pivotButton="0" quotePrefix="0" xfId="0">
      <alignment horizontal="general" vertical="bottom"/>
    </xf>
    <xf numFmtId="0" fontId="27" fillId="12" borderId="14" applyAlignment="1" pivotButton="0" quotePrefix="0" xfId="0">
      <alignment horizontal="center" vertical="center"/>
    </xf>
    <xf numFmtId="0" fontId="0" fillId="0" borderId="15" pivotButton="0" quotePrefix="0" xfId="0"/>
    <xf numFmtId="0" fontId="0" fillId="12" borderId="14" pivotButton="0" quotePrefix="0" xfId="0"/>
    <xf numFmtId="0" fontId="27" fillId="14" borderId="15" applyAlignment="1" pivotButton="0" quotePrefix="0" xfId="0">
      <alignment horizontal="center" vertical="center" wrapText="1"/>
    </xf>
    <xf numFmtId="0" fontId="30" fillId="0" borderId="14" pivotButton="0" quotePrefix="0" xfId="0"/>
    <xf numFmtId="170" fontId="26" fillId="0" borderId="14" pivotButton="0" quotePrefix="0" xfId="0"/>
    <xf numFmtId="170" fontId="26" fillId="0" borderId="15" pivotButton="0" quotePrefix="0" xfId="0"/>
    <xf numFmtId="170" fontId="28" fillId="13" borderId="14" pivotButton="0" quotePrefix="0" xfId="0"/>
    <xf numFmtId="0" fontId="0" fillId="0" borderId="14" pivotButton="0" quotePrefix="0" xfId="0"/>
    <xf numFmtId="170" fontId="28" fillId="15" borderId="14" pivotButton="0" quotePrefix="0" xfId="0"/>
    <xf numFmtId="170" fontId="26" fillId="15" borderId="14" pivotButton="0" quotePrefix="0" xfId="0"/>
    <xf numFmtId="166" fontId="28" fillId="15" borderId="15" pivotButton="0" quotePrefix="0" xfId="0"/>
    <xf numFmtId="170" fontId="28" fillId="16" borderId="14" pivotButton="0" quotePrefix="0" xfId="0"/>
    <xf numFmtId="170" fontId="26" fillId="16" borderId="14" pivotButton="0" quotePrefix="0" xfId="0"/>
    <xf numFmtId="166" fontId="28" fillId="16" borderId="15" pivotButton="0" quotePrefix="0" xfId="0"/>
    <xf numFmtId="170" fontId="28" fillId="17" borderId="14" pivotButton="0" quotePrefix="0" xfId="0"/>
    <xf numFmtId="170" fontId="26" fillId="17" borderId="14" pivotButton="0" quotePrefix="0" xfId="0"/>
    <xf numFmtId="166" fontId="28" fillId="17" borderId="15" pivotButton="0" quotePrefix="0" xfId="0"/>
    <xf numFmtId="170" fontId="28" fillId="18" borderId="14" pivotButton="0" quotePrefix="0" xfId="0"/>
    <xf numFmtId="170" fontId="26" fillId="18" borderId="14" pivotButton="0" quotePrefix="0" xfId="0"/>
    <xf numFmtId="166" fontId="28" fillId="18" borderId="15" pivotButton="0" quotePrefix="0" xfId="0"/>
    <xf numFmtId="166" fontId="28" fillId="13" borderId="14" pivotButton="0" quotePrefix="0" xfId="0"/>
    <xf numFmtId="17" fontId="28" fillId="0" borderId="14" pivotButton="0" quotePrefix="0" xfId="0"/>
    <xf numFmtId="172" fontId="26" fillId="0" borderId="14" pivotButton="0" quotePrefix="0" xfId="0"/>
    <xf numFmtId="166" fontId="25" fillId="13" borderId="0" pivotButton="0" quotePrefix="0" xfId="0"/>
    <xf numFmtId="166" fontId="23" fillId="0" borderId="14" pivotButton="0" quotePrefix="0" xfId="0"/>
    <xf numFmtId="9" fontId="23" fillId="0" borderId="14" pivotButton="0" quotePrefix="0" xfId="0"/>
    <xf numFmtId="9" fontId="0" fillId="0" borderId="14" pivotButton="0" quotePrefix="0" xfId="0"/>
    <xf numFmtId="166" fontId="0" fillId="0" borderId="14" pivotButton="0" quotePrefix="0" xfId="0"/>
    <xf numFmtId="9" fontId="0" fillId="0" borderId="0" pivotButton="0" quotePrefix="0" xfId="0"/>
    <xf numFmtId="9" fontId="28" fillId="19" borderId="14" pivotButton="0" quotePrefix="0" xfId="0"/>
    <xf numFmtId="0" fontId="13" fillId="4" borderId="2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general" vertical="bottom"/>
    </xf>
    <xf numFmtId="166" fontId="8" fillId="0" borderId="2" applyAlignment="1" pivotButton="0" quotePrefix="0" xfId="0">
      <alignment horizontal="general" vertical="bottom"/>
    </xf>
    <xf numFmtId="166" fontId="8" fillId="0" borderId="1" applyAlignment="1" pivotButton="0" quotePrefix="0" xfId="0">
      <alignment horizontal="general" vertical="bottom"/>
    </xf>
    <xf numFmtId="0" fontId="10" fillId="6" borderId="2" applyAlignment="1" pivotButton="0" quotePrefix="0" xfId="0">
      <alignment horizontal="general" vertical="bottom"/>
    </xf>
    <xf numFmtId="166" fontId="8" fillId="6" borderId="2" applyAlignment="1" pivotButton="0" quotePrefix="0" xfId="0">
      <alignment horizontal="general" vertical="bottom"/>
    </xf>
    <xf numFmtId="166" fontId="8" fillId="6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8" fillId="6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166" fontId="8" fillId="3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0" fontId="10" fillId="2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6" fontId="10" fillId="2" borderId="1" applyAlignment="1" pivotButton="0" quotePrefix="0" xfId="0">
      <alignment horizontal="general" vertical="bottom"/>
    </xf>
    <xf numFmtId="169" fontId="10" fillId="2" borderId="1" applyAlignment="1" pivotButton="0" quotePrefix="0" xfId="0">
      <alignment horizontal="general" vertical="bottom"/>
    </xf>
    <xf numFmtId="165" fontId="10" fillId="2" borderId="1" applyAlignment="1" pivotButton="0" quotePrefix="0" xfId="0">
      <alignment horizontal="general" vertical="bottom"/>
    </xf>
    <xf numFmtId="165" fontId="15" fillId="2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0" fillId="0" borderId="5" pivotButton="0" quotePrefix="0" xfId="0"/>
    <xf numFmtId="0" fontId="0" fillId="0" borderId="6" pivotButton="0" quotePrefix="0" xfId="0"/>
    <xf numFmtId="0" fontId="18" fillId="0" borderId="1" applyAlignment="1" pivotButton="0" quotePrefix="0" xfId="0">
      <alignment horizontal="general" vertical="bottom"/>
    </xf>
    <xf numFmtId="1" fontId="14" fillId="0" borderId="1" applyAlignment="1" pivotButton="0" quotePrefix="0" xfId="0">
      <alignment horizontal="general" vertical="bottom"/>
    </xf>
    <xf numFmtId="0" fontId="11" fillId="3" borderId="1" applyAlignment="1" pivotButton="0" quotePrefix="0" xfId="0">
      <alignment horizontal="general" vertical="bottom"/>
    </xf>
    <xf numFmtId="166" fontId="12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19" fillId="3" borderId="1" applyAlignment="1" pivotButton="0" quotePrefix="0" xfId="0">
      <alignment horizontal="general" vertical="bottom"/>
    </xf>
    <xf numFmtId="166" fontId="20" fillId="3" borderId="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>
          <bgColor rgb="FFD85A30"/>
        </patternFill>
      </fill>
    </dxf>
    <dxf>
      <fill>
        <patternFill>
          <bgColor rgb="FF3B6D11"/>
        </patternFill>
      </fill>
    </dxf>
    <dxf>
      <fill>
        <patternFill>
          <bgColor rgb="FF888780"/>
        </patternFill>
      </fill>
    </dxf>
    <dxf>
      <font>
        <name val="Arial"/>
        <charset val="1"/>
        <family val="0"/>
        <color rgb="FFA6A6A6"/>
        <sz val="11"/>
      </font>
      <fill>
        <patternFill>
          <bgColor rgb="FFF2F2F2"/>
        </patternFill>
      </fill>
    </dxf>
    <dxf>
      <font>
        <name val="Arial"/>
        <charset val="1"/>
        <family val="0"/>
        <b val="1"/>
        <color rgb="FF854F0B"/>
        <sz val="11"/>
      </font>
    </dxf>
    <dxf>
      <font>
        <name val="Arial"/>
        <charset val="1"/>
        <family val="0"/>
        <b val="1"/>
        <color rgb="FF085041"/>
        <sz val="11"/>
      </font>
    </dxf>
    <dxf>
      <fill>
        <patternFill>
          <bgColor rgb="FFFAEEDA"/>
        </patternFill>
      </fill>
    </dxf>
    <dxf>
      <font>
        <color rgb="FFA6A6A6"/>
      </font>
      <fill>
        <patternFill patternType="solid">
          <fgColor rgb="FFF2F2F2"/>
        </patternFill>
      </fill>
    </dxf>
    <dxf>
      <font>
        <color rgb="FF854F0B"/>
      </font>
    </dxf>
    <dxf>
      <font>
        <color rgb="FF085041"/>
      </font>
    </dxf>
    <dxf>
      <fill>
        <patternFill patternType="solid">
          <fgColor rgb="FFFAEEDA"/>
        </patternFill>
      </fill>
    </dxf>
    <dxf>
      <font>
        <b val="1"/>
        <color rgb="FF9C1C1C"/>
      </font>
      <fill>
        <patternFill patternType="solid">
          <fgColor rgb="FFF9D0D0"/>
        </patternFill>
      </fill>
    </dxf>
    <dxf>
      <font>
        <b val="1"/>
        <color rgb="FF854F0B"/>
      </font>
      <fill>
        <patternFill patternType="solid">
          <fgColor rgb="FFFFF3C4"/>
        </patternFill>
      </fill>
    </dxf>
    <dxf>
      <font>
        <color rgb="FF3B6D11"/>
      </font>
      <fill>
        <patternFill patternType="solid">
          <fgColor rgb="FFDCEED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3B6D11"/>
      <rgbColor rgb="FF800080"/>
      <rgbColor rgb="FF01696F"/>
      <rgbColor rgb="FFBFBFBF"/>
      <rgbColor rgb="FF888780"/>
      <rgbColor rgb="FF9999FF"/>
      <rgbColor rgb="FF993366"/>
      <rgbColor rgb="FFFAEEDA"/>
      <rgbColor rgb="FFE1F5EE"/>
      <rgbColor rgb="FF660066"/>
      <rgbColor rgb="FFFF8080"/>
      <rgbColor rgb="FF0066CC"/>
      <rgbColor rgb="FFEEEDFE"/>
      <rgbColor rgb="FF000080"/>
      <rgbColor rgb="FFFF00FF"/>
      <rgbColor rgb="FFFFFF00"/>
      <rgbColor rgb="FF00FFFF"/>
      <rgbColor rgb="FF800080"/>
      <rgbColor rgb="FF800000"/>
      <rgbColor rgb="FF0F6E56"/>
      <rgbColor rgb="FF0000FF"/>
      <rgbColor rgb="FF00CCFF"/>
      <rgbColor rgb="FFE6F1FB"/>
      <rgbColor rgb="FFF1EFE8"/>
      <rgbColor rgb="FFF2F2F2"/>
      <rgbColor rgb="FF99CCFF"/>
      <rgbColor rgb="FFFF99CC"/>
      <rgbColor rgb="FFCC99FF"/>
      <rgbColor rgb="FFFFCC99"/>
      <rgbColor rgb="FF7A5AF8"/>
      <rgbColor rgb="FF33CCCC"/>
      <rgbColor rgb="FF99CC00"/>
      <rgbColor rgb="FFFFCC00"/>
      <rgbColor rgb="FFEF9F27"/>
      <rgbColor rgb="FFD85A30"/>
      <rgbColor rgb="FF595959"/>
      <rgbColor rgb="FFA6A6A6"/>
      <rgbColor rgb="FF085041"/>
      <rgbColor rgb="FF339966"/>
      <rgbColor rgb="FF0F172A"/>
      <rgbColor rgb="FF333300"/>
      <rgbColor rgb="FF854F0B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Burn Rate vs. Funding by CLIN — Actual + Projected</a:t>
            </a:r>
          </a:p>
        </rich>
      </tx>
    </title>
    <plotArea>
      <areaChart>
        <grouping val="stacked"/>
        <ser>
          <idx val="0"/>
          <order val="0"/>
          <tx>
            <strRef>
              <f>'Burn Rate Forecast'!I14</f>
            </strRef>
          </tx>
          <spPr>
            <a:solidFill xmlns:a="http://schemas.openxmlformats.org/drawingml/2006/main">
              <a:srgbClr val="C6E8C6"/>
            </a:solidFill>
            <a:ln xmlns:a="http://schemas.openxmlformats.org/drawingml/2006/main">
              <a:noFill/>
              <a:prstDash val="solid"/>
            </a:ln>
          </spPr>
          <cat>
            <numRef>
              <f>'Burn Rate Forecast'!$B$15:$B$38</f>
            </numRef>
          </cat>
          <val>
            <numRef>
              <f>'Burn Rate Forecast'!$I$15:$I$38</f>
            </numRef>
          </val>
        </ser>
        <ser>
          <idx val="1"/>
          <order val="1"/>
          <tx>
            <strRef>
              <f>'Burn Rate Forecast'!J14</f>
            </strRef>
          </tx>
          <spPr>
            <a:solidFill xmlns:a="http://schemas.openxmlformats.org/drawingml/2006/main">
              <a:srgbClr val="FFF0B3"/>
            </a:solidFill>
            <a:ln xmlns:a="http://schemas.openxmlformats.org/drawingml/2006/main">
              <a:noFill/>
              <a:prstDash val="solid"/>
            </a:ln>
          </spPr>
          <cat>
            <numRef>
              <f>'Burn Rate Forecast'!$B$15:$B$38</f>
            </numRef>
          </cat>
          <val>
            <numRef>
              <f>'Burn Rate Forecast'!$J$15:$J$38</f>
            </numRef>
          </val>
        </ser>
        <ser>
          <idx val="2"/>
          <order val="2"/>
          <tx>
            <strRef>
              <f>'Burn Rate Forecast'!K14</f>
            </strRef>
          </tx>
          <spPr>
            <a:solidFill xmlns:a="http://schemas.openxmlformats.org/drawingml/2006/main">
              <a:srgbClr val="F7C6C6"/>
            </a:solidFill>
            <a:ln xmlns:a="http://schemas.openxmlformats.org/drawingml/2006/main">
              <a:noFill/>
              <a:prstDash val="solid"/>
            </a:ln>
          </spPr>
          <cat>
            <numRef>
              <f>'Burn Rate Forecast'!$B$15:$B$38</f>
            </numRef>
          </cat>
          <val>
            <numRef>
              <f>'Burn Rate Forecast'!$K$15:$K$38</f>
            </numRef>
          </val>
        </ser>
        <axId val="10"/>
        <axId val="100"/>
      </areaChart>
      <lineChart>
        <grouping val="standard"/>
        <ser>
          <idx val="3"/>
          <order val="3"/>
          <tx>
            <strRef>
              <f>'Burn Rate Forecast'!C14</f>
            </strRef>
          </tx>
          <spPr>
            <a:ln xmlns:a="http://schemas.openxmlformats.org/drawingml/2006/main" w="22000">
              <a:solidFill>
                <a:srgbClr val="FF0F172A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F0F172A"/>
              </a:solidFill>
              <a:ln xmlns:a="http://schemas.openxmlformats.org/drawingml/2006/main">
                <a:solidFill>
                  <a:srgbClr val="FF0F172A"/>
                </a:solidFill>
                <a:prstDash val="solid"/>
              </a:ln>
            </spPr>
          </marker>
          <cat>
            <numRef>
              <f>'Burn Rate Forecast'!$B$15:$B$38</f>
            </numRef>
          </cat>
          <val>
            <numRef>
              <f>'Burn Rate Forecast'!$C$15:$C$38</f>
            </numRef>
          </val>
          <smooth val="0"/>
        </ser>
        <ser>
          <idx val="4"/>
          <order val="4"/>
          <tx>
            <strRef>
              <f>'Burn Rate Forecast'!D14</f>
            </strRef>
          </tx>
          <spPr>
            <a:ln xmlns:a="http://schemas.openxmlformats.org/drawingml/2006/main" w="22000">
              <a:solidFill>
                <a:srgbClr val="FF7A5AF8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F7A5AF8"/>
              </a:solidFill>
              <a:ln xmlns:a="http://schemas.openxmlformats.org/drawingml/2006/main">
                <a:solidFill>
                  <a:srgbClr val="FF7A5AF8"/>
                </a:solidFill>
                <a:prstDash val="solid"/>
              </a:ln>
            </spPr>
          </marker>
          <cat>
            <numRef>
              <f>'Burn Rate Forecast'!$B$15:$B$38</f>
            </numRef>
          </cat>
          <val>
            <numRef>
              <f>'Burn Rate Forecast'!$D$15:$D$38</f>
            </numRef>
          </val>
          <smooth val="0"/>
        </ser>
        <ser>
          <idx val="5"/>
          <order val="5"/>
          <tx>
            <strRef>
              <f>'Burn Rate Forecast'!E14</f>
            </strRef>
          </tx>
          <spPr>
            <a:ln xmlns:a="http://schemas.openxmlformats.org/drawingml/2006/main" w="22000">
              <a:solidFill>
                <a:srgbClr val="FF2E75B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F2E75B6"/>
              </a:solidFill>
              <a:ln xmlns:a="http://schemas.openxmlformats.org/drawingml/2006/main">
                <a:solidFill>
                  <a:srgbClr val="FF2E75B6"/>
                </a:solidFill>
                <a:prstDash val="solid"/>
              </a:ln>
            </spPr>
          </marker>
          <cat>
            <numRef>
              <f>'Burn Rate Forecast'!$B$15:$B$38</f>
            </numRef>
          </cat>
          <val>
            <numRef>
              <f>'Burn Rate Forecast'!$E$15:$E$38</f>
            </numRef>
          </val>
          <smooth val="0"/>
        </ser>
        <ser>
          <idx val="6"/>
          <order val="6"/>
          <tx>
            <strRef>
              <f>'Burn Rate Forecast'!F14</f>
            </strRef>
          </tx>
          <spPr>
            <a:ln xmlns:a="http://schemas.openxmlformats.org/drawingml/2006/main" w="22000">
              <a:solidFill>
                <a:srgbClr val="FFC2410C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FC2410C"/>
              </a:solidFill>
              <a:ln xmlns:a="http://schemas.openxmlformats.org/drawingml/2006/main">
                <a:solidFill>
                  <a:srgbClr val="FFC2410C"/>
                </a:solidFill>
                <a:prstDash val="solid"/>
              </a:ln>
            </spPr>
          </marker>
          <cat>
            <numRef>
              <f>'Burn Rate Forecast'!$B$15:$B$38</f>
            </numRef>
          </cat>
          <val>
            <numRef>
              <f>'Burn Rate Forecast'!$F$15:$F$38</f>
            </numRef>
          </val>
          <smooth val="0"/>
        </ser>
        <ser>
          <idx val="7"/>
          <order val="7"/>
          <tx>
            <strRef>
              <f>'Burn Rate Forecast'!G14</f>
            </strRef>
          </tx>
          <spPr>
            <a:ln xmlns:a="http://schemas.openxmlformats.org/drawingml/2006/main" w="12000">
              <a:solidFill>
                <a:srgbClr val="9C1C1C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'Burn Rate Forecast'!$G$15:$G$38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.2"/>
          <min val="0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of CLIN Funding Used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png" Id="rId1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2.png" Id="rId2"/></Relationships>
</file>

<file path=xl/drawings/_rels/drawing13.xml.rels><Relationships xmlns="http://schemas.openxmlformats.org/package/2006/relationships"><Relationship Type="http://schemas.openxmlformats.org/officeDocument/2006/relationships/image" Target="/xl/media/image13.png" Id="rId1"/></Relationships>
</file>

<file path=xl/drawings/_rels/drawing14.xml.rels><Relationships xmlns="http://schemas.openxmlformats.org/package/2006/relationships"><Relationship Type="http://schemas.openxmlformats.org/officeDocument/2006/relationships/image" Target="/xl/media/image14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380520</colOff>
      <row>1</row>
      <rowOff>104400</rowOff>
    </to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380520" cy="3805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247320</colOff>
      <row>0</row>
      <rowOff>247320</rowOff>
    </to>
    <pic>
      <nvPicPr>
        <cNvPr id="4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247320" cy="2473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247320</colOff>
      <row>0</row>
      <rowOff>247320</rowOff>
    </to>
    <pic>
      <nvPicPr>
        <cNvPr id="5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247320" cy="2473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6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2.xml><?xml version="1.0" encoding="utf-8"?>
<wsDr xmlns="http://schemas.openxmlformats.org/drawingml/2006/spreadsheetDrawing">
  <oneCellAnchor>
    <from>
      <col>0</col>
      <colOff>0</colOff>
      <row>41</row>
      <rowOff>0</rowOff>
    </from>
    <ext cx="93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266700" cy="2667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3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247320</colOff>
      <row>0</row>
      <rowOff>247320</rowOff>
    </to>
    <pic>
      <nvPicPr>
        <cNvPr id="3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247320" cy="2473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14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247320</colOff>
      <row>0</row>
      <rowOff>247320</rowOff>
    </to>
    <pic>
      <nvPicPr>
        <cNvPr id="1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247320" cy="2473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sheet1.xml><?xml version="1.0" encoding="utf-8"?>
<worksheet xmlns="http://schemas.openxmlformats.org/spreadsheetml/2006/main">
  <sheetPr filterMode="0">
    <tabColor rgb="FFBFBFBF"/>
    <outlinePr summaryBelow="1" summaryRight="1"/>
    <pageSetUpPr fitToPage="0"/>
  </sheetPr>
  <dimension ref="A1:B8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108" min="1" max="1"/>
    <col width="55" customWidth="1" style="109" min="2" max="2"/>
  </cols>
  <sheetData>
    <row r="1" ht="21.75" customHeight="1" s="109">
      <c r="B1" s="110" t="inlineStr">
        <is>
          <t>Acqlerate</t>
        </is>
      </c>
    </row>
    <row r="2" ht="15.75" customHeight="1" s="109">
      <c r="B2" s="111" t="inlineStr">
        <is>
          <t>DoD Acquisition Training  ·  acqlerate.com</t>
        </is>
      </c>
    </row>
    <row r="4" ht="18.55" customHeight="1" s="109">
      <c r="A4" s="112" t="inlineStr">
        <is>
          <t>Cost &amp; Burn Rate Tracker — Quick Start</t>
        </is>
      </c>
    </row>
    <row r="5" ht="15" customHeight="1" s="109">
      <c r="A5" s="113" t="n"/>
    </row>
    <row r="6" ht="30" customHeight="1" s="109">
      <c r="A6" s="114" t="inlineStr">
        <is>
          <t>Log labor, ODCs, travel, and M&amp;E as they happen. The workbook builds fully burdened cost, tracks it against funding by project and by CLIN, forecasts revenue, and flags when you're getting close to running out.</t>
        </is>
      </c>
    </row>
    <row r="7" ht="15" customHeight="1" s="109">
      <c r="A7" s="113" t="n"/>
    </row>
    <row r="8" ht="15" customHeight="1" s="109">
      <c r="A8" s="115" t="inlineStr">
        <is>
          <t>Fill these in first</t>
        </is>
      </c>
    </row>
    <row r="9" ht="28" customHeight="1" s="109">
      <c r="A9" s="116" t="inlineStr">
        <is>
          <t>Rates</t>
        </is>
      </c>
      <c r="B9" s="114" t="inlineStr">
        <is>
          <t>Your negotiated Fringe, OH, G&amp;A, and Fee rates — everything else depends on these.</t>
        </is>
      </c>
    </row>
    <row r="10" ht="28" customHeight="1" s="109">
      <c r="A10" s="116" t="inlineStr">
        <is>
          <t>Projects</t>
        </is>
      </c>
      <c r="B10" s="114" t="inlineStr">
        <is>
          <t>One row per project (or "PMO"). Enter funded $ per CLIN — the only place funding is edited.</t>
        </is>
      </c>
    </row>
    <row r="11" ht="28" customHeight="1" s="109">
      <c r="A11" s="116" t="inlineStr">
        <is>
          <t>Dashboard</t>
        </is>
      </c>
      <c r="B11" s="114" t="inlineStr">
        <is>
          <t>Program Name, Contract #, and Period of Performance dates.</t>
        </is>
      </c>
    </row>
    <row r="12" ht="28" customHeight="1" s="109">
      <c r="A12" s="116" t="inlineStr">
        <is>
          <t>Personnel</t>
        </is>
      </c>
      <c r="B12" s="114" t="inlineStr">
        <is>
          <t>One row per person: LCAT, pay rate, standard hours, start/end date.</t>
        </is>
      </c>
    </row>
    <row r="13" ht="15" customHeight="1" s="109">
      <c r="A13" s="113" t="n"/>
    </row>
    <row r="14" ht="15" customHeight="1" s="109">
      <c r="A14" s="115" t="inlineStr">
        <is>
          <t>Then log costs as they happen</t>
        </is>
      </c>
    </row>
    <row r="15" ht="28" customHeight="1" s="109">
      <c r="A15" s="116" t="inlineStr">
        <is>
          <t>Labor</t>
        </is>
      </c>
      <c r="B15" s="114" t="inlineStr">
        <is>
          <t>One row per person PER PROJECT (same person splitting time gets 2 rows). Enter hours by month.</t>
        </is>
      </c>
    </row>
    <row r="16" ht="28" customHeight="1" s="109">
      <c r="A16" s="116" t="inlineStr">
        <is>
          <t>ODCs / Travel / M&amp;E</t>
        </is>
      </c>
      <c r="B16" s="114" t="inlineStr">
        <is>
          <t>One line per cost item — date, Project, month #, amount.</t>
        </is>
      </c>
    </row>
    <row r="17" ht="28" customHeight="1" s="109">
      <c r="A17" s="116" t="inlineStr">
        <is>
          <t>PTO Planner</t>
        </is>
      </c>
      <c r="B17" s="114" t="inlineStr">
        <is>
          <t>Planned vs. actual PTO hours per person, per month. Informational — doesn't touch billing.</t>
        </is>
      </c>
    </row>
    <row r="18" ht="15" customHeight="1" s="109">
      <c r="A18" s="113" t="n"/>
    </row>
    <row r="19" ht="15" customHeight="1" s="109">
      <c r="A19" s="115" t="inlineStr">
        <is>
          <t>Forecasting &amp; early warning</t>
        </is>
      </c>
    </row>
    <row r="20" ht="28" customHeight="1" s="109">
      <c r="A20" s="116" t="inlineStr">
        <is>
          <t>Revenue Forecast</t>
        </is>
      </c>
      <c r="B20" s="114" t="inlineStr">
        <is>
          <t>Forecast expected billing per project, by month/quarter. Actual fills in as costs post. Log changes in the Revision Log at the bottom.</t>
        </is>
      </c>
    </row>
    <row r="21" ht="28" customHeight="1" s="109">
      <c r="A21" s="116" t="inlineStr">
        <is>
          <t>Burn Rate Forecast</t>
        </is>
      </c>
      <c r="B21" s="114" t="inlineStr">
        <is>
          <t>Chart + exact projected date each CLIN crosses 50% / 70% / 100% of its funding.</t>
        </is>
      </c>
    </row>
    <row r="22" ht="28" customHeight="1" s="109">
      <c r="A22" s="116" t="inlineStr">
        <is>
          <t>FundingMods</t>
        </is>
      </c>
      <c r="B22" s="114" t="inlineStr">
        <is>
          <t>Historical log of your award + mods. Reference only — doesn't feed the rest of the workbook.</t>
        </is>
      </c>
    </row>
    <row r="23" ht="15" customHeight="1" s="109">
      <c r="A23" s="113" t="n"/>
    </row>
    <row r="24" ht="15" customHeight="1" s="109">
      <c r="A24" s="115" t="inlineStr">
        <is>
          <t>Standalone tool</t>
        </is>
      </c>
    </row>
    <row r="25" ht="15" customHeight="1" s="109">
      <c r="A25" s="116" t="inlineStr">
        <is>
          <t>ROM Calculator</t>
        </is>
      </c>
      <c r="B25" s="117" t="inlineStr">
        <is>
          <t>What-if cost estimate for adding/changing a person — doesn't touch your logged totals.</t>
        </is>
      </c>
    </row>
    <row r="26" ht="15" customHeight="1" s="109">
      <c r="A26" s="118" t="n"/>
    </row>
    <row r="27" ht="15" customHeight="1" s="109">
      <c r="A27" s="115" t="inlineStr">
        <is>
          <t>How it flows</t>
        </is>
      </c>
    </row>
    <row r="28" ht="15" customHeight="1" s="109">
      <c r="A28" s="119" t="inlineStr">
        <is>
          <t>Labor + ODCs + M&amp;E + Travel  →  Subtotal  →  + G&amp;A  →  Total Cost  →  + Fee  →  Total Billed.</t>
        </is>
      </c>
    </row>
    <row r="29" ht="15" customHeight="1" s="109">
      <c r="A29" s="113" t="n"/>
    </row>
    <row r="30" ht="15" customHeight="1" s="109">
      <c r="A30" s="115" t="inlineStr">
        <is>
          <t>Color legend</t>
        </is>
      </c>
    </row>
    <row r="31" ht="15" customHeight="1" s="109">
      <c r="A31" s="120" t="inlineStr">
        <is>
          <t>Blue text = your input. Edit these.</t>
        </is>
      </c>
    </row>
    <row r="32" ht="15" customHeight="1" s="109">
      <c r="A32" s="120" t="inlineStr">
        <is>
          <t>Green text = pulled from another tab.</t>
        </is>
      </c>
    </row>
    <row r="33" ht="15" customHeight="1" s="109">
      <c r="A33" s="120" t="inlineStr">
        <is>
          <t>Black text = same-tab formula. Don't overwrite.</t>
        </is>
      </c>
    </row>
    <row r="34" ht="15" customHeight="1" s="109">
      <c r="A34" s="120" t="inlineStr">
        <is>
          <t>Yellow fill = key assumption driving the workbook.</t>
        </is>
      </c>
    </row>
    <row r="35" ht="15" customHeight="1" s="109">
      <c r="A35" s="113" t="n"/>
    </row>
    <row r="36" ht="28" customHeight="1" s="109">
      <c r="A36" s="114" t="inlineStr">
        <is>
          <t>Planning tool, not your official cost report — reconcile against your accounting system and your company's DCAA-approved rate structure.</t>
        </is>
      </c>
    </row>
    <row r="37" ht="15" customHeight="1" s="109">
      <c r="A37" s="113" t="n"/>
    </row>
    <row r="38" ht="15" customHeight="1" s="109">
      <c r="A38" s="113" t="n"/>
    </row>
    <row r="39" ht="15" customHeight="1" s="109">
      <c r="A39" s="113" t="n"/>
    </row>
    <row r="40" ht="15" customHeight="1" s="109">
      <c r="A40" s="113" t="n"/>
    </row>
    <row r="41" ht="15" customHeight="1" s="109">
      <c r="A41" s="113" t="n"/>
    </row>
    <row r="42" ht="15" customHeight="1" s="109">
      <c r="A42" s="113" t="n"/>
    </row>
    <row r="43" ht="15" customHeight="1" s="109">
      <c r="A43" s="118" t="n"/>
    </row>
    <row r="44" ht="15" customHeight="1" s="109">
      <c r="A44" s="113" t="n"/>
    </row>
    <row r="45" ht="15" customHeight="1" s="109">
      <c r="A45" s="113" t="n"/>
    </row>
    <row r="46" ht="15" customHeight="1" s="109">
      <c r="A46" s="113" t="n"/>
    </row>
    <row r="47" ht="15" customHeight="1" s="109">
      <c r="A47" s="113" t="n"/>
    </row>
    <row r="48" ht="15" customHeight="1" s="109">
      <c r="A48" s="118" t="n"/>
    </row>
    <row r="49" ht="15" customHeight="1" s="109">
      <c r="A49" s="113" t="n"/>
    </row>
    <row r="50" ht="15" customHeight="1" s="109">
      <c r="A50" s="113" t="n"/>
    </row>
    <row r="51" ht="15" customHeight="1" s="109">
      <c r="A51" s="113" t="n"/>
    </row>
    <row r="52" ht="15" customHeight="1" s="109">
      <c r="A52" s="113" t="n"/>
    </row>
    <row r="53" ht="15" customHeight="1" s="109">
      <c r="A53" s="113" t="n"/>
    </row>
    <row r="54" ht="15" customHeight="1" s="109">
      <c r="A54" s="113" t="n"/>
    </row>
    <row r="55" ht="15" customHeight="1" s="109">
      <c r="A55" s="113" t="n"/>
    </row>
    <row r="56" ht="15" customHeight="1" s="109">
      <c r="A56" s="118" t="n"/>
    </row>
    <row r="57" ht="15" customHeight="1" s="109">
      <c r="A57" s="113" t="n"/>
    </row>
    <row r="58" ht="15" customHeight="1" s="109">
      <c r="A58" s="113" t="n"/>
    </row>
    <row r="59" ht="15" customHeight="1" s="109">
      <c r="A59" s="113" t="n"/>
    </row>
    <row r="60" ht="15" customHeight="1" s="109">
      <c r="A60" s="113" t="n"/>
    </row>
    <row r="61" ht="15" customHeight="1" s="109">
      <c r="A61" s="113" t="n"/>
    </row>
    <row r="62" ht="15" customHeight="1" s="109">
      <c r="A62" s="113" t="n"/>
    </row>
    <row r="63" ht="15" customHeight="1" s="109">
      <c r="A63" s="118" t="n"/>
    </row>
    <row r="64" ht="15" customHeight="1" s="109">
      <c r="A64" s="113" t="n"/>
    </row>
    <row r="65" ht="15" customHeight="1" s="109">
      <c r="A65" s="113" t="n"/>
    </row>
    <row r="66" ht="15" customHeight="1" s="109">
      <c r="A66" s="113" t="n"/>
    </row>
    <row r="67" ht="15" customHeight="1" s="109">
      <c r="A67" s="113" t="n"/>
    </row>
    <row r="68" ht="15" customHeight="1" s="109">
      <c r="A68" s="113" t="n"/>
    </row>
    <row r="69" ht="15" customHeight="1" s="109">
      <c r="A69" s="118" t="n"/>
    </row>
    <row r="70" ht="15" customHeight="1" s="109">
      <c r="A70" s="113" t="n"/>
    </row>
    <row r="71" ht="15" customHeight="1" s="109">
      <c r="A71" s="113" t="n"/>
    </row>
    <row r="72" ht="15" customHeight="1" s="109">
      <c r="A72" s="113" t="n"/>
    </row>
    <row r="73" ht="15" customHeight="1" s="109">
      <c r="A73" s="113" t="n"/>
    </row>
    <row r="74" ht="15" customHeight="1" s="109">
      <c r="A74" s="113" t="n"/>
    </row>
    <row r="75" ht="15" customHeight="1" s="109">
      <c r="A75" s="113" t="n"/>
    </row>
    <row r="76" ht="15" customHeight="1" s="109">
      <c r="A76" s="113" t="n"/>
    </row>
    <row r="77" ht="15" customHeight="1" s="109">
      <c r="A77" s="118" t="n"/>
    </row>
    <row r="78" ht="15" customHeight="1" s="109">
      <c r="A78" s="113" t="n"/>
    </row>
    <row r="79" ht="15" customHeight="1" s="109">
      <c r="A79" s="113" t="n"/>
    </row>
    <row r="80" ht="15" customHeight="1" s="109">
      <c r="A80" s="113" t="n"/>
    </row>
    <row r="81" ht="15" customHeight="1" s="109">
      <c r="A81" s="113" t="n"/>
    </row>
  </sheetData>
  <mergeCells count="7">
    <mergeCell ref="A33:B33"/>
    <mergeCell ref="A28:B28"/>
    <mergeCell ref="A32:B32"/>
    <mergeCell ref="A36:B36"/>
    <mergeCell ref="A31:B31"/>
    <mergeCell ref="A6:B6"/>
    <mergeCell ref="A34:B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EF9F27"/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30" customWidth="1" style="109" min="1" max="1"/>
    <col width="12" customWidth="1" style="109" min="2" max="2"/>
    <col width="16" customWidth="1" style="109" min="3" max="3"/>
    <col width="2" customWidth="1" style="109" min="4" max="4"/>
    <col width="2" customWidth="1" style="109" min="5" max="5"/>
    <col width="30" customWidth="1" style="109" min="6" max="6"/>
  </cols>
  <sheetData>
    <row r="1" ht="21.75" customHeight="1" s="109">
      <c r="B1" s="121" t="inlineStr">
        <is>
          <t>Negotiated Rates</t>
        </is>
      </c>
      <c r="F1" s="122" t="inlineStr">
        <is>
          <t>Acqlerate  ·  acqlerate.com</t>
        </is>
      </c>
    </row>
    <row r="3">
      <c r="A3" s="123" t="inlineStr">
        <is>
          <t>INDIRECT RATES</t>
        </is>
      </c>
    </row>
    <row r="4">
      <c r="A4" s="117" t="inlineStr">
        <is>
          <t>Applied in sequence: Fringe -&gt; Overhead -&gt; G&amp;A. These drive every burdened cost figure on this sheet and on Labor.</t>
        </is>
      </c>
    </row>
    <row r="6">
      <c r="A6" s="124" t="inlineStr">
        <is>
          <t>Fringe Rate (%)</t>
        </is>
      </c>
      <c r="B6" s="125" t="n">
        <v>0.35</v>
      </c>
      <c r="C6" s="114" t="inlineStr">
        <is>
          <t>Applied to Direct Labor. Covers benefits (health, retirement, PTO).</t>
        </is>
      </c>
    </row>
    <row r="7" ht="28" customHeight="1" s="109">
      <c r="A7" s="124" t="inlineStr">
        <is>
          <t>Overhead (OH) Rate (%)</t>
        </is>
      </c>
      <c r="B7" s="125" t="n">
        <v>0.55</v>
      </c>
      <c r="C7" s="114" t="inlineStr">
        <is>
          <t>Applied to (Direct Labor + Fringe). Covers indirect labor, facilities, and fringe on indirect staff. Base varies by company — check your DCAA-approved rate agreement.</t>
        </is>
      </c>
    </row>
    <row r="8">
      <c r="A8" s="124" t="inlineStr">
        <is>
          <t>G&amp;A Rate (%)</t>
        </is>
      </c>
      <c r="B8" s="125" t="n">
        <v>0.12</v>
      </c>
      <c r="C8" s="114" t="inlineStr">
        <is>
          <t>Applied to Total Cost Input (fully burdened labor + ODCs + Travel + M&amp;E). Covers company-wide G&amp;A: executive, finance, HR, business development.</t>
        </is>
      </c>
    </row>
    <row r="10">
      <c r="A10" s="123" t="inlineStr">
        <is>
          <t>FEE STRUCTURE</t>
        </is>
      </c>
    </row>
    <row r="11" ht="28" customHeight="1" s="109">
      <c r="A11" s="117" t="inlineStr">
        <is>
          <t>Fixed = flat % of Total Cost (CPFF). Award = pool rate, actual earned fee depends on your award fee score. A contract can run BOTH — pick which CLINs draw from which pool in the table below.</t>
        </is>
      </c>
    </row>
    <row r="13" ht="28" customHeight="1" s="109">
      <c r="A13" s="124" t="inlineStr">
        <is>
          <t>Fixed Fee Rate (%)</t>
        </is>
      </c>
      <c r="B13" s="125" t="n">
        <v>0.07000000000000001</v>
      </c>
      <c r="C13" s="114" t="inlineStr">
        <is>
          <t>Used by any CLIN set to "Fixed" below. A flat % of that CLIN's Total Cost that doesn't vary with performance.</t>
        </is>
      </c>
    </row>
    <row r="14" ht="28" customHeight="1" s="109">
      <c r="A14" s="124" t="inlineStr">
        <is>
          <t>Target Award Fee Rate (%)</t>
        </is>
      </c>
      <c r="B14" s="125" t="n">
        <v>0.1</v>
      </c>
      <c r="C14" s="114" t="inlineStr">
        <is>
          <t>Used by any CLIN set to "Award" below. This is the MAX pool rate (see the CPAF lesson). This tracker assumes 100% earned for planning; adjust down if you have a current-period score.</t>
        </is>
      </c>
    </row>
    <row r="16">
      <c r="A16" s="117" t="inlineStr"/>
    </row>
    <row r="17" ht="22" customHeight="1" s="109">
      <c r="A17" s="126" t="inlineStr">
        <is>
          <t>CLIN</t>
        </is>
      </c>
      <c r="B17" s="126" t="inlineStr">
        <is>
          <t>Fee Type</t>
        </is>
      </c>
      <c r="C17" s="126" t="inlineStr">
        <is>
          <t>Applicable
Fee Rate</t>
        </is>
      </c>
    </row>
    <row r="18">
      <c r="A18" s="127" t="inlineStr">
        <is>
          <t>Labor</t>
        </is>
      </c>
      <c r="B18" s="128" t="inlineStr">
        <is>
          <t>Award</t>
        </is>
      </c>
      <c r="C18" s="129">
        <f>IF(B18="Fixed",$B$13,IF(B18="Award",$B$14,NA()))</f>
        <v/>
      </c>
    </row>
    <row r="19">
      <c r="A19" s="127" t="inlineStr">
        <is>
          <t>Travel</t>
        </is>
      </c>
      <c r="B19" s="128" t="inlineStr">
        <is>
          <t>Fixed</t>
        </is>
      </c>
      <c r="C19" s="129">
        <f>IF(B19="Fixed",$B$13,IF(B19="Award",$B$14,NA()))</f>
        <v/>
      </c>
    </row>
    <row r="20">
      <c r="A20" s="127" t="inlineStr">
        <is>
          <t>ODC</t>
        </is>
      </c>
      <c r="B20" s="128" t="inlineStr">
        <is>
          <t>Fixed</t>
        </is>
      </c>
      <c r="C20" s="129">
        <f>IF(B20="Fixed",$B$13,IF(B20="Award",$B$14,NA()))</f>
        <v/>
      </c>
    </row>
    <row r="21">
      <c r="A21" s="127" t="inlineStr">
        <is>
          <t>M&amp;E</t>
        </is>
      </c>
      <c r="B21" s="128" t="inlineStr">
        <is>
          <t>Award</t>
        </is>
      </c>
      <c r="C21" s="129">
        <f>IF(B21="Fixed",$B$13,IF(B21="Award",$B$14,NA()))</f>
        <v/>
      </c>
    </row>
    <row r="23" ht="28" customHeight="1" s="109">
      <c r="A23" s="117" t="inlineStr">
        <is>
          <t>This is what Dashboard, Revenue Forecast, and the ROM Calculator (Labor row) use — Total Cost per CLIN times that CLIN's Applicable Fee Rate.</t>
        </is>
      </c>
    </row>
    <row r="25" ht="42" customHeight="1" s="109">
      <c r="A25" s="114" t="inlineStr">
        <is>
          <t>Fee base note: this tracker applies fee to each CLIN's Total Cost (burdened cost + that CLIN's share of G&amp;A). Some contracts exclude ODCs, travel, M&amp;E, or facilities capital cost of money from the fee base — check your specific contract's fee clause (FAR 52.216 series) before relying on this for real billing.</t>
        </is>
      </c>
    </row>
  </sheetData>
  <mergeCells count="9">
    <mergeCell ref="C13:F13"/>
    <mergeCell ref="A11:F11"/>
    <mergeCell ref="C8:F8"/>
    <mergeCell ref="A23:F23"/>
    <mergeCell ref="C6:F6"/>
    <mergeCell ref="C7:F7"/>
    <mergeCell ref="A4:F4"/>
    <mergeCell ref="C14:F14"/>
    <mergeCell ref="A25:F25"/>
  </mergeCells>
  <dataValidations count="1">
    <dataValidation sqref="B18 B19 B20 B21" showDropDown="0" showInputMessage="0" showErrorMessage="0" allowBlank="0" type="list">
      <formula1>"Fixed,Award"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EF9F27"/>
    <outlinePr summaryBelow="1" summaryRight="1"/>
    <pageSetUpPr/>
  </sheetPr>
  <dimension ref="A1:G8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style="109" min="1" max="1"/>
    <col width="36" customWidth="1" style="109" min="2" max="2"/>
    <col width="15" customWidth="1" style="109" min="3" max="3"/>
    <col width="15" customWidth="1" style="109" min="4" max="4"/>
    <col width="15" customWidth="1" style="109" min="5" max="5"/>
    <col width="15" customWidth="1" style="109" min="6" max="6"/>
    <col width="15" customWidth="1" style="109" min="7" max="7"/>
    <col width="3" customWidth="1" style="109" min="8" max="8"/>
  </cols>
  <sheetData>
    <row r="1" ht="21.75" customHeight="1" s="109">
      <c r="B1" s="121" t="inlineStr">
        <is>
          <t>Projects</t>
        </is>
      </c>
      <c r="G1" s="122" t="inlineStr">
        <is>
          <t>Acqlerate  ·  acqlerate.com</t>
        </is>
      </c>
    </row>
    <row r="3" ht="30" customFormat="1" customHeight="1" s="130">
      <c r="A3" s="114" t="inlineStr">
        <is>
          <t>One row per project or task order funded by a distinct USG client. This is the ONLY place you edit funding amounts — everything else (Dashboard TOA, per-project spend on Labor/ODCs/Travel/M&amp;E) reads from here. Add "PMO" as a row if you want to track internal/overhead time separately (leave its funding at $0 if the USG doesn't fund it directly).</t>
        </is>
      </c>
    </row>
    <row r="4" ht="30" customHeight="1" s="109">
      <c r="A4" s="126" t="inlineStr">
        <is>
          <t>Project #</t>
        </is>
      </c>
      <c r="B4" s="126" t="inlineStr">
        <is>
          <t>Project Name</t>
        </is>
      </c>
      <c r="C4" s="126" t="inlineStr">
        <is>
          <t>Labor Funded
$</t>
        </is>
      </c>
      <c r="D4" s="126" t="inlineStr">
        <is>
          <t>Travel Funded
$</t>
        </is>
      </c>
      <c r="E4" s="126" t="inlineStr">
        <is>
          <t>ODC Funded
$</t>
        </is>
      </c>
      <c r="F4" s="126" t="inlineStr">
        <is>
          <t>M&amp;E Funded
$</t>
        </is>
      </c>
      <c r="G4" s="126" t="inlineStr">
        <is>
          <t>Total Funded
$</t>
        </is>
      </c>
    </row>
    <row r="6">
      <c r="A6" s="128" t="inlineStr">
        <is>
          <t>PMO</t>
        </is>
      </c>
      <c r="B6" s="128" t="inlineStr">
        <is>
          <t>Program Mgmt Office (internal/overhead)</t>
        </is>
      </c>
      <c r="C6" s="131" t="n">
        <v>0</v>
      </c>
      <c r="D6" s="131" t="n">
        <v>0</v>
      </c>
      <c r="E6" s="131" t="n">
        <v>0</v>
      </c>
      <c r="F6" s="131" t="n">
        <v>0</v>
      </c>
      <c r="G6" s="132">
        <f>IF(A6="","",SUM(C6:F6))</f>
        <v/>
      </c>
    </row>
    <row r="7">
      <c r="A7" s="128" t="inlineStr">
        <is>
          <t>P1</t>
        </is>
      </c>
      <c r="B7" s="128" t="inlineStr">
        <is>
          <t>Project X — Fleet Readiness Module</t>
        </is>
      </c>
      <c r="C7" s="131" t="n">
        <v>950000</v>
      </c>
      <c r="D7" s="131" t="n">
        <v>220000</v>
      </c>
      <c r="E7" s="131" t="n">
        <v>180000</v>
      </c>
      <c r="F7" s="131" t="n">
        <v>110000</v>
      </c>
      <c r="G7" s="132">
        <f>IF(A7="","",SUM(C7:F7))</f>
        <v/>
      </c>
    </row>
    <row r="8">
      <c r="A8" s="128" t="inlineStr">
        <is>
          <t>P2</t>
        </is>
      </c>
      <c r="B8" s="128" t="inlineStr">
        <is>
          <t>Project Y — Depot Optimization</t>
        </is>
      </c>
      <c r="C8" s="131" t="n">
        <v>600000</v>
      </c>
      <c r="D8" s="131" t="n">
        <v>130000</v>
      </c>
      <c r="E8" s="131" t="n">
        <v>100000</v>
      </c>
      <c r="F8" s="131" t="n">
        <v>60000</v>
      </c>
      <c r="G8" s="132">
        <f>IF(A8="","",SUM(C8:F8))</f>
        <v/>
      </c>
    </row>
    <row r="9">
      <c r="A9" s="128" t="n"/>
      <c r="B9" s="128" t="n"/>
      <c r="C9" s="131" t="n"/>
      <c r="D9" s="131" t="n"/>
      <c r="E9" s="131" t="n"/>
      <c r="F9" s="131" t="n"/>
      <c r="G9" s="132">
        <f>IF(A9="","",SUM(C9:F9))</f>
        <v/>
      </c>
    </row>
    <row r="10">
      <c r="A10" s="128" t="n"/>
      <c r="B10" s="128" t="n"/>
      <c r="C10" s="131" t="n"/>
      <c r="D10" s="131" t="n"/>
      <c r="E10" s="131" t="n"/>
      <c r="F10" s="131" t="n"/>
      <c r="G10" s="132">
        <f>IF(A10="","",SUM(C10:F10))</f>
        <v/>
      </c>
    </row>
    <row r="11">
      <c r="A11" s="128" t="n"/>
      <c r="B11" s="128" t="n"/>
      <c r="C11" s="131" t="n"/>
      <c r="D11" s="131" t="n"/>
      <c r="E11" s="131" t="n"/>
      <c r="F11" s="131" t="n"/>
      <c r="G11" s="132">
        <f>IF(A11="","",SUM(C11:F11))</f>
        <v/>
      </c>
    </row>
    <row r="12">
      <c r="A12" s="128" t="n"/>
      <c r="B12" s="128" t="n"/>
      <c r="C12" s="131" t="n"/>
      <c r="D12" s="131" t="n"/>
      <c r="E12" s="131" t="n"/>
      <c r="F12" s="131" t="n"/>
      <c r="G12" s="132">
        <f>IF(A12="","",SUM(C12:F12))</f>
        <v/>
      </c>
    </row>
    <row r="13">
      <c r="A13" s="128" t="n"/>
      <c r="B13" s="128" t="n"/>
      <c r="C13" s="131" t="n"/>
      <c r="D13" s="131" t="n"/>
      <c r="E13" s="131" t="n"/>
      <c r="F13" s="131" t="n"/>
      <c r="G13" s="132">
        <f>IF(A13="","",SUM(C13:F13))</f>
        <v/>
      </c>
    </row>
    <row r="15">
      <c r="A15" s="133" t="n"/>
      <c r="B15" s="134" t="inlineStr">
        <is>
          <t>CONTRACT TOTAL (feeds Dashboard TOA)</t>
        </is>
      </c>
      <c r="C15" s="135">
        <f>SUM(C6:C13)</f>
        <v/>
      </c>
      <c r="D15" s="135">
        <f>SUM(D6:D13)</f>
        <v/>
      </c>
      <c r="E15" s="135">
        <f>SUM(E6:E13)</f>
        <v/>
      </c>
      <c r="F15" s="135">
        <f>SUM(F6:F13)</f>
        <v/>
      </c>
      <c r="G15" s="135">
        <f>SUM(G6:G13)</f>
        <v/>
      </c>
    </row>
    <row r="17">
      <c r="A17" s="123" t="inlineStr">
        <is>
          <t>PROGRAM / TASK ORDER OVERVIEW (auto)</t>
        </is>
      </c>
    </row>
    <row r="18" ht="28" customHeight="1" s="109">
      <c r="A18" s="114" t="inlineStr">
        <is>
          <t>Spend-to-date pulls straight from each CLIN tab's Project column — nothing to enter here. Labor is burdened the same way as the Dashboard (Fringe + OH on Prime, Sub passes through at cost); Travel/ODC/M&amp;E shown pre-G&amp;A, same convention as the CLIN Funding Status table on FundingMods.</t>
        </is>
      </c>
    </row>
    <row r="20">
      <c r="A20" s="136">
        <f>IF($A$6="","",$A$6&amp;" — "&amp;$B$6)</f>
        <v/>
      </c>
    </row>
    <row r="21">
      <c r="A21" s="137" t="inlineStr">
        <is>
          <t>CLIN</t>
        </is>
      </c>
      <c r="B21" s="137" t="inlineStr">
        <is>
          <t>Funded $</t>
        </is>
      </c>
      <c r="C21" s="137" t="inlineStr">
        <is>
          <t>Spent to Date $</t>
        </is>
      </c>
      <c r="D21" s="137" t="inlineStr">
        <is>
          <t>Remaining $</t>
        </is>
      </c>
      <c r="E21" s="137" t="inlineStr">
        <is>
          <t>% Used</t>
        </is>
      </c>
    </row>
    <row r="22">
      <c r="A22" s="138" t="inlineStr">
        <is>
          <t>Labor</t>
        </is>
      </c>
      <c r="B22" s="132">
        <f>IF($A$6="","",C6)</f>
        <v/>
      </c>
      <c r="C22" s="132">
        <f>IF($A$6="","",SUMPRODUCT((Labor!$G$6:$G$25=$A$6)*(Labor!$E$6:$E$25="Prime")*N(Labor!$BG$6:$BG$25))*(1+Rates!$B$6)*(1+Rates!$B$7)+SUMPRODUCT((Labor!$G$6:$G$25=$A$6)*(Labor!$E$6:$E$25="Sub")*N(Labor!$BG$6:$BG$25)))</f>
        <v/>
      </c>
      <c r="D22" s="132">
        <f>IF($A$6="","",B22-C22)</f>
        <v/>
      </c>
      <c r="E22" s="129">
        <f>IF($A$6="","",IFERROR(C22/B22,0))</f>
        <v/>
      </c>
    </row>
    <row r="23">
      <c r="A23" s="138" t="inlineStr">
        <is>
          <t>Travel</t>
        </is>
      </c>
      <c r="B23" s="132">
        <f>IF($A$6="","",D6)</f>
        <v/>
      </c>
      <c r="C23" s="132">
        <f>IF($A$6="","",SUMIFS(Travel!$F$5:$F$22,Travel!$D$5:$D$22,$A$6))</f>
        <v/>
      </c>
      <c r="D23" s="132">
        <f>IF($A$6="","",B23-C23)</f>
        <v/>
      </c>
      <c r="E23" s="129">
        <f>IF($A$6="","",IFERROR(C23/B23,0))</f>
        <v/>
      </c>
    </row>
    <row r="24">
      <c r="A24" s="138" t="inlineStr">
        <is>
          <t>ODC</t>
        </is>
      </c>
      <c r="B24" s="132">
        <f>IF($A$6="","",E6)</f>
        <v/>
      </c>
      <c r="C24" s="132">
        <f>IF($A$6="","",SUMIFS(ODCs!$F$5:$F$22,ODCs!$D$5:$D$22,$A$6))</f>
        <v/>
      </c>
      <c r="D24" s="132">
        <f>IF($A$6="","",B24-C24)</f>
        <v/>
      </c>
      <c r="E24" s="129">
        <f>IF($A$6="","",IFERROR(C24/B24,0))</f>
        <v/>
      </c>
    </row>
    <row r="25">
      <c r="A25" s="138" t="inlineStr">
        <is>
          <t>M&amp;E</t>
        </is>
      </c>
      <c r="B25" s="132">
        <f>IF($A$6="","",F6)</f>
        <v/>
      </c>
      <c r="C25" s="132">
        <f>IF($A$6="","",SUMIFS('M&amp;E'!$F$5:$F$22,'M&amp;E'!$D$5:$D$22,$A$6))</f>
        <v/>
      </c>
      <c r="D25" s="132">
        <f>IF($A$6="","",B25-C25)</f>
        <v/>
      </c>
      <c r="E25" s="129">
        <f>IF($A$6="","",IFERROR(C25/B25,0))</f>
        <v/>
      </c>
    </row>
    <row r="26">
      <c r="A26" s="139" t="inlineStr">
        <is>
          <t>TOTAL</t>
        </is>
      </c>
      <c r="B26" s="135">
        <f>IF($A$6="","",SUM(B22:B25))</f>
        <v/>
      </c>
      <c r="C26" s="135">
        <f>IF($A$6="","",SUM(C22:C25))</f>
        <v/>
      </c>
      <c r="D26" s="135">
        <f>IF($A$6="","",SUM(D22:D25))</f>
        <v/>
      </c>
      <c r="E26" s="140">
        <f>IF($A$6="","",IFERROR(C26/B26,0))</f>
        <v/>
      </c>
    </row>
    <row r="28">
      <c r="A28" s="136">
        <f>IF($A$7="","",$A$7&amp;" — "&amp;$B$7)</f>
        <v/>
      </c>
    </row>
    <row r="29">
      <c r="A29" s="137" t="inlineStr">
        <is>
          <t>CLIN</t>
        </is>
      </c>
      <c r="B29" s="137" t="inlineStr">
        <is>
          <t>Funded $</t>
        </is>
      </c>
      <c r="C29" s="137" t="inlineStr">
        <is>
          <t>Spent to Date $</t>
        </is>
      </c>
      <c r="D29" s="137" t="inlineStr">
        <is>
          <t>Remaining $</t>
        </is>
      </c>
      <c r="E29" s="137" t="inlineStr">
        <is>
          <t>% Used</t>
        </is>
      </c>
    </row>
    <row r="30">
      <c r="A30" s="138" t="inlineStr">
        <is>
          <t>Labor</t>
        </is>
      </c>
      <c r="B30" s="132">
        <f>IF($A$7="","",C7)</f>
        <v/>
      </c>
      <c r="C30" s="132">
        <f>IF($A$7="","",SUMPRODUCT((Labor!$G$6:$G$25=$A$7)*(Labor!$E$6:$E$25="Prime")*N(Labor!$BG$6:$BG$25))*(1+Rates!$B$6)*(1+Rates!$B$7)+SUMPRODUCT((Labor!$G$6:$G$25=$A$7)*(Labor!$E$6:$E$25="Sub")*N(Labor!$BG$6:$BG$25)))</f>
        <v/>
      </c>
      <c r="D30" s="132">
        <f>IF($A$7="","",B30-C30)</f>
        <v/>
      </c>
      <c r="E30" s="129">
        <f>IF($A$7="","",IFERROR(C30/B30,0))</f>
        <v/>
      </c>
    </row>
    <row r="31">
      <c r="A31" s="138" t="inlineStr">
        <is>
          <t>Travel</t>
        </is>
      </c>
      <c r="B31" s="132">
        <f>IF($A$7="","",D7)</f>
        <v/>
      </c>
      <c r="C31" s="132">
        <f>IF($A$7="","",SUMIFS(Travel!$F$5:$F$22,Travel!$D$5:$D$22,$A$7))</f>
        <v/>
      </c>
      <c r="D31" s="132">
        <f>IF($A$7="","",B31-C31)</f>
        <v/>
      </c>
      <c r="E31" s="129">
        <f>IF($A$7="","",IFERROR(C31/B31,0))</f>
        <v/>
      </c>
    </row>
    <row r="32">
      <c r="A32" s="138" t="inlineStr">
        <is>
          <t>ODC</t>
        </is>
      </c>
      <c r="B32" s="132">
        <f>IF($A$7="","",E7)</f>
        <v/>
      </c>
      <c r="C32" s="132">
        <f>IF($A$7="","",SUMIFS(ODCs!$F$5:$F$22,ODCs!$D$5:$D$22,$A$7))</f>
        <v/>
      </c>
      <c r="D32" s="132">
        <f>IF($A$7="","",B32-C32)</f>
        <v/>
      </c>
      <c r="E32" s="129">
        <f>IF($A$7="","",IFERROR(C32/B32,0))</f>
        <v/>
      </c>
    </row>
    <row r="33">
      <c r="A33" s="138" t="inlineStr">
        <is>
          <t>M&amp;E</t>
        </is>
      </c>
      <c r="B33" s="132">
        <f>IF($A$7="","",F7)</f>
        <v/>
      </c>
      <c r="C33" s="132">
        <f>IF($A$7="","",SUMIFS('M&amp;E'!$F$5:$F$22,'M&amp;E'!$D$5:$D$22,$A$7))</f>
        <v/>
      </c>
      <c r="D33" s="132">
        <f>IF($A$7="","",B33-C33)</f>
        <v/>
      </c>
      <c r="E33" s="129">
        <f>IF($A$7="","",IFERROR(C33/B33,0))</f>
        <v/>
      </c>
    </row>
    <row r="34">
      <c r="A34" s="139" t="inlineStr">
        <is>
          <t>TOTAL</t>
        </is>
      </c>
      <c r="B34" s="135">
        <f>IF($A$7="","",SUM(B30:B33))</f>
        <v/>
      </c>
      <c r="C34" s="135">
        <f>IF($A$7="","",SUM(C30:C33))</f>
        <v/>
      </c>
      <c r="D34" s="135">
        <f>IF($A$7="","",SUM(D30:D33))</f>
        <v/>
      </c>
      <c r="E34" s="140">
        <f>IF($A$7="","",IFERROR(C34/B34,0))</f>
        <v/>
      </c>
    </row>
    <row r="36">
      <c r="A36" s="136">
        <f>IF($A$8="","",$A$8&amp;" — "&amp;$B$8)</f>
        <v/>
      </c>
    </row>
    <row r="37">
      <c r="A37" s="137" t="inlineStr">
        <is>
          <t>CLIN</t>
        </is>
      </c>
      <c r="B37" s="137" t="inlineStr">
        <is>
          <t>Funded $</t>
        </is>
      </c>
      <c r="C37" s="137" t="inlineStr">
        <is>
          <t>Spent to Date $</t>
        </is>
      </c>
      <c r="D37" s="137" t="inlineStr">
        <is>
          <t>Remaining $</t>
        </is>
      </c>
      <c r="E37" s="137" t="inlineStr">
        <is>
          <t>% Used</t>
        </is>
      </c>
    </row>
    <row r="38">
      <c r="A38" s="138" t="inlineStr">
        <is>
          <t>Labor</t>
        </is>
      </c>
      <c r="B38" s="132">
        <f>IF($A$8="","",C8)</f>
        <v/>
      </c>
      <c r="C38" s="132">
        <f>IF($A$8="","",SUMPRODUCT((Labor!$G$6:$G$25=$A$8)*(Labor!$E$6:$E$25="Prime")*N(Labor!$BG$6:$BG$25))*(1+Rates!$B$6)*(1+Rates!$B$7)+SUMPRODUCT((Labor!$G$6:$G$25=$A$8)*(Labor!$E$6:$E$25="Sub")*N(Labor!$BG$6:$BG$25)))</f>
        <v/>
      </c>
      <c r="D38" s="132">
        <f>IF($A$8="","",B38-C38)</f>
        <v/>
      </c>
      <c r="E38" s="129">
        <f>IF($A$8="","",IFERROR(C38/B38,0))</f>
        <v/>
      </c>
    </row>
    <row r="39">
      <c r="A39" s="138" t="inlineStr">
        <is>
          <t>Travel</t>
        </is>
      </c>
      <c r="B39" s="132">
        <f>IF($A$8="","",D8)</f>
        <v/>
      </c>
      <c r="C39" s="132">
        <f>IF($A$8="","",SUMIFS(Travel!$F$5:$F$22,Travel!$D$5:$D$22,$A$8))</f>
        <v/>
      </c>
      <c r="D39" s="132">
        <f>IF($A$8="","",B39-C39)</f>
        <v/>
      </c>
      <c r="E39" s="129">
        <f>IF($A$8="","",IFERROR(C39/B39,0))</f>
        <v/>
      </c>
    </row>
    <row r="40">
      <c r="A40" s="138" t="inlineStr">
        <is>
          <t>ODC</t>
        </is>
      </c>
      <c r="B40" s="132">
        <f>IF($A$8="","",E8)</f>
        <v/>
      </c>
      <c r="C40" s="132">
        <f>IF($A$8="","",SUMIFS(ODCs!$F$5:$F$22,ODCs!$D$5:$D$22,$A$8))</f>
        <v/>
      </c>
      <c r="D40" s="132">
        <f>IF($A$8="","",B40-C40)</f>
        <v/>
      </c>
      <c r="E40" s="129">
        <f>IF($A$8="","",IFERROR(C40/B40,0))</f>
        <v/>
      </c>
    </row>
    <row r="41">
      <c r="A41" s="138" t="inlineStr">
        <is>
          <t>M&amp;E</t>
        </is>
      </c>
      <c r="B41" s="132">
        <f>IF($A$8="","",F8)</f>
        <v/>
      </c>
      <c r="C41" s="132">
        <f>IF($A$8="","",SUMIFS('M&amp;E'!$F$5:$F$22,'M&amp;E'!$D$5:$D$22,$A$8))</f>
        <v/>
      </c>
      <c r="D41" s="132">
        <f>IF($A$8="","",B41-C41)</f>
        <v/>
      </c>
      <c r="E41" s="129">
        <f>IF($A$8="","",IFERROR(C41/B41,0))</f>
        <v/>
      </c>
    </row>
    <row r="42">
      <c r="A42" s="139" t="inlineStr">
        <is>
          <t>TOTAL</t>
        </is>
      </c>
      <c r="B42" s="135">
        <f>IF($A$8="","",SUM(B38:B41))</f>
        <v/>
      </c>
      <c r="C42" s="135">
        <f>IF($A$8="","",SUM(C38:C41))</f>
        <v/>
      </c>
      <c r="D42" s="135">
        <f>IF($A$8="","",SUM(D38:D41))</f>
        <v/>
      </c>
      <c r="E42" s="140">
        <f>IF($A$8="","",IFERROR(C42/B42,0))</f>
        <v/>
      </c>
    </row>
    <row r="44">
      <c r="A44" s="136">
        <f>IF($A$9="","",$A$9&amp;" — "&amp;$B$9)</f>
        <v/>
      </c>
    </row>
    <row r="45">
      <c r="A45" s="137" t="inlineStr">
        <is>
          <t>CLIN</t>
        </is>
      </c>
      <c r="B45" s="137" t="inlineStr">
        <is>
          <t>Funded $</t>
        </is>
      </c>
      <c r="C45" s="137" t="inlineStr">
        <is>
          <t>Spent to Date $</t>
        </is>
      </c>
      <c r="D45" s="137" t="inlineStr">
        <is>
          <t>Remaining $</t>
        </is>
      </c>
      <c r="E45" s="137" t="inlineStr">
        <is>
          <t>% Used</t>
        </is>
      </c>
    </row>
    <row r="46">
      <c r="A46" s="138" t="inlineStr">
        <is>
          <t>Labor</t>
        </is>
      </c>
      <c r="B46" s="132">
        <f>IF($A$9="","",C9)</f>
        <v/>
      </c>
      <c r="C46" s="132">
        <f>IF($A$9="","",SUMPRODUCT((Labor!$G$6:$G$25=$A$9)*(Labor!$E$6:$E$25="Prime")*N(Labor!$BG$6:$BG$25))*(1+Rates!$B$6)*(1+Rates!$B$7)+SUMPRODUCT((Labor!$G$6:$G$25=$A$9)*(Labor!$E$6:$E$25="Sub")*N(Labor!$BG$6:$BG$25)))</f>
        <v/>
      </c>
      <c r="D46" s="132">
        <f>IF($A$9="","",B46-C46)</f>
        <v/>
      </c>
      <c r="E46" s="129">
        <f>IF($A$9="","",IFERROR(C46/B46,0))</f>
        <v/>
      </c>
    </row>
    <row r="47">
      <c r="A47" s="138" t="inlineStr">
        <is>
          <t>Travel</t>
        </is>
      </c>
      <c r="B47" s="132">
        <f>IF($A$9="","",D9)</f>
        <v/>
      </c>
      <c r="C47" s="132">
        <f>IF($A$9="","",SUMIFS(Travel!$F$5:$F$22,Travel!$D$5:$D$22,$A$9))</f>
        <v/>
      </c>
      <c r="D47" s="132">
        <f>IF($A$9="","",B47-C47)</f>
        <v/>
      </c>
      <c r="E47" s="129">
        <f>IF($A$9="","",IFERROR(C47/B47,0))</f>
        <v/>
      </c>
    </row>
    <row r="48">
      <c r="A48" s="138" t="inlineStr">
        <is>
          <t>ODC</t>
        </is>
      </c>
      <c r="B48" s="132">
        <f>IF($A$9="","",E9)</f>
        <v/>
      </c>
      <c r="C48" s="132">
        <f>IF($A$9="","",SUMIFS(ODCs!$F$5:$F$22,ODCs!$D$5:$D$22,$A$9))</f>
        <v/>
      </c>
      <c r="D48" s="132">
        <f>IF($A$9="","",B48-C48)</f>
        <v/>
      </c>
      <c r="E48" s="129">
        <f>IF($A$9="","",IFERROR(C48/B48,0))</f>
        <v/>
      </c>
    </row>
    <row r="49">
      <c r="A49" s="138" t="inlineStr">
        <is>
          <t>M&amp;E</t>
        </is>
      </c>
      <c r="B49" s="132">
        <f>IF($A$9="","",F9)</f>
        <v/>
      </c>
      <c r="C49" s="132">
        <f>IF($A$9="","",SUMIFS('M&amp;E'!$F$5:$F$22,'M&amp;E'!$D$5:$D$22,$A$9))</f>
        <v/>
      </c>
      <c r="D49" s="132">
        <f>IF($A$9="","",B49-C49)</f>
        <v/>
      </c>
      <c r="E49" s="129">
        <f>IF($A$9="","",IFERROR(C49/B49,0))</f>
        <v/>
      </c>
    </row>
    <row r="50">
      <c r="A50" s="139" t="inlineStr">
        <is>
          <t>TOTAL</t>
        </is>
      </c>
      <c r="B50" s="135">
        <f>IF($A$9="","",SUM(B46:B49))</f>
        <v/>
      </c>
      <c r="C50" s="135">
        <f>IF($A$9="","",SUM(C46:C49))</f>
        <v/>
      </c>
      <c r="D50" s="135">
        <f>IF($A$9="","",SUM(D46:D49))</f>
        <v/>
      </c>
      <c r="E50" s="140">
        <f>IF($A$9="","",IFERROR(C50/B50,0))</f>
        <v/>
      </c>
    </row>
    <row r="52">
      <c r="A52" s="136">
        <f>IF($A$10="","",$A$10&amp;" — "&amp;$B$10)</f>
        <v/>
      </c>
    </row>
    <row r="53">
      <c r="A53" s="137" t="inlineStr">
        <is>
          <t>CLIN</t>
        </is>
      </c>
      <c r="B53" s="137" t="inlineStr">
        <is>
          <t>Funded $</t>
        </is>
      </c>
      <c r="C53" s="137" t="inlineStr">
        <is>
          <t>Spent to Date $</t>
        </is>
      </c>
      <c r="D53" s="137" t="inlineStr">
        <is>
          <t>Remaining $</t>
        </is>
      </c>
      <c r="E53" s="137" t="inlineStr">
        <is>
          <t>% Used</t>
        </is>
      </c>
    </row>
    <row r="54">
      <c r="A54" s="138" t="inlineStr">
        <is>
          <t>Labor</t>
        </is>
      </c>
      <c r="B54" s="132">
        <f>IF($A$10="","",C10)</f>
        <v/>
      </c>
      <c r="C54" s="132">
        <f>IF($A$10="","",SUMPRODUCT((Labor!$G$6:$G$25=$A$10)*(Labor!$E$6:$E$25="Prime")*N(Labor!$BG$6:$BG$25))*(1+Rates!$B$6)*(1+Rates!$B$7)+SUMPRODUCT((Labor!$G$6:$G$25=$A$10)*(Labor!$E$6:$E$25="Sub")*N(Labor!$BG$6:$BG$25)))</f>
        <v/>
      </c>
      <c r="D54" s="132">
        <f>IF($A$10="","",B54-C54)</f>
        <v/>
      </c>
      <c r="E54" s="129">
        <f>IF($A$10="","",IFERROR(C54/B54,0))</f>
        <v/>
      </c>
    </row>
    <row r="55">
      <c r="A55" s="138" t="inlineStr">
        <is>
          <t>Travel</t>
        </is>
      </c>
      <c r="B55" s="132">
        <f>IF($A$10="","",D10)</f>
        <v/>
      </c>
      <c r="C55" s="132">
        <f>IF($A$10="","",SUMIFS(Travel!$F$5:$F$22,Travel!$D$5:$D$22,$A$10))</f>
        <v/>
      </c>
      <c r="D55" s="132">
        <f>IF($A$10="","",B55-C55)</f>
        <v/>
      </c>
      <c r="E55" s="129">
        <f>IF($A$10="","",IFERROR(C55/B55,0))</f>
        <v/>
      </c>
    </row>
    <row r="56">
      <c r="A56" s="138" t="inlineStr">
        <is>
          <t>ODC</t>
        </is>
      </c>
      <c r="B56" s="132">
        <f>IF($A$10="","",E10)</f>
        <v/>
      </c>
      <c r="C56" s="132">
        <f>IF($A$10="","",SUMIFS(ODCs!$F$5:$F$22,ODCs!$D$5:$D$22,$A$10))</f>
        <v/>
      </c>
      <c r="D56" s="132">
        <f>IF($A$10="","",B56-C56)</f>
        <v/>
      </c>
      <c r="E56" s="129">
        <f>IF($A$10="","",IFERROR(C56/B56,0))</f>
        <v/>
      </c>
    </row>
    <row r="57">
      <c r="A57" s="138" t="inlineStr">
        <is>
          <t>M&amp;E</t>
        </is>
      </c>
      <c r="B57" s="132">
        <f>IF($A$10="","",F10)</f>
        <v/>
      </c>
      <c r="C57" s="132">
        <f>IF($A$10="","",SUMIFS('M&amp;E'!$F$5:$F$22,'M&amp;E'!$D$5:$D$22,$A$10))</f>
        <v/>
      </c>
      <c r="D57" s="132">
        <f>IF($A$10="","",B57-C57)</f>
        <v/>
      </c>
      <c r="E57" s="129">
        <f>IF($A$10="","",IFERROR(C57/B57,0))</f>
        <v/>
      </c>
    </row>
    <row r="58">
      <c r="A58" s="139" t="inlineStr">
        <is>
          <t>TOTAL</t>
        </is>
      </c>
      <c r="B58" s="135">
        <f>IF($A$10="","",SUM(B54:B57))</f>
        <v/>
      </c>
      <c r="C58" s="135">
        <f>IF($A$10="","",SUM(C54:C57))</f>
        <v/>
      </c>
      <c r="D58" s="135">
        <f>IF($A$10="","",SUM(D54:D57))</f>
        <v/>
      </c>
      <c r="E58" s="140">
        <f>IF($A$10="","",IFERROR(C58/B58,0))</f>
        <v/>
      </c>
    </row>
    <row r="60">
      <c r="A60" s="136">
        <f>IF($A$11="","",$A$11&amp;" — "&amp;$B$11)</f>
        <v/>
      </c>
    </row>
    <row r="61">
      <c r="A61" s="137" t="inlineStr">
        <is>
          <t>CLIN</t>
        </is>
      </c>
      <c r="B61" s="137" t="inlineStr">
        <is>
          <t>Funded $</t>
        </is>
      </c>
      <c r="C61" s="137" t="inlineStr">
        <is>
          <t>Spent to Date $</t>
        </is>
      </c>
      <c r="D61" s="137" t="inlineStr">
        <is>
          <t>Remaining $</t>
        </is>
      </c>
      <c r="E61" s="137" t="inlineStr">
        <is>
          <t>% Used</t>
        </is>
      </c>
    </row>
    <row r="62">
      <c r="A62" s="138" t="inlineStr">
        <is>
          <t>Labor</t>
        </is>
      </c>
      <c r="B62" s="132">
        <f>IF($A$11="","",C11)</f>
        <v/>
      </c>
      <c r="C62" s="132">
        <f>IF($A$11="","",SUMPRODUCT((Labor!$G$6:$G$25=$A$11)*(Labor!$E$6:$E$25="Prime")*N(Labor!$BG$6:$BG$25))*(1+Rates!$B$6)*(1+Rates!$B$7)+SUMPRODUCT((Labor!$G$6:$G$25=$A$11)*(Labor!$E$6:$E$25="Sub")*N(Labor!$BG$6:$BG$25)))</f>
        <v/>
      </c>
      <c r="D62" s="132">
        <f>IF($A$11="","",B62-C62)</f>
        <v/>
      </c>
      <c r="E62" s="129">
        <f>IF($A$11="","",IFERROR(C62/B62,0))</f>
        <v/>
      </c>
    </row>
    <row r="63">
      <c r="A63" s="138" t="inlineStr">
        <is>
          <t>Travel</t>
        </is>
      </c>
      <c r="B63" s="132">
        <f>IF($A$11="","",D11)</f>
        <v/>
      </c>
      <c r="C63" s="132">
        <f>IF($A$11="","",SUMIFS(Travel!$F$5:$F$22,Travel!$D$5:$D$22,$A$11))</f>
        <v/>
      </c>
      <c r="D63" s="132">
        <f>IF($A$11="","",B63-C63)</f>
        <v/>
      </c>
      <c r="E63" s="129">
        <f>IF($A$11="","",IFERROR(C63/B63,0))</f>
        <v/>
      </c>
    </row>
    <row r="64">
      <c r="A64" s="138" t="inlineStr">
        <is>
          <t>ODC</t>
        </is>
      </c>
      <c r="B64" s="132">
        <f>IF($A$11="","",E11)</f>
        <v/>
      </c>
      <c r="C64" s="132">
        <f>IF($A$11="","",SUMIFS(ODCs!$F$5:$F$22,ODCs!$D$5:$D$22,$A$11))</f>
        <v/>
      </c>
      <c r="D64" s="132">
        <f>IF($A$11="","",B64-C64)</f>
        <v/>
      </c>
      <c r="E64" s="129">
        <f>IF($A$11="","",IFERROR(C64/B64,0))</f>
        <v/>
      </c>
    </row>
    <row r="65">
      <c r="A65" s="138" t="inlineStr">
        <is>
          <t>M&amp;E</t>
        </is>
      </c>
      <c r="B65" s="132">
        <f>IF($A$11="","",F11)</f>
        <v/>
      </c>
      <c r="C65" s="132">
        <f>IF($A$11="","",SUMIFS('M&amp;E'!$F$5:$F$22,'M&amp;E'!$D$5:$D$22,$A$11))</f>
        <v/>
      </c>
      <c r="D65" s="132">
        <f>IF($A$11="","",B65-C65)</f>
        <v/>
      </c>
      <c r="E65" s="129">
        <f>IF($A$11="","",IFERROR(C65/B65,0))</f>
        <v/>
      </c>
    </row>
    <row r="66">
      <c r="A66" s="139" t="inlineStr">
        <is>
          <t>TOTAL</t>
        </is>
      </c>
      <c r="B66" s="135">
        <f>IF($A$11="","",SUM(B62:B65))</f>
        <v/>
      </c>
      <c r="C66" s="135">
        <f>IF($A$11="","",SUM(C62:C65))</f>
        <v/>
      </c>
      <c r="D66" s="135">
        <f>IF($A$11="","",SUM(D62:D65))</f>
        <v/>
      </c>
      <c r="E66" s="140">
        <f>IF($A$11="","",IFERROR(C66/B66,0))</f>
        <v/>
      </c>
    </row>
    <row r="68">
      <c r="A68" s="136">
        <f>IF($A$12="","",$A$12&amp;" — "&amp;$B$12)</f>
        <v/>
      </c>
    </row>
    <row r="69">
      <c r="A69" s="137" t="inlineStr">
        <is>
          <t>CLIN</t>
        </is>
      </c>
      <c r="B69" s="137" t="inlineStr">
        <is>
          <t>Funded $</t>
        </is>
      </c>
      <c r="C69" s="137" t="inlineStr">
        <is>
          <t>Spent to Date $</t>
        </is>
      </c>
      <c r="D69" s="137" t="inlineStr">
        <is>
          <t>Remaining $</t>
        </is>
      </c>
      <c r="E69" s="137" t="inlineStr">
        <is>
          <t>% Used</t>
        </is>
      </c>
    </row>
    <row r="70">
      <c r="A70" s="138" t="inlineStr">
        <is>
          <t>Labor</t>
        </is>
      </c>
      <c r="B70" s="132">
        <f>IF($A$12="","",C12)</f>
        <v/>
      </c>
      <c r="C70" s="132">
        <f>IF($A$12="","",SUMPRODUCT((Labor!$G$6:$G$25=$A$12)*(Labor!$E$6:$E$25="Prime")*N(Labor!$BG$6:$BG$25))*(1+Rates!$B$6)*(1+Rates!$B$7)+SUMPRODUCT((Labor!$G$6:$G$25=$A$12)*(Labor!$E$6:$E$25="Sub")*N(Labor!$BG$6:$BG$25)))</f>
        <v/>
      </c>
      <c r="D70" s="132">
        <f>IF($A$12="","",B70-C70)</f>
        <v/>
      </c>
      <c r="E70" s="129">
        <f>IF($A$12="","",IFERROR(C70/B70,0))</f>
        <v/>
      </c>
    </row>
    <row r="71">
      <c r="A71" s="138" t="inlineStr">
        <is>
          <t>Travel</t>
        </is>
      </c>
      <c r="B71" s="132">
        <f>IF($A$12="","",D12)</f>
        <v/>
      </c>
      <c r="C71" s="132">
        <f>IF($A$12="","",SUMIFS(Travel!$F$5:$F$22,Travel!$D$5:$D$22,$A$12))</f>
        <v/>
      </c>
      <c r="D71" s="132">
        <f>IF($A$12="","",B71-C71)</f>
        <v/>
      </c>
      <c r="E71" s="129">
        <f>IF($A$12="","",IFERROR(C71/B71,0))</f>
        <v/>
      </c>
    </row>
    <row r="72">
      <c r="A72" s="138" t="inlineStr">
        <is>
          <t>ODC</t>
        </is>
      </c>
      <c r="B72" s="132">
        <f>IF($A$12="","",E12)</f>
        <v/>
      </c>
      <c r="C72" s="132">
        <f>IF($A$12="","",SUMIFS(ODCs!$F$5:$F$22,ODCs!$D$5:$D$22,$A$12))</f>
        <v/>
      </c>
      <c r="D72" s="132">
        <f>IF($A$12="","",B72-C72)</f>
        <v/>
      </c>
      <c r="E72" s="129">
        <f>IF($A$12="","",IFERROR(C72/B72,0))</f>
        <v/>
      </c>
    </row>
    <row r="73">
      <c r="A73" s="138" t="inlineStr">
        <is>
          <t>M&amp;E</t>
        </is>
      </c>
      <c r="B73" s="132">
        <f>IF($A$12="","",F12)</f>
        <v/>
      </c>
      <c r="C73" s="132">
        <f>IF($A$12="","",SUMIFS('M&amp;E'!$F$5:$F$22,'M&amp;E'!$D$5:$D$22,$A$12))</f>
        <v/>
      </c>
      <c r="D73" s="132">
        <f>IF($A$12="","",B73-C73)</f>
        <v/>
      </c>
      <c r="E73" s="129">
        <f>IF($A$12="","",IFERROR(C73/B73,0))</f>
        <v/>
      </c>
    </row>
    <row r="74">
      <c r="A74" s="139" t="inlineStr">
        <is>
          <t>TOTAL</t>
        </is>
      </c>
      <c r="B74" s="135">
        <f>IF($A$12="","",SUM(B70:B73))</f>
        <v/>
      </c>
      <c r="C74" s="135">
        <f>IF($A$12="","",SUM(C70:C73))</f>
        <v/>
      </c>
      <c r="D74" s="135">
        <f>IF($A$12="","",SUM(D70:D73))</f>
        <v/>
      </c>
      <c r="E74" s="140">
        <f>IF($A$12="","",IFERROR(C74/B74,0))</f>
        <v/>
      </c>
    </row>
    <row r="76">
      <c r="A76" s="136">
        <f>IF($A$13="","",$A$13&amp;" — "&amp;$B$13)</f>
        <v/>
      </c>
    </row>
    <row r="77">
      <c r="A77" s="137" t="inlineStr">
        <is>
          <t>CLIN</t>
        </is>
      </c>
      <c r="B77" s="137" t="inlineStr">
        <is>
          <t>Funded $</t>
        </is>
      </c>
      <c r="C77" s="137" t="inlineStr">
        <is>
          <t>Spent to Date $</t>
        </is>
      </c>
      <c r="D77" s="137" t="inlineStr">
        <is>
          <t>Remaining $</t>
        </is>
      </c>
      <c r="E77" s="137" t="inlineStr">
        <is>
          <t>% Used</t>
        </is>
      </c>
    </row>
    <row r="78">
      <c r="A78" s="138" t="inlineStr">
        <is>
          <t>Labor</t>
        </is>
      </c>
      <c r="B78" s="132">
        <f>IF($A$13="","",C13)</f>
        <v/>
      </c>
      <c r="C78" s="132">
        <f>IF($A$13="","",SUMPRODUCT((Labor!$G$6:$G$25=$A$13)*(Labor!$E$6:$E$25="Prime")*N(Labor!$BG$6:$BG$25))*(1+Rates!$B$6)*(1+Rates!$B$7)+SUMPRODUCT((Labor!$G$6:$G$25=$A$13)*(Labor!$E$6:$E$25="Sub")*N(Labor!$BG$6:$BG$25)))</f>
        <v/>
      </c>
      <c r="D78" s="132">
        <f>IF($A$13="","",B78-C78)</f>
        <v/>
      </c>
      <c r="E78" s="129">
        <f>IF($A$13="","",IFERROR(C78/B78,0))</f>
        <v/>
      </c>
    </row>
    <row r="79">
      <c r="A79" s="138" t="inlineStr">
        <is>
          <t>Travel</t>
        </is>
      </c>
      <c r="B79" s="132">
        <f>IF($A$13="","",D13)</f>
        <v/>
      </c>
      <c r="C79" s="132">
        <f>IF($A$13="","",SUMIFS(Travel!$F$5:$F$22,Travel!$D$5:$D$22,$A$13))</f>
        <v/>
      </c>
      <c r="D79" s="132">
        <f>IF($A$13="","",B79-C79)</f>
        <v/>
      </c>
      <c r="E79" s="129">
        <f>IF($A$13="","",IFERROR(C79/B79,0))</f>
        <v/>
      </c>
    </row>
    <row r="80">
      <c r="A80" s="138" t="inlineStr">
        <is>
          <t>ODC</t>
        </is>
      </c>
      <c r="B80" s="132">
        <f>IF($A$13="","",E13)</f>
        <v/>
      </c>
      <c r="C80" s="132">
        <f>IF($A$13="","",SUMIFS(ODCs!$F$5:$F$22,ODCs!$D$5:$D$22,$A$13))</f>
        <v/>
      </c>
      <c r="D80" s="132">
        <f>IF($A$13="","",B80-C80)</f>
        <v/>
      </c>
      <c r="E80" s="129">
        <f>IF($A$13="","",IFERROR(C80/B80,0))</f>
        <v/>
      </c>
    </row>
    <row r="81">
      <c r="A81" s="138" t="inlineStr">
        <is>
          <t>M&amp;E</t>
        </is>
      </c>
      <c r="B81" s="132">
        <f>IF($A$13="","",F13)</f>
        <v/>
      </c>
      <c r="C81" s="132">
        <f>IF($A$13="","",SUMIFS('M&amp;E'!$F$5:$F$22,'M&amp;E'!$D$5:$D$22,$A$13))</f>
        <v/>
      </c>
      <c r="D81" s="132">
        <f>IF($A$13="","",B81-C81)</f>
        <v/>
      </c>
      <c r="E81" s="129">
        <f>IF($A$13="","",IFERROR(C81/B81,0))</f>
        <v/>
      </c>
    </row>
    <row r="82">
      <c r="A82" s="139" t="inlineStr">
        <is>
          <t>TOTAL</t>
        </is>
      </c>
      <c r="B82" s="135">
        <f>IF($A$13="","",SUM(B78:B81))</f>
        <v/>
      </c>
      <c r="C82" s="135">
        <f>IF($A$13="","",SUM(C78:C81))</f>
        <v/>
      </c>
      <c r="D82" s="135">
        <f>IF($A$13="","",SUM(D78:D81))</f>
        <v/>
      </c>
      <c r="E82" s="140">
        <f>IF($A$13="","",IFERROR(C82/B82,0))</f>
        <v/>
      </c>
    </row>
    <row r="85">
      <c r="A85" s="117" t="inlineStr">
        <is>
          <t>Acqlerate  ·  DoD Acquisition Training  ·  acqlerate.com</t>
        </is>
      </c>
    </row>
  </sheetData>
  <autoFilter ref="A4:G13"/>
  <mergeCells count="9">
    <mergeCell ref="A36:G36"/>
    <mergeCell ref="A44:G44"/>
    <mergeCell ref="A18:G18"/>
    <mergeCell ref="A20:G20"/>
    <mergeCell ref="A52:G52"/>
    <mergeCell ref="A60:G60"/>
    <mergeCell ref="A76:G76"/>
    <mergeCell ref="A68:G68"/>
    <mergeCell ref="A28:G28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tabColor rgb="FF01696F"/>
    <outlinePr summaryBelow="1" summaryRight="1"/>
    <pageSetUpPr fitToPage="0"/>
  </sheetPr>
  <dimension ref="A1:P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0" topLeftCell="A2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0" customWidth="1" style="108" min="1" max="1"/>
    <col width="10" customWidth="1" style="108" min="2" max="2"/>
    <col width="15" customWidth="1" style="108" min="3" max="3"/>
    <col width="13" customWidth="1" style="108" min="4" max="7"/>
    <col width="15" customWidth="1" style="108" min="8" max="8"/>
    <col width="13" customWidth="1" style="108" min="9" max="9"/>
    <col width="15" customWidth="1" style="108" min="10" max="10"/>
    <col width="13" customWidth="1" style="108" min="11" max="11"/>
    <col width="17" customWidth="1" style="108" min="12" max="12"/>
    <col width="16" customWidth="1" style="108" min="13" max="13"/>
    <col width="15" customWidth="1" style="108" min="14" max="14"/>
    <col width="11" customWidth="1" style="108" min="15" max="15"/>
    <col width="15" customWidth="1" style="108" min="16" max="16"/>
  </cols>
  <sheetData>
    <row r="1" ht="21.75" customHeight="1" s="109">
      <c r="B1" s="141" t="inlineStr">
        <is>
          <t>Cost &amp; Burn Rate Dashboard</t>
        </is>
      </c>
      <c r="O1" s="142" t="inlineStr">
        <is>
          <t>Acqlerate  ·  acqlerate.com</t>
        </is>
      </c>
    </row>
    <row r="3" ht="15" customHeight="1" s="109">
      <c r="A3" s="118" t="inlineStr">
        <is>
          <t>Program / Contract Name</t>
        </is>
      </c>
      <c r="C3" s="143" t="inlineStr">
        <is>
          <t>Example: Fleet Sustainment Support Services</t>
        </is>
      </c>
    </row>
    <row r="4" ht="15" customHeight="1" s="109">
      <c r="A4" s="118" t="inlineStr">
        <is>
          <t>Contract / Task Order #</t>
        </is>
      </c>
      <c r="C4" s="143" t="inlineStr">
        <is>
          <t>N00019-25-F-0142</t>
        </is>
      </c>
    </row>
    <row r="5" ht="15" customHeight="1" s="109">
      <c r="A5" s="118" t="inlineStr">
        <is>
          <t>Period of Performance — Start</t>
        </is>
      </c>
      <c r="C5" s="144" t="n">
        <v>46023</v>
      </c>
    </row>
    <row r="6" ht="15" customHeight="1" s="109">
      <c r="A6" s="118" t="inlineStr">
        <is>
          <t>Period of Performance — End</t>
        </is>
      </c>
      <c r="C6" s="144" t="n">
        <v>46387</v>
      </c>
    </row>
    <row r="7" ht="15" customHeight="1" s="109">
      <c r="A7" s="118" t="inlineStr">
        <is>
          <t>Months in Period</t>
        </is>
      </c>
      <c r="C7" s="145">
        <f>DATEDIF(C5,C6,"m")+1</f>
        <v/>
      </c>
    </row>
    <row r="8" ht="15" customHeight="1" s="109">
      <c r="A8" s="118" t="inlineStr">
        <is>
          <t>Current TOA (from Projects tab)</t>
        </is>
      </c>
      <c r="C8" s="146">
        <f>Projects!$G$15</f>
        <v/>
      </c>
    </row>
    <row r="9" ht="15" customHeight="1" s="109">
      <c r="A9" s="118" t="inlineStr">
        <is>
          <t>Straight-Line Monthly Plan</t>
        </is>
      </c>
      <c r="C9" s="147">
        <f>C8/C7</f>
        <v/>
      </c>
    </row>
    <row r="11" ht="15" customHeight="1" s="109">
      <c r="A11" s="148" t="inlineStr">
        <is>
          <t>SUMMARY</t>
        </is>
      </c>
    </row>
    <row r="12" ht="15" customHeight="1" s="109">
      <c r="A12" s="118" t="inlineStr">
        <is>
          <t>Months of Actuals Entered</t>
        </is>
      </c>
      <c r="C12" s="145">
        <f>COUNT(D21:D32)</f>
        <v/>
      </c>
    </row>
    <row r="13" ht="15" customHeight="1" s="109">
      <c r="A13" s="118" t="inlineStr">
        <is>
          <t>Spent to Date</t>
        </is>
      </c>
      <c r="C13" s="147">
        <f>IF(C12=0,0,INDEX(M21:M32,C12))</f>
        <v/>
      </c>
    </row>
    <row r="14" ht="15" customHeight="1" s="109">
      <c r="A14" s="118" t="inlineStr">
        <is>
          <t>Remaining Funds</t>
        </is>
      </c>
      <c r="C14" s="147">
        <f>C8-C13</f>
        <v/>
      </c>
    </row>
    <row r="15" ht="15" customHeight="1" s="109">
      <c r="A15" s="118" t="inlineStr">
        <is>
          <t>% of TOA Spent</t>
        </is>
      </c>
      <c r="C15" s="149">
        <f>IFERROR(C13/C8,0)</f>
        <v/>
      </c>
    </row>
    <row r="16" ht="15" customHeight="1" s="109">
      <c r="A16" s="118" t="inlineStr">
        <is>
          <t>Current Monthly Burn Rate (3-mo avg)</t>
        </is>
      </c>
      <c r="C16" s="147">
        <f>IFERROR(AVERAGE(OFFSET(L21,MAX(C12-3,0),0,MIN(C12,3),1)),0)</f>
        <v/>
      </c>
    </row>
    <row r="17" ht="15" customHeight="1" s="109">
      <c r="A17" s="118" t="inlineStr">
        <is>
          <t>Projected Months to Exhaustion</t>
        </is>
      </c>
      <c r="C17" s="145">
        <f>IFERROR(C14/C16,"—")</f>
        <v/>
      </c>
    </row>
    <row r="18" ht="15" customHeight="1" s="109">
      <c r="A18" s="118" t="inlineStr">
        <is>
          <t>Status</t>
        </is>
      </c>
      <c r="C18" s="150">
        <f>IF(C12=0,"NO DATA YET",IF(C15&gt;(C12/C7)*1.1,"AT RISK — OVERRUNNING",IF(C15&lt;(C12/C7)*0.7,"AT RISK — UNDERRUNNING","ON TRACK")))</f>
        <v/>
      </c>
    </row>
    <row r="20" ht="33.75" customHeight="1" s="109">
      <c r="A20" s="151" t="inlineStr">
        <is>
          <t>Month #</t>
        </is>
      </c>
      <c r="B20" s="151" t="inlineStr">
        <is>
          <t>Month</t>
        </is>
      </c>
      <c r="C20" s="151" t="inlineStr">
        <is>
          <t>Planned
Cumulative $</t>
        </is>
      </c>
      <c r="D20" s="151" t="inlineStr">
        <is>
          <t>Labor $</t>
        </is>
      </c>
      <c r="E20" s="151" t="inlineStr">
        <is>
          <t>ODCs $</t>
        </is>
      </c>
      <c r="F20" s="151" t="inlineStr">
        <is>
          <t>M&amp;E $</t>
        </is>
      </c>
      <c r="G20" s="151" t="inlineStr">
        <is>
          <t>Travel $</t>
        </is>
      </c>
      <c r="H20" s="151" t="inlineStr">
        <is>
          <t>Subtotal
(L+O+M+T)</t>
        </is>
      </c>
      <c r="I20" s="151" t="inlineStr">
        <is>
          <t>G&amp;A $</t>
        </is>
      </c>
      <c r="J20" s="151" t="inlineStr">
        <is>
          <t>Total
Cost</t>
        </is>
      </c>
      <c r="K20" s="151" t="inlineStr">
        <is>
          <t>Fee $</t>
        </is>
      </c>
      <c r="L20" s="151" t="inlineStr">
        <is>
          <t>Total Billed
(This Month)</t>
        </is>
      </c>
      <c r="M20" s="151" t="inlineStr">
        <is>
          <t>Actual
Cumulative $</t>
        </is>
      </c>
      <c r="N20" s="151" t="inlineStr">
        <is>
          <t>Variance $</t>
        </is>
      </c>
      <c r="O20" s="151" t="inlineStr">
        <is>
          <t>Variance %</t>
        </is>
      </c>
      <c r="P20" s="151" t="inlineStr">
        <is>
          <t>Remaining
Funds $</t>
        </is>
      </c>
    </row>
    <row r="21" ht="15" customHeight="1" s="109">
      <c r="A21" s="152" t="n">
        <v>1</v>
      </c>
      <c r="B21" s="153">
        <f>EDATE($C$5,A21-1)</f>
        <v/>
      </c>
      <c r="C21" s="154">
        <f>$C$9*A21</f>
        <v/>
      </c>
      <c r="D21" s="155">
        <f>Labor!H29</f>
        <v/>
      </c>
      <c r="E21" s="155">
        <f>IF(D21="","",ODCs!C27)</f>
        <v/>
      </c>
      <c r="F21" s="155">
        <f>IF(D21="","",'M&amp;E'!C27)</f>
        <v/>
      </c>
      <c r="G21" s="155">
        <f>IF(D21="","",Travel!C27)</f>
        <v/>
      </c>
      <c r="H21" s="154">
        <f>IF(D21="","",D21+E21+F21+G21)</f>
        <v/>
      </c>
      <c r="I21" s="155">
        <f>IF(H21="","",H21*Rates!$B$8)</f>
        <v/>
      </c>
      <c r="J21" s="154">
        <f>IF(H21="","",H21+I21)</f>
        <v/>
      </c>
      <c r="K21" s="155">
        <f>IF(H21="","",(D21+IFERROR(D21/H21*I21,0))*Rates!$C$18+(G21+IFERROR(G21/H21*I21,0))*Rates!$C$19+(E21+IFERROR(E21/H21*I21,0))*Rates!$C$20+(F21+IFERROR(F21/H21*I21,0))*Rates!$C$21)</f>
        <v/>
      </c>
      <c r="L21" s="154">
        <f>IF(J21="","",J21+K21)</f>
        <v/>
      </c>
      <c r="M21" s="154">
        <f>IF(SUM($L$21:L21)=0,"",SUM($L$21:L21))</f>
        <v/>
      </c>
      <c r="N21" s="156">
        <f>IF(OR(M21="",C21=""),"",M21-C21)</f>
        <v/>
      </c>
      <c r="O21" s="157">
        <f>IF(OR(M21="",C21="",C21=0),"",N21/C21)</f>
        <v/>
      </c>
      <c r="P21" s="154">
        <f>IF(M21="","",$C$8-M21)</f>
        <v/>
      </c>
    </row>
    <row r="22" ht="15" customHeight="1" s="109">
      <c r="A22" s="158" t="n">
        <v>2</v>
      </c>
      <c r="B22" s="159">
        <f>EDATE($C$5,A22-1)</f>
        <v/>
      </c>
      <c r="C22" s="160">
        <f>$C$9*A22</f>
        <v/>
      </c>
      <c r="D22" s="161">
        <f>Labor!H30</f>
        <v/>
      </c>
      <c r="E22" s="161">
        <f>IF(D22="","",ODCs!C28)</f>
        <v/>
      </c>
      <c r="F22" s="161">
        <f>IF(D22="","",'M&amp;E'!C28)</f>
        <v/>
      </c>
      <c r="G22" s="161">
        <f>IF(D22="","",Travel!C28)</f>
        <v/>
      </c>
      <c r="H22" s="160">
        <f>IF(D22="","",D22+E22+F22+G22)</f>
        <v/>
      </c>
      <c r="I22" s="161">
        <f>IF(H22="","",H22*Rates!$B$8)</f>
        <v/>
      </c>
      <c r="J22" s="160">
        <f>IF(H22="","",H22+I22)</f>
        <v/>
      </c>
      <c r="K22" s="161">
        <f>IF(H22="","",(D22+IFERROR(D22/H22*I22,0))*Rates!$C$18+(G22+IFERROR(G22/H22*I22,0))*Rates!$C$19+(E22+IFERROR(E22/H22*I22,0))*Rates!$C$20+(F22+IFERROR(F22/H22*I22,0))*Rates!$C$21)</f>
        <v/>
      </c>
      <c r="L22" s="160">
        <f>IF(J22="","",J22+K22)</f>
        <v/>
      </c>
      <c r="M22" s="160">
        <f>IF(SUM($L$21:L22)=0,"",SUM($L$21:L22))</f>
        <v/>
      </c>
      <c r="N22" s="162">
        <f>IF(OR(M22="",C22=""),"",M22-C22)</f>
        <v/>
      </c>
      <c r="O22" s="163">
        <f>IF(OR(M22="",C22="",C22=0),"",N22/C22)</f>
        <v/>
      </c>
      <c r="P22" s="160">
        <f>IF(M22="","",$C$8-M22)</f>
        <v/>
      </c>
    </row>
    <row r="23" ht="15" customHeight="1" s="109">
      <c r="A23" s="152" t="n">
        <v>3</v>
      </c>
      <c r="B23" s="153">
        <f>EDATE($C$5,A23-1)</f>
        <v/>
      </c>
      <c r="C23" s="154">
        <f>$C$9*A23</f>
        <v/>
      </c>
      <c r="D23" s="155">
        <f>Labor!H31</f>
        <v/>
      </c>
      <c r="E23" s="155">
        <f>IF(D23="","",ODCs!C29)</f>
        <v/>
      </c>
      <c r="F23" s="155">
        <f>IF(D23="","",'M&amp;E'!C29)</f>
        <v/>
      </c>
      <c r="G23" s="155">
        <f>IF(D23="","",Travel!C29)</f>
        <v/>
      </c>
      <c r="H23" s="154">
        <f>IF(D23="","",D23+E23+F23+G23)</f>
        <v/>
      </c>
      <c r="I23" s="155">
        <f>IF(H23="","",H23*Rates!$B$8)</f>
        <v/>
      </c>
      <c r="J23" s="154">
        <f>IF(H23="","",H23+I23)</f>
        <v/>
      </c>
      <c r="K23" s="155">
        <f>IF(H23="","",(D23+IFERROR(D23/H23*I23,0))*Rates!$C$18+(G23+IFERROR(G23/H23*I23,0))*Rates!$C$19+(E23+IFERROR(E23/H23*I23,0))*Rates!$C$20+(F23+IFERROR(F23/H23*I23,0))*Rates!$C$21)</f>
        <v/>
      </c>
      <c r="L23" s="154">
        <f>IF(J23="","",J23+K23)</f>
        <v/>
      </c>
      <c r="M23" s="154">
        <f>IF(SUM($L$21:L23)=0,"",SUM($L$21:L23))</f>
        <v/>
      </c>
      <c r="N23" s="156">
        <f>IF(OR(M23="",C23=""),"",M23-C23)</f>
        <v/>
      </c>
      <c r="O23" s="157">
        <f>IF(OR(M23="",C23="",C23=0),"",N23/C23)</f>
        <v/>
      </c>
      <c r="P23" s="154">
        <f>IF(M23="","",$C$8-M23)</f>
        <v/>
      </c>
    </row>
    <row r="24" ht="15" customHeight="1" s="109">
      <c r="A24" s="158" t="n">
        <v>4</v>
      </c>
      <c r="B24" s="159">
        <f>EDATE($C$5,A24-1)</f>
        <v/>
      </c>
      <c r="C24" s="160">
        <f>$C$9*A24</f>
        <v/>
      </c>
      <c r="D24" s="161">
        <f>Labor!H32</f>
        <v/>
      </c>
      <c r="E24" s="161">
        <f>IF(D24="","",ODCs!C30)</f>
        <v/>
      </c>
      <c r="F24" s="161">
        <f>IF(D24="","",'M&amp;E'!C30)</f>
        <v/>
      </c>
      <c r="G24" s="161">
        <f>IF(D24="","",Travel!C30)</f>
        <v/>
      </c>
      <c r="H24" s="160">
        <f>IF(D24="","",D24+E24+F24+G24)</f>
        <v/>
      </c>
      <c r="I24" s="161">
        <f>IF(H24="","",H24*Rates!$B$8)</f>
        <v/>
      </c>
      <c r="J24" s="160">
        <f>IF(H24="","",H24+I24)</f>
        <v/>
      </c>
      <c r="K24" s="161">
        <f>IF(H24="","",(D24+IFERROR(D24/H24*I24,0))*Rates!$C$18+(G24+IFERROR(G24/H24*I24,0))*Rates!$C$19+(E24+IFERROR(E24/H24*I24,0))*Rates!$C$20+(F24+IFERROR(F24/H24*I24,0))*Rates!$C$21)</f>
        <v/>
      </c>
      <c r="L24" s="160">
        <f>IF(J24="","",J24+K24)</f>
        <v/>
      </c>
      <c r="M24" s="160">
        <f>IF(SUM($L$21:L24)=0,"",SUM($L$21:L24))</f>
        <v/>
      </c>
      <c r="N24" s="162">
        <f>IF(OR(M24="",C24=""),"",M24-C24)</f>
        <v/>
      </c>
      <c r="O24" s="163">
        <f>IF(OR(M24="",C24="",C24=0),"",N24/C24)</f>
        <v/>
      </c>
      <c r="P24" s="160">
        <f>IF(M24="","",$C$8-M24)</f>
        <v/>
      </c>
    </row>
    <row r="25" ht="15" customHeight="1" s="109">
      <c r="A25" s="152" t="n">
        <v>5</v>
      </c>
      <c r="B25" s="153">
        <f>EDATE($C$5,A25-1)</f>
        <v/>
      </c>
      <c r="C25" s="154">
        <f>$C$9*A25</f>
        <v/>
      </c>
      <c r="D25" s="155">
        <f>Labor!H33</f>
        <v/>
      </c>
      <c r="E25" s="155">
        <f>IF(D25="","",ODCs!C31)</f>
        <v/>
      </c>
      <c r="F25" s="155">
        <f>IF(D25="","",'M&amp;E'!C31)</f>
        <v/>
      </c>
      <c r="G25" s="155">
        <f>IF(D25="","",Travel!C31)</f>
        <v/>
      </c>
      <c r="H25" s="154">
        <f>IF(D25="","",D25+E25+F25+G25)</f>
        <v/>
      </c>
      <c r="I25" s="155">
        <f>IF(H25="","",H25*Rates!$B$8)</f>
        <v/>
      </c>
      <c r="J25" s="154">
        <f>IF(H25="","",H25+I25)</f>
        <v/>
      </c>
      <c r="K25" s="155">
        <f>IF(H25="","",(D25+IFERROR(D25/H25*I25,0))*Rates!$C$18+(G25+IFERROR(G25/H25*I25,0))*Rates!$C$19+(E25+IFERROR(E25/H25*I25,0))*Rates!$C$20+(F25+IFERROR(F25/H25*I25,0))*Rates!$C$21)</f>
        <v/>
      </c>
      <c r="L25" s="154">
        <f>IF(J25="","",J25+K25)</f>
        <v/>
      </c>
      <c r="M25" s="154">
        <f>IF(SUM($L$21:L25)=0,"",SUM($L$21:L25))</f>
        <v/>
      </c>
      <c r="N25" s="156">
        <f>IF(OR(M25="",C25=""),"",M25-C25)</f>
        <v/>
      </c>
      <c r="O25" s="157">
        <f>IF(OR(M25="",C25="",C25=0),"",N25/C25)</f>
        <v/>
      </c>
      <c r="P25" s="154">
        <f>IF(M25="","",$C$8-M25)</f>
        <v/>
      </c>
    </row>
    <row r="26" ht="15" customHeight="1" s="109">
      <c r="A26" s="158" t="n">
        <v>6</v>
      </c>
      <c r="B26" s="159">
        <f>EDATE($C$5,A26-1)</f>
        <v/>
      </c>
      <c r="C26" s="160">
        <f>$C$9*A26</f>
        <v/>
      </c>
      <c r="D26" s="161">
        <f>Labor!H34</f>
        <v/>
      </c>
      <c r="E26" s="161">
        <f>IF(D26="","",ODCs!C32)</f>
        <v/>
      </c>
      <c r="F26" s="161">
        <f>IF(D26="","",'M&amp;E'!C32)</f>
        <v/>
      </c>
      <c r="G26" s="161">
        <f>IF(D26="","",Travel!C32)</f>
        <v/>
      </c>
      <c r="H26" s="160">
        <f>IF(D26="","",D26+E26+F26+G26)</f>
        <v/>
      </c>
      <c r="I26" s="161">
        <f>IF(H26="","",H26*Rates!$B$8)</f>
        <v/>
      </c>
      <c r="J26" s="160">
        <f>IF(H26="","",H26+I26)</f>
        <v/>
      </c>
      <c r="K26" s="161">
        <f>IF(H26="","",(D26+IFERROR(D26/H26*I26,0))*Rates!$C$18+(G26+IFERROR(G26/H26*I26,0))*Rates!$C$19+(E26+IFERROR(E26/H26*I26,0))*Rates!$C$20+(F26+IFERROR(F26/H26*I26,0))*Rates!$C$21)</f>
        <v/>
      </c>
      <c r="L26" s="160">
        <f>IF(J26="","",J26+K26)</f>
        <v/>
      </c>
      <c r="M26" s="160">
        <f>IF(SUM($L$21:L26)=0,"",SUM($L$21:L26))</f>
        <v/>
      </c>
      <c r="N26" s="162">
        <f>IF(OR(M26="",C26=""),"",M26-C26)</f>
        <v/>
      </c>
      <c r="O26" s="163">
        <f>IF(OR(M26="",C26="",C26=0),"",N26/C26)</f>
        <v/>
      </c>
      <c r="P26" s="160">
        <f>IF(M26="","",$C$8-M26)</f>
        <v/>
      </c>
    </row>
    <row r="27" ht="15" customHeight="1" s="109">
      <c r="A27" s="152" t="n">
        <v>7</v>
      </c>
      <c r="B27" s="153">
        <f>EDATE($C$5,A27-1)</f>
        <v/>
      </c>
      <c r="C27" s="154">
        <f>$C$9*A27</f>
        <v/>
      </c>
      <c r="D27" s="155">
        <f>Labor!H35</f>
        <v/>
      </c>
      <c r="E27" s="155">
        <f>IF(D27="","",ODCs!C33)</f>
        <v/>
      </c>
      <c r="F27" s="155">
        <f>IF(D27="","",'M&amp;E'!C33)</f>
        <v/>
      </c>
      <c r="G27" s="155">
        <f>IF(D27="","",Travel!C33)</f>
        <v/>
      </c>
      <c r="H27" s="154">
        <f>IF(D27="","",D27+E27+F27+G27)</f>
        <v/>
      </c>
      <c r="I27" s="155">
        <f>IF(H27="","",H27*Rates!$B$8)</f>
        <v/>
      </c>
      <c r="J27" s="154">
        <f>IF(H27="","",H27+I27)</f>
        <v/>
      </c>
      <c r="K27" s="155">
        <f>IF(H27="","",(D27+IFERROR(D27/H27*I27,0))*Rates!$C$18+(G27+IFERROR(G27/H27*I27,0))*Rates!$C$19+(E27+IFERROR(E27/H27*I27,0))*Rates!$C$20+(F27+IFERROR(F27/H27*I27,0))*Rates!$C$21)</f>
        <v/>
      </c>
      <c r="L27" s="154">
        <f>IF(J27="","",J27+K27)</f>
        <v/>
      </c>
      <c r="M27" s="154">
        <f>IF(SUM($L$21:L27)=0,"",SUM($L$21:L27))</f>
        <v/>
      </c>
      <c r="N27" s="156">
        <f>IF(OR(M27="",C27=""),"",M27-C27)</f>
        <v/>
      </c>
      <c r="O27" s="157">
        <f>IF(OR(M27="",C27="",C27=0),"",N27/C27)</f>
        <v/>
      </c>
      <c r="P27" s="154">
        <f>IF(M27="","",$C$8-M27)</f>
        <v/>
      </c>
    </row>
    <row r="28" ht="15" customHeight="1" s="109">
      <c r="A28" s="158" t="n">
        <v>8</v>
      </c>
      <c r="B28" s="159">
        <f>EDATE($C$5,A28-1)</f>
        <v/>
      </c>
      <c r="C28" s="160">
        <f>$C$9*A28</f>
        <v/>
      </c>
      <c r="D28" s="161">
        <f>Labor!H36</f>
        <v/>
      </c>
      <c r="E28" s="161">
        <f>IF(D28="","",ODCs!C34)</f>
        <v/>
      </c>
      <c r="F28" s="161">
        <f>IF(D28="","",'M&amp;E'!C34)</f>
        <v/>
      </c>
      <c r="G28" s="161">
        <f>IF(D28="","",Travel!C34)</f>
        <v/>
      </c>
      <c r="H28" s="160">
        <f>IF(D28="","",D28+E28+F28+G28)</f>
        <v/>
      </c>
      <c r="I28" s="161">
        <f>IF(H28="","",H28*Rates!$B$8)</f>
        <v/>
      </c>
      <c r="J28" s="160">
        <f>IF(H28="","",H28+I28)</f>
        <v/>
      </c>
      <c r="K28" s="161">
        <f>IF(H28="","",(D28+IFERROR(D28/H28*I28,0))*Rates!$C$18+(G28+IFERROR(G28/H28*I28,0))*Rates!$C$19+(E28+IFERROR(E28/H28*I28,0))*Rates!$C$20+(F28+IFERROR(F28/H28*I28,0))*Rates!$C$21)</f>
        <v/>
      </c>
      <c r="L28" s="160">
        <f>IF(J28="","",J28+K28)</f>
        <v/>
      </c>
      <c r="M28" s="160">
        <f>IF(SUM($L$21:L28)=0,"",SUM($L$21:L28))</f>
        <v/>
      </c>
      <c r="N28" s="162">
        <f>IF(OR(M28="",C28=""),"",M28-C28)</f>
        <v/>
      </c>
      <c r="O28" s="163">
        <f>IF(OR(M28="",C28="",C28=0),"",N28/C28)</f>
        <v/>
      </c>
      <c r="P28" s="160">
        <f>IF(M28="","",$C$8-M28)</f>
        <v/>
      </c>
    </row>
    <row r="29" ht="15" customHeight="1" s="109">
      <c r="A29" s="152" t="n">
        <v>9</v>
      </c>
      <c r="B29" s="153">
        <f>EDATE($C$5,A29-1)</f>
        <v/>
      </c>
      <c r="C29" s="154">
        <f>$C$9*A29</f>
        <v/>
      </c>
      <c r="D29" s="155">
        <f>Labor!H37</f>
        <v/>
      </c>
      <c r="E29" s="155">
        <f>IF(D29="","",ODCs!C35)</f>
        <v/>
      </c>
      <c r="F29" s="155">
        <f>IF(D29="","",'M&amp;E'!C35)</f>
        <v/>
      </c>
      <c r="G29" s="155">
        <f>IF(D29="","",Travel!C35)</f>
        <v/>
      </c>
      <c r="H29" s="154">
        <f>IF(D29="","",D29+E29+F29+G29)</f>
        <v/>
      </c>
      <c r="I29" s="155">
        <f>IF(H29="","",H29*Rates!$B$8)</f>
        <v/>
      </c>
      <c r="J29" s="154">
        <f>IF(H29="","",H29+I29)</f>
        <v/>
      </c>
      <c r="K29" s="155">
        <f>IF(H29="","",(D29+IFERROR(D29/H29*I29,0))*Rates!$C$18+(G29+IFERROR(G29/H29*I29,0))*Rates!$C$19+(E29+IFERROR(E29/H29*I29,0))*Rates!$C$20+(F29+IFERROR(F29/H29*I29,0))*Rates!$C$21)</f>
        <v/>
      </c>
      <c r="L29" s="154">
        <f>IF(J29="","",J29+K29)</f>
        <v/>
      </c>
      <c r="M29" s="154">
        <f>IF(SUM($L$21:L29)=0,"",SUM($L$21:L29))</f>
        <v/>
      </c>
      <c r="N29" s="156">
        <f>IF(OR(M29="",C29=""),"",M29-C29)</f>
        <v/>
      </c>
      <c r="O29" s="157">
        <f>IF(OR(M29="",C29="",C29=0),"",N29/C29)</f>
        <v/>
      </c>
      <c r="P29" s="154">
        <f>IF(M29="","",$C$8-M29)</f>
        <v/>
      </c>
    </row>
    <row r="30" ht="15" customHeight="1" s="109">
      <c r="A30" s="158" t="n">
        <v>10</v>
      </c>
      <c r="B30" s="159">
        <f>EDATE($C$5,A30-1)</f>
        <v/>
      </c>
      <c r="C30" s="160">
        <f>$C$9*A30</f>
        <v/>
      </c>
      <c r="D30" s="161">
        <f>Labor!H38</f>
        <v/>
      </c>
      <c r="E30" s="161">
        <f>IF(D30="","",ODCs!C36)</f>
        <v/>
      </c>
      <c r="F30" s="161">
        <f>IF(D30="","",'M&amp;E'!C36)</f>
        <v/>
      </c>
      <c r="G30" s="161">
        <f>IF(D30="","",Travel!C36)</f>
        <v/>
      </c>
      <c r="H30" s="160">
        <f>IF(D30="","",D30+E30+F30+G30)</f>
        <v/>
      </c>
      <c r="I30" s="161">
        <f>IF(H30="","",H30*Rates!$B$8)</f>
        <v/>
      </c>
      <c r="J30" s="160">
        <f>IF(H30="","",H30+I30)</f>
        <v/>
      </c>
      <c r="K30" s="161">
        <f>IF(H30="","",(D30+IFERROR(D30/H30*I30,0))*Rates!$C$18+(G30+IFERROR(G30/H30*I30,0))*Rates!$C$19+(E30+IFERROR(E30/H30*I30,0))*Rates!$C$20+(F30+IFERROR(F30/H30*I30,0))*Rates!$C$21)</f>
        <v/>
      </c>
      <c r="L30" s="160">
        <f>IF(J30="","",J30+K30)</f>
        <v/>
      </c>
      <c r="M30" s="160">
        <f>IF(SUM($L$21:L30)=0,"",SUM($L$21:L30))</f>
        <v/>
      </c>
      <c r="N30" s="162">
        <f>IF(OR(M30="",C30=""),"",M30-C30)</f>
        <v/>
      </c>
      <c r="O30" s="163">
        <f>IF(OR(M30="",C30="",C30=0),"",N30/C30)</f>
        <v/>
      </c>
      <c r="P30" s="160">
        <f>IF(M30="","",$C$8-M30)</f>
        <v/>
      </c>
    </row>
    <row r="31" ht="15" customHeight="1" s="109">
      <c r="A31" s="152" t="n">
        <v>11</v>
      </c>
      <c r="B31" s="153">
        <f>EDATE($C$5,A31-1)</f>
        <v/>
      </c>
      <c r="C31" s="154">
        <f>$C$9*A31</f>
        <v/>
      </c>
      <c r="D31" s="155">
        <f>Labor!H39</f>
        <v/>
      </c>
      <c r="E31" s="155">
        <f>IF(D31="","",ODCs!C37)</f>
        <v/>
      </c>
      <c r="F31" s="155">
        <f>IF(D31="","",'M&amp;E'!C37)</f>
        <v/>
      </c>
      <c r="G31" s="155">
        <f>IF(D31="","",Travel!C37)</f>
        <v/>
      </c>
      <c r="H31" s="154">
        <f>IF(D31="","",D31+E31+F31+G31)</f>
        <v/>
      </c>
      <c r="I31" s="155">
        <f>IF(H31="","",H31*Rates!$B$8)</f>
        <v/>
      </c>
      <c r="J31" s="154">
        <f>IF(H31="","",H31+I31)</f>
        <v/>
      </c>
      <c r="K31" s="155">
        <f>IF(H31="","",(D31+IFERROR(D31/H31*I31,0))*Rates!$C$18+(G31+IFERROR(G31/H31*I31,0))*Rates!$C$19+(E31+IFERROR(E31/H31*I31,0))*Rates!$C$20+(F31+IFERROR(F31/H31*I31,0))*Rates!$C$21)</f>
        <v/>
      </c>
      <c r="L31" s="154">
        <f>IF(J31="","",J31+K31)</f>
        <v/>
      </c>
      <c r="M31" s="154">
        <f>IF(SUM($L$21:L31)=0,"",SUM($L$21:L31))</f>
        <v/>
      </c>
      <c r="N31" s="156">
        <f>IF(OR(M31="",C31=""),"",M31-C31)</f>
        <v/>
      </c>
      <c r="O31" s="157">
        <f>IF(OR(M31="",C31="",C31=0),"",N31/C31)</f>
        <v/>
      </c>
      <c r="P31" s="154">
        <f>IF(M31="","",$C$8-M31)</f>
        <v/>
      </c>
    </row>
    <row r="32" ht="15" customHeight="1" s="109">
      <c r="A32" s="158" t="n">
        <v>12</v>
      </c>
      <c r="B32" s="159">
        <f>EDATE($C$5,A32-1)</f>
        <v/>
      </c>
      <c r="C32" s="160">
        <f>$C$9*A32</f>
        <v/>
      </c>
      <c r="D32" s="161">
        <f>Labor!H40</f>
        <v/>
      </c>
      <c r="E32" s="161">
        <f>IF(D32="","",ODCs!C38)</f>
        <v/>
      </c>
      <c r="F32" s="161">
        <f>IF(D32="","",'M&amp;E'!C38)</f>
        <v/>
      </c>
      <c r="G32" s="161">
        <f>IF(D32="","",Travel!C38)</f>
        <v/>
      </c>
      <c r="H32" s="160">
        <f>IF(D32="","",D32+E32+F32+G32)</f>
        <v/>
      </c>
      <c r="I32" s="161">
        <f>IF(H32="","",H32*Rates!$B$8)</f>
        <v/>
      </c>
      <c r="J32" s="160">
        <f>IF(H32="","",H32+I32)</f>
        <v/>
      </c>
      <c r="K32" s="161">
        <f>IF(H32="","",(D32+IFERROR(D32/H32*I32,0))*Rates!$C$18+(G32+IFERROR(G32/H32*I32,0))*Rates!$C$19+(E32+IFERROR(E32/H32*I32,0))*Rates!$C$20+(F32+IFERROR(F32/H32*I32,0))*Rates!$C$21)</f>
        <v/>
      </c>
      <c r="L32" s="160">
        <f>IF(J32="","",J32+K32)</f>
        <v/>
      </c>
      <c r="M32" s="160">
        <f>IF(SUM($L$21:L32)=0,"",SUM($L$21:L32))</f>
        <v/>
      </c>
      <c r="N32" s="162">
        <f>IF(OR(M32="",C32=""),"",M32-C32)</f>
        <v/>
      </c>
      <c r="O32" s="163">
        <f>IF(OR(M32="",C32="",C32=0),"",N32/C32)</f>
        <v/>
      </c>
      <c r="P32" s="160">
        <f>IF(M32="","",$C$8-M32)</f>
        <v/>
      </c>
    </row>
    <row r="34" ht="15" customHeight="1" s="109">
      <c r="A34" s="111" t="inlineStr">
        <is>
          <t>Acqlerate  ·  DoD Acquisition Training  ·  acqlerate.com</t>
        </is>
      </c>
    </row>
  </sheetData>
  <mergeCells count="15">
    <mergeCell ref="A4:B4"/>
    <mergeCell ref="A3:B3"/>
    <mergeCell ref="A16:B16"/>
    <mergeCell ref="A15:B15"/>
    <mergeCell ref="A7:B7"/>
    <mergeCell ref="A9:B9"/>
    <mergeCell ref="A5:B5"/>
    <mergeCell ref="A13:B13"/>
    <mergeCell ref="A14:B14"/>
    <mergeCell ref="A17:B17"/>
    <mergeCell ref="A18:B18"/>
    <mergeCell ref="A8:B8"/>
    <mergeCell ref="C18:G18"/>
    <mergeCell ref="A6:B6"/>
    <mergeCell ref="A12:B12"/>
  </mergeCells>
  <conditionalFormatting sqref="C18:G18">
    <cfRule type="expression" rank="0" priority="2" equalAverage="0" aboveAverage="0" dxfId="0" text="" percent="0" bottom="0">
      <formula>ISNUMBER(SEARCH("AT RISK",$C18))</formula>
    </cfRule>
    <cfRule type="expression" rank="0" priority="3" equalAverage="0" aboveAverage="0" dxfId="1" text="" percent="0" bottom="0">
      <formula>$C18="ON TRACK"</formula>
    </cfRule>
    <cfRule type="expression" rank="0" priority="4" equalAverage="0" aboveAverage="0" dxfId="2" text="" percent="0" bottom="0">
      <formula>$C18="NO DATA YET"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tabColor rgb="FFEF9F27"/>
    <outlinePr summaryBelow="1" summaryRight="1"/>
    <pageSetUpPr fitToPage="0"/>
  </sheetPr>
  <dimension ref="A1:P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" customWidth="1" style="108" min="1" max="1"/>
    <col width="17" customWidth="1" style="108" min="2" max="2"/>
    <col width="22" customWidth="1" style="108" min="3" max="3"/>
    <col width="13" customWidth="1" style="108" min="4" max="6"/>
    <col width="10" customWidth="1" style="108" min="7" max="7"/>
    <col width="11" customWidth="1" style="108" min="8" max="9"/>
    <col width="12" customWidth="1" style="108" min="10" max="11"/>
    <col width="2" customWidth="1" style="108" min="12" max="15"/>
    <col width="2" customWidth="1" style="109" min="13" max="13"/>
    <col width="2" customWidth="1" style="109" min="14" max="14"/>
    <col width="2" customWidth="1" style="109" min="15" max="15"/>
    <col width="2" customWidth="1" style="108" min="16" max="16"/>
  </cols>
  <sheetData>
    <row r="1" ht="21.75" customHeight="1" s="109">
      <c r="B1" s="141" t="inlineStr">
        <is>
          <t>Personnel</t>
        </is>
      </c>
      <c r="P1" s="142" t="n"/>
    </row>
    <row r="2"/>
    <row r="3" ht="28" customHeight="1" s="109">
      <c r="A3" s="164" t="inlineStr">
        <is>
          <t>One row per person. Enter Employee Type as exactly "Exempt" (salaried) or "Non-Exempt" (hourly, OT-eligible). PTO is tracked on the PTO Planner tab, not here — it doesn't bill separately since it's already embedded in your Fringe rate.</t>
        </is>
      </c>
    </row>
    <row r="4" ht="42" customHeight="1" s="109">
      <c r="A4" s="151" t="inlineStr">
        <is>
          <t>Employee #</t>
        </is>
      </c>
      <c r="B4" s="151" t="inlineStr">
        <is>
          <t>Employee Name</t>
        </is>
      </c>
      <c r="C4" s="151" t="inlineStr">
        <is>
          <t>LCAT</t>
        </is>
      </c>
      <c r="D4" s="151" t="inlineStr">
        <is>
          <t>Employee Type</t>
        </is>
      </c>
      <c r="E4" s="151" t="inlineStr">
        <is>
          <t>Annual Salary
(Exempt only)</t>
        </is>
      </c>
      <c r="F4" s="151" t="inlineStr">
        <is>
          <t>Direct Hourly Rate
(Non-Exempt only)</t>
        </is>
      </c>
      <c r="G4" s="151" t="inlineStr">
        <is>
          <t>Standard
Annual Hours</t>
        </is>
      </c>
      <c r="H4" s="151" t="inlineStr">
        <is>
          <t>Straight-Time
Rate $/hr</t>
        </is>
      </c>
      <c r="I4" s="151" t="inlineStr">
        <is>
          <t>OT Rate
$/hr (1.5x)</t>
        </is>
      </c>
      <c r="J4" s="151" t="inlineStr">
        <is>
          <t>Start Date</t>
        </is>
      </c>
      <c r="K4" s="151" t="inlineStr">
        <is>
          <t>End Date
(optional)</t>
        </is>
      </c>
      <c r="L4" s="151" t="n"/>
      <c r="M4" s="151" t="n"/>
      <c r="N4" s="151" t="n"/>
      <c r="O4" s="151" t="n"/>
      <c r="P4" s="151" t="n"/>
    </row>
    <row r="5" ht="15" customHeight="1" s="109">
      <c r="A5" s="165" t="n">
        <v>123456</v>
      </c>
      <c r="B5" s="165" t="inlineStr">
        <is>
          <t>John Smith</t>
        </is>
      </c>
      <c r="C5" s="165" t="inlineStr">
        <is>
          <t>Engineer 4</t>
        </is>
      </c>
      <c r="D5" s="165" t="inlineStr">
        <is>
          <t>Exempt</t>
        </is>
      </c>
      <c r="E5" s="166" t="n">
        <v>150000</v>
      </c>
      <c r="F5" s="167" t="n"/>
      <c r="G5" s="165" t="n">
        <v>2080</v>
      </c>
      <c r="H5" s="168">
        <f>IF(A5="","",IF(D5="Exempt",IF(G5=0,"",E5/G5),F5))</f>
        <v/>
      </c>
      <c r="I5" s="152">
        <f>IF(A5="","",IF(D5="Non-Exempt",H5*1.5,"N/A"))</f>
        <v/>
      </c>
      <c r="J5" s="169" t="n">
        <v>46213</v>
      </c>
      <c r="K5" s="169" t="n"/>
      <c r="L5" s="165" t="n"/>
      <c r="M5" s="165" t="n"/>
      <c r="N5" s="170" t="n"/>
      <c r="O5" s="171" t="n"/>
      <c r="P5" s="170" t="n"/>
    </row>
    <row r="6" ht="15" customHeight="1" s="109">
      <c r="A6" s="172" t="n">
        <v>123457</v>
      </c>
      <c r="B6" s="172" t="inlineStr">
        <is>
          <t>Maria Alvarez</t>
        </is>
      </c>
      <c r="C6" s="172" t="inlineStr">
        <is>
          <t>Program Manager</t>
        </is>
      </c>
      <c r="D6" s="172" t="inlineStr">
        <is>
          <t>Exempt</t>
        </is>
      </c>
      <c r="E6" s="173" t="n">
        <v>165000</v>
      </c>
      <c r="F6" s="174" t="n"/>
      <c r="G6" s="172" t="n">
        <v>2080</v>
      </c>
      <c r="H6" s="175">
        <f>IF(A6="","",IF(D6="Exempt",IF(G6=0,"",E6/G6),F6))</f>
        <v/>
      </c>
      <c r="I6" s="158">
        <f>IF(A6="","",IF(D6="Non-Exempt",H6*1.5,"N/A"))</f>
        <v/>
      </c>
      <c r="J6" s="176" t="n">
        <v>46023</v>
      </c>
      <c r="K6" s="176" t="n"/>
      <c r="L6" s="172" t="n"/>
      <c r="M6" s="172" t="n"/>
      <c r="N6" s="177" t="n"/>
      <c r="O6" s="178" t="n"/>
      <c r="P6" s="177" t="n"/>
    </row>
    <row r="7" ht="15" customHeight="1" s="109">
      <c r="A7" s="165" t="n">
        <v>123458</v>
      </c>
      <c r="B7" s="165" t="inlineStr">
        <is>
          <t>Dave Chen</t>
        </is>
      </c>
      <c r="C7" s="165" t="inlineStr">
        <is>
          <t>Admin Support</t>
        </is>
      </c>
      <c r="D7" s="165" t="inlineStr">
        <is>
          <t>Non-Exempt</t>
        </is>
      </c>
      <c r="E7" s="166" t="n"/>
      <c r="F7" s="167" t="n">
        <v>28.5</v>
      </c>
      <c r="G7" s="165" t="n">
        <v>2080</v>
      </c>
      <c r="H7" s="168">
        <f>IF(A7="","",IF(D7="Exempt",IF(G7=0,"",E7/G7),F7))</f>
        <v/>
      </c>
      <c r="I7" s="168">
        <f>IF(A7="","",IF(D7="Non-Exempt",H7*1.5,"N/A"))</f>
        <v/>
      </c>
      <c r="J7" s="169" t="n">
        <v>46023</v>
      </c>
      <c r="K7" s="169" t="n"/>
      <c r="L7" s="165" t="n"/>
      <c r="M7" s="165" t="n"/>
      <c r="N7" s="170" t="n"/>
      <c r="O7" s="171" t="n"/>
      <c r="P7" s="170" t="n"/>
    </row>
    <row r="8" ht="15" customHeight="1" s="109">
      <c r="A8" s="172" t="n"/>
      <c r="B8" s="172" t="n"/>
      <c r="C8" s="172" t="n"/>
      <c r="D8" s="172" t="n"/>
      <c r="E8" s="173" t="n"/>
      <c r="F8" s="174" t="n"/>
      <c r="G8" s="172" t="n">
        <v>2080</v>
      </c>
      <c r="H8" s="175">
        <f>IF(A8="","",IF(D8="Exempt",IF(G8=0,"",E8/G8),F8))</f>
        <v/>
      </c>
      <c r="I8" s="158">
        <f>IF(A8="","",IF(D8="Non-Exempt",H8*1.5,"N/A"))</f>
        <v/>
      </c>
      <c r="J8" s="176" t="n"/>
      <c r="K8" s="176" t="n"/>
      <c r="L8" s="172" t="n"/>
      <c r="M8" s="172" t="n"/>
      <c r="N8" s="177" t="n"/>
      <c r="O8" s="178" t="n"/>
      <c r="P8" s="177" t="n"/>
    </row>
    <row r="9" ht="15" customHeight="1" s="109">
      <c r="A9" s="165" t="n"/>
      <c r="B9" s="165" t="n"/>
      <c r="C9" s="165" t="n"/>
      <c r="D9" s="165" t="n"/>
      <c r="E9" s="166" t="n"/>
      <c r="F9" s="167" t="n"/>
      <c r="G9" s="165" t="n">
        <v>2080</v>
      </c>
      <c r="H9" s="168">
        <f>IF(A9="","",IF(D9="Exempt",IF(G9=0,"",E9/G9),F9))</f>
        <v/>
      </c>
      <c r="I9" s="152">
        <f>IF(A9="","",IF(D9="Non-Exempt",H9*1.5,"N/A"))</f>
        <v/>
      </c>
      <c r="J9" s="169" t="n"/>
      <c r="K9" s="169" t="n"/>
      <c r="L9" s="165" t="n"/>
      <c r="M9" s="165" t="n"/>
      <c r="N9" s="170" t="n"/>
      <c r="O9" s="171" t="n"/>
      <c r="P9" s="170" t="n"/>
    </row>
    <row r="10" ht="15" customHeight="1" s="109">
      <c r="A10" s="172" t="n"/>
      <c r="B10" s="172" t="n"/>
      <c r="C10" s="172" t="n"/>
      <c r="D10" s="172" t="n"/>
      <c r="E10" s="173" t="n"/>
      <c r="F10" s="174" t="n"/>
      <c r="G10" s="172" t="n">
        <v>2080</v>
      </c>
      <c r="H10" s="175">
        <f>IF(A10="","",IF(D10="Exempt",IF(G10=0,"",E10/G10),F10))</f>
        <v/>
      </c>
      <c r="I10" s="158">
        <f>IF(A10="","",IF(D10="Non-Exempt",H10*1.5,"N/A"))</f>
        <v/>
      </c>
      <c r="J10" s="176" t="n"/>
      <c r="K10" s="176" t="n"/>
      <c r="L10" s="172" t="n"/>
      <c r="M10" s="172" t="n"/>
      <c r="N10" s="177" t="n"/>
      <c r="O10" s="178" t="n"/>
      <c r="P10" s="177" t="n"/>
    </row>
    <row r="11" ht="15" customHeight="1" s="109">
      <c r="A11" s="165" t="n"/>
      <c r="B11" s="165" t="n"/>
      <c r="C11" s="165" t="n"/>
      <c r="D11" s="165" t="n"/>
      <c r="E11" s="166" t="n"/>
      <c r="F11" s="167" t="n"/>
      <c r="G11" s="165" t="n">
        <v>2080</v>
      </c>
      <c r="H11" s="168">
        <f>IF(A11="","",IF(D11="Exempt",IF(G11=0,"",E11/G11),F11))</f>
        <v/>
      </c>
      <c r="I11" s="152">
        <f>IF(A11="","",IF(D11="Non-Exempt",H11*1.5,"N/A"))</f>
        <v/>
      </c>
      <c r="J11" s="169" t="n"/>
      <c r="K11" s="169" t="n"/>
      <c r="L11" s="165" t="n"/>
      <c r="M11" s="165" t="n"/>
      <c r="N11" s="170" t="n"/>
      <c r="O11" s="171" t="n"/>
      <c r="P11" s="170" t="n"/>
    </row>
    <row r="12" ht="15" customHeight="1" s="109">
      <c r="A12" s="172" t="n"/>
      <c r="B12" s="172" t="n"/>
      <c r="C12" s="172" t="n"/>
      <c r="D12" s="172" t="n"/>
      <c r="E12" s="173" t="n"/>
      <c r="F12" s="174" t="n"/>
      <c r="G12" s="172" t="n">
        <v>2080</v>
      </c>
      <c r="H12" s="175">
        <f>IF(A12="","",IF(D12="Exempt",IF(G12=0,"",E12/G12),F12))</f>
        <v/>
      </c>
      <c r="I12" s="158">
        <f>IF(A12="","",IF(D12="Non-Exempt",H12*1.5,"N/A"))</f>
        <v/>
      </c>
      <c r="J12" s="176" t="n"/>
      <c r="K12" s="176" t="n"/>
      <c r="L12" s="172" t="n"/>
      <c r="M12" s="172" t="n"/>
      <c r="N12" s="177" t="n"/>
      <c r="O12" s="178" t="n"/>
      <c r="P12" s="177" t="n"/>
    </row>
    <row r="13" ht="15" customHeight="1" s="109">
      <c r="A13" s="165" t="n"/>
      <c r="B13" s="165" t="n"/>
      <c r="C13" s="165" t="n"/>
      <c r="D13" s="165" t="n"/>
      <c r="E13" s="166" t="n"/>
      <c r="F13" s="167" t="n"/>
      <c r="G13" s="165" t="n">
        <v>2080</v>
      </c>
      <c r="H13" s="168">
        <f>IF(A13="","",IF(D13="Exempt",IF(G13=0,"",E13/G13),F13))</f>
        <v/>
      </c>
      <c r="I13" s="152">
        <f>IF(A13="","",IF(D13="Non-Exempt",H13*1.5,"N/A"))</f>
        <v/>
      </c>
      <c r="J13" s="169" t="n"/>
      <c r="K13" s="169" t="n"/>
      <c r="L13" s="165" t="n"/>
      <c r="M13" s="165" t="n"/>
      <c r="N13" s="170" t="n"/>
      <c r="O13" s="171" t="n"/>
      <c r="P13" s="170" t="n"/>
    </row>
    <row r="14" ht="15" customHeight="1" s="109">
      <c r="A14" s="172" t="n"/>
      <c r="B14" s="172" t="n"/>
      <c r="C14" s="172" t="n"/>
      <c r="D14" s="172" t="n"/>
      <c r="E14" s="173" t="n"/>
      <c r="F14" s="174" t="n"/>
      <c r="G14" s="172" t="n">
        <v>2080</v>
      </c>
      <c r="H14" s="175">
        <f>IF(A14="","",IF(D14="Exempt",IF(G14=0,"",E14/G14),F14))</f>
        <v/>
      </c>
      <c r="I14" s="158">
        <f>IF(A14="","",IF(D14="Non-Exempt",H14*1.5,"N/A"))</f>
        <v/>
      </c>
      <c r="J14" s="176" t="n"/>
      <c r="K14" s="176" t="n"/>
      <c r="L14" s="172" t="n"/>
      <c r="M14" s="172" t="n"/>
      <c r="N14" s="177" t="n"/>
      <c r="O14" s="178" t="n"/>
      <c r="P14" s="177" t="n"/>
    </row>
    <row r="15" ht="15" customHeight="1" s="109">
      <c r="A15" s="165" t="n"/>
      <c r="B15" s="165" t="n"/>
      <c r="C15" s="165" t="n"/>
      <c r="D15" s="165" t="n"/>
      <c r="E15" s="166" t="n"/>
      <c r="F15" s="167" t="n"/>
      <c r="G15" s="165" t="n">
        <v>2080</v>
      </c>
      <c r="H15" s="168">
        <f>IF(A15="","",IF(D15="Exempt",IF(G15=0,"",E15/G15),F15))</f>
        <v/>
      </c>
      <c r="I15" s="152">
        <f>IF(A15="","",IF(D15="Non-Exempt",H15*1.5,"N/A"))</f>
        <v/>
      </c>
      <c r="J15" s="169" t="n"/>
      <c r="K15" s="169" t="n"/>
      <c r="L15" s="165" t="n"/>
      <c r="M15" s="165" t="n"/>
      <c r="N15" s="170" t="n"/>
      <c r="O15" s="171" t="n"/>
      <c r="P15" s="170" t="n"/>
    </row>
    <row r="16" ht="15" customHeight="1" s="109">
      <c r="A16" s="172" t="n"/>
      <c r="B16" s="172" t="n"/>
      <c r="C16" s="172" t="n"/>
      <c r="D16" s="172" t="n"/>
      <c r="E16" s="173" t="n"/>
      <c r="F16" s="174" t="n"/>
      <c r="G16" s="172" t="n">
        <v>2080</v>
      </c>
      <c r="H16" s="175">
        <f>IF(A16="","",IF(D16="Exempt",IF(G16=0,"",E16/G16),F16))</f>
        <v/>
      </c>
      <c r="I16" s="158">
        <f>IF(A16="","",IF(D16="Non-Exempt",H16*1.5,"N/A"))</f>
        <v/>
      </c>
      <c r="J16" s="176" t="n"/>
      <c r="K16" s="176" t="n"/>
      <c r="L16" s="172" t="n"/>
      <c r="M16" s="172" t="n"/>
      <c r="N16" s="177" t="n"/>
      <c r="O16" s="178" t="n"/>
      <c r="P16" s="177" t="n"/>
    </row>
    <row r="17" ht="15" customHeight="1" s="109">
      <c r="A17" s="165" t="n"/>
      <c r="B17" s="165" t="n"/>
      <c r="C17" s="165" t="n"/>
      <c r="D17" s="165" t="n"/>
      <c r="E17" s="166" t="n"/>
      <c r="F17" s="167" t="n"/>
      <c r="G17" s="165" t="n">
        <v>2080</v>
      </c>
      <c r="H17" s="168">
        <f>IF(A17="","",IF(D17="Exempt",IF(G17=0,"",E17/G17),F17))</f>
        <v/>
      </c>
      <c r="I17" s="152">
        <f>IF(A17="","",IF(D17="Non-Exempt",H17*1.5,"N/A"))</f>
        <v/>
      </c>
      <c r="J17" s="169" t="n"/>
      <c r="K17" s="169" t="n"/>
      <c r="L17" s="165" t="n"/>
      <c r="M17" s="165" t="n"/>
      <c r="N17" s="170" t="n"/>
      <c r="O17" s="171" t="n"/>
      <c r="P17" s="170" t="n"/>
    </row>
    <row r="18" ht="15" customHeight="1" s="109">
      <c r="A18" s="172" t="n"/>
      <c r="B18" s="172" t="n"/>
      <c r="C18" s="172" t="n"/>
      <c r="D18" s="172" t="n"/>
      <c r="E18" s="173" t="n"/>
      <c r="F18" s="174" t="n"/>
      <c r="G18" s="172" t="n">
        <v>2080</v>
      </c>
      <c r="H18" s="175">
        <f>IF(A18="","",IF(D18="Exempt",IF(G18=0,"",E18/G18),F18))</f>
        <v/>
      </c>
      <c r="I18" s="158">
        <f>IF(A18="","",IF(D18="Non-Exempt",H18*1.5,"N/A"))</f>
        <v/>
      </c>
      <c r="J18" s="176" t="n"/>
      <c r="K18" s="176" t="n"/>
      <c r="L18" s="172" t="n"/>
      <c r="M18" s="172" t="n"/>
      <c r="N18" s="177" t="n"/>
      <c r="O18" s="178" t="n"/>
      <c r="P18" s="177" t="n"/>
    </row>
    <row r="19" ht="15" customHeight="1" s="109">
      <c r="A19" s="165" t="n"/>
      <c r="B19" s="165" t="n"/>
      <c r="C19" s="165" t="n"/>
      <c r="D19" s="165" t="n"/>
      <c r="E19" s="166" t="n"/>
      <c r="F19" s="167" t="n"/>
      <c r="G19" s="165" t="n">
        <v>2080</v>
      </c>
      <c r="H19" s="168">
        <f>IF(A19="","",IF(D19="Exempt",IF(G19=0,"",E19/G19),F19))</f>
        <v/>
      </c>
      <c r="I19" s="152">
        <f>IF(A19="","",IF(D19="Non-Exempt",H19*1.5,"N/A"))</f>
        <v/>
      </c>
      <c r="J19" s="169" t="n"/>
      <c r="K19" s="169" t="n"/>
      <c r="L19" s="165" t="n"/>
      <c r="M19" s="165" t="n"/>
      <c r="N19" s="170" t="n"/>
      <c r="O19" s="171" t="n"/>
      <c r="P19" s="170" t="n"/>
    </row>
    <row r="20"/>
    <row r="21" ht="15" customHeight="1" s="109">
      <c r="A21" s="111" t="inlineStr">
        <is>
          <t>Acqlerate  ·  DoD Acquisition Training  ·  acqlerate.com</t>
        </is>
      </c>
    </row>
  </sheetData>
  <dataValidations count="1">
    <dataValidation sqref="D5:D19" showDropDown="0" showInputMessage="0" showErrorMessage="0" allowBlank="1" type="list" errorStyle="stop" operator="between">
      <formula1>"Exempt,Non-Exempt"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EF9F27"/>
    <outlinePr summaryBelow="1" summaryRight="1"/>
    <pageSetUpPr/>
  </sheetPr>
  <dimension ref="A1:AC22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style="109" min="1" max="1"/>
    <col width="17" customWidth="1" style="109" min="2" max="2"/>
    <col width="22" customWidth="1" style="109" min="3" max="3"/>
    <col width="9" customWidth="1" style="109" min="4" max="4"/>
    <col width="9" customWidth="1" style="109" min="5" max="5"/>
    <col width="9" customWidth="1" style="109" min="6" max="6"/>
    <col width="9" customWidth="1" style="109" min="7" max="7"/>
    <col width="9" customWidth="1" style="109" min="8" max="8"/>
    <col width="9" customWidth="1" style="109" min="9" max="9"/>
    <col width="9" customWidth="1" style="109" min="10" max="10"/>
    <col width="9" customWidth="1" style="109" min="11" max="11"/>
    <col width="9" customWidth="1" style="109" min="12" max="12"/>
    <col width="9" customWidth="1" style="109" min="13" max="13"/>
    <col width="9" customWidth="1" style="109" min="14" max="14"/>
    <col width="9" customWidth="1" style="109" min="15" max="15"/>
    <col width="9" customWidth="1" style="109" min="16" max="16"/>
    <col width="9" customWidth="1" style="109" min="17" max="17"/>
    <col width="9" customWidth="1" style="109" min="18" max="18"/>
    <col width="9" customWidth="1" style="109" min="19" max="19"/>
    <col width="9" customWidth="1" style="109" min="20" max="20"/>
    <col width="9" customWidth="1" style="109" min="21" max="21"/>
    <col width="9" customWidth="1" style="109" min="22" max="22"/>
    <col width="9" customWidth="1" style="109" min="23" max="23"/>
    <col width="9" customWidth="1" style="109" min="24" max="24"/>
    <col width="9" customWidth="1" style="109" min="25" max="25"/>
    <col width="9" customWidth="1" style="109" min="26" max="26"/>
    <col width="9" customWidth="1" style="109" min="27" max="27"/>
    <col width="12" customWidth="1" style="109" min="28" max="28"/>
    <col width="12" customWidth="1" style="109" min="29" max="29"/>
  </cols>
  <sheetData>
    <row r="1" ht="21.75" customHeight="1" s="109">
      <c r="B1" s="121" t="inlineStr">
        <is>
          <t>PTO Planner</t>
        </is>
      </c>
      <c r="AA1" s="122" t="inlineStr">
        <is>
          <t>Acqlerate  ·  acqlerate.com</t>
        </is>
      </c>
    </row>
    <row r="3" ht="28" customHeight="1" s="109">
      <c r="A3" s="114" t="inlineStr">
        <is>
          <t>One row per person. Just hours — planned (what they intend to take, so you can see it coming and reduce direct cost to the USG that month) and actual (what they took). This is a heads-up tool, not payroll: PTO cost is already inside your Fringe rate, so it isn't wired into Labor's hour math.</t>
        </is>
      </c>
    </row>
    <row r="4" ht="25.5" customHeight="1" s="109">
      <c r="A4" s="126" t="inlineStr">
        <is>
          <t>Employee #</t>
        </is>
      </c>
      <c r="B4" s="126" t="inlineStr">
        <is>
          <t>Employee
Name</t>
        </is>
      </c>
      <c r="C4" s="126" t="inlineStr">
        <is>
          <t>LCAT</t>
        </is>
      </c>
      <c r="D4" s="179" t="inlineStr">
        <is>
          <t>Jan</t>
        </is>
      </c>
      <c r="E4" s="180" t="n"/>
      <c r="F4" s="179" t="inlineStr">
        <is>
          <t>Feb</t>
        </is>
      </c>
      <c r="G4" s="180" t="n"/>
      <c r="H4" s="179" t="inlineStr">
        <is>
          <t>Mar</t>
        </is>
      </c>
      <c r="I4" s="180" t="n"/>
      <c r="J4" s="179" t="inlineStr">
        <is>
          <t>Apr</t>
        </is>
      </c>
      <c r="K4" s="180" t="n"/>
      <c r="L4" s="179" t="inlineStr">
        <is>
          <t>May</t>
        </is>
      </c>
      <c r="M4" s="180" t="n"/>
      <c r="N4" s="179" t="inlineStr">
        <is>
          <t>Jun</t>
        </is>
      </c>
      <c r="O4" s="180" t="n"/>
      <c r="P4" s="179" t="inlineStr">
        <is>
          <t>Jul</t>
        </is>
      </c>
      <c r="Q4" s="180" t="n"/>
      <c r="R4" s="179" t="inlineStr">
        <is>
          <t>Aug</t>
        </is>
      </c>
      <c r="S4" s="180" t="n"/>
      <c r="T4" s="179" t="inlineStr">
        <is>
          <t>Sep</t>
        </is>
      </c>
      <c r="U4" s="180" t="n"/>
      <c r="V4" s="179" t="inlineStr">
        <is>
          <t>Oct</t>
        </is>
      </c>
      <c r="W4" s="180" t="n"/>
      <c r="X4" s="179" t="inlineStr">
        <is>
          <t>Nov</t>
        </is>
      </c>
      <c r="Y4" s="180" t="n"/>
      <c r="Z4" s="179" t="inlineStr">
        <is>
          <t>Dec</t>
        </is>
      </c>
      <c r="AA4" s="180" t="n"/>
      <c r="AB4" s="126" t="inlineStr">
        <is>
          <t>Yearly
Planned Hrs</t>
        </is>
      </c>
      <c r="AC4" s="126" t="inlineStr">
        <is>
          <t>Yearly
Actual Hrs</t>
        </is>
      </c>
    </row>
    <row r="5" ht="28" customHeight="1" s="109">
      <c r="A5" s="181" t="n"/>
      <c r="B5" s="181" t="n"/>
      <c r="C5" s="181" t="n"/>
      <c r="D5" s="137" t="inlineStr">
        <is>
          <t>Planned
Hrs</t>
        </is>
      </c>
      <c r="E5" s="182" t="inlineStr">
        <is>
          <t>Actual
Hrs</t>
        </is>
      </c>
      <c r="F5" s="137" t="inlineStr">
        <is>
          <t>Planned
Hrs</t>
        </is>
      </c>
      <c r="G5" s="182" t="inlineStr">
        <is>
          <t>Actual
Hrs</t>
        </is>
      </c>
      <c r="H5" s="137" t="inlineStr">
        <is>
          <t>Planned
Hrs</t>
        </is>
      </c>
      <c r="I5" s="182" t="inlineStr">
        <is>
          <t>Actual
Hrs</t>
        </is>
      </c>
      <c r="J5" s="137" t="inlineStr">
        <is>
          <t>Planned
Hrs</t>
        </is>
      </c>
      <c r="K5" s="182" t="inlineStr">
        <is>
          <t>Actual
Hrs</t>
        </is>
      </c>
      <c r="L5" s="137" t="inlineStr">
        <is>
          <t>Planned
Hrs</t>
        </is>
      </c>
      <c r="M5" s="182" t="inlineStr">
        <is>
          <t>Actual
Hrs</t>
        </is>
      </c>
      <c r="N5" s="137" t="inlineStr">
        <is>
          <t>Planned
Hrs</t>
        </is>
      </c>
      <c r="O5" s="182" t="inlineStr">
        <is>
          <t>Actual
Hrs</t>
        </is>
      </c>
      <c r="P5" s="137" t="inlineStr">
        <is>
          <t>Planned
Hrs</t>
        </is>
      </c>
      <c r="Q5" s="182" t="inlineStr">
        <is>
          <t>Actual
Hrs</t>
        </is>
      </c>
      <c r="R5" s="137" t="inlineStr">
        <is>
          <t>Planned
Hrs</t>
        </is>
      </c>
      <c r="S5" s="182" t="inlineStr">
        <is>
          <t>Actual
Hrs</t>
        </is>
      </c>
      <c r="T5" s="137" t="inlineStr">
        <is>
          <t>Planned
Hrs</t>
        </is>
      </c>
      <c r="U5" s="182" t="inlineStr">
        <is>
          <t>Actual
Hrs</t>
        </is>
      </c>
      <c r="V5" s="137" t="inlineStr">
        <is>
          <t>Planned
Hrs</t>
        </is>
      </c>
      <c r="W5" s="182" t="inlineStr">
        <is>
          <t>Actual
Hrs</t>
        </is>
      </c>
      <c r="X5" s="137" t="inlineStr">
        <is>
          <t>Planned
Hrs</t>
        </is>
      </c>
      <c r="Y5" s="182" t="inlineStr">
        <is>
          <t>Actual
Hrs</t>
        </is>
      </c>
      <c r="Z5" s="137" t="inlineStr">
        <is>
          <t>Planned
Hrs</t>
        </is>
      </c>
      <c r="AA5" s="182" t="inlineStr">
        <is>
          <t>Actual
Hrs</t>
        </is>
      </c>
      <c r="AB5" s="181" t="n"/>
      <c r="AC5" s="181" t="n"/>
    </row>
    <row r="6" ht="15" customHeight="1" s="109">
      <c r="A6" s="128" t="n">
        <v>123456</v>
      </c>
      <c r="B6" s="183">
        <f>IF(A6="","",IFERROR(INDEX(Personnel!$B$5:$B$19,MATCH($A6,Personnel!$A$5:$A$19,0)),"-- not found --"))</f>
        <v/>
      </c>
      <c r="C6" s="183">
        <f>IF(A6="","",IFERROR(INDEX(Personnel!$C$5:$C$19,MATCH($A6,Personnel!$A$5:$A$19,0)),""))</f>
        <v/>
      </c>
      <c r="D6" s="184" t="n"/>
      <c r="E6" s="185" t="n"/>
      <c r="F6" s="184" t="n"/>
      <c r="G6" s="185" t="n"/>
      <c r="H6" s="184" t="n"/>
      <c r="I6" s="185" t="n"/>
      <c r="J6" s="184" t="n"/>
      <c r="K6" s="185" t="n"/>
      <c r="L6" s="184" t="n"/>
      <c r="M6" s="185" t="n"/>
      <c r="N6" s="184" t="n"/>
      <c r="O6" s="185" t="n"/>
      <c r="P6" s="184" t="n"/>
      <c r="Q6" s="185" t="n"/>
      <c r="R6" s="184" t="n">
        <v>40</v>
      </c>
      <c r="S6" s="185" t="n"/>
      <c r="T6" s="184" t="n"/>
      <c r="U6" s="185" t="n"/>
      <c r="V6" s="184" t="n"/>
      <c r="W6" s="185" t="n"/>
      <c r="X6" s="184" t="n"/>
      <c r="Y6" s="185" t="n"/>
      <c r="Z6" s="184" t="n"/>
      <c r="AA6" s="185" t="n"/>
      <c r="AB6" s="186">
        <f>IF(A6="","",SUM(D6,F6,H6,J6,L6,N6,P6,R6,T6,V6,X6,Z6))</f>
        <v/>
      </c>
      <c r="AC6" s="186">
        <f>IF(A6="","",SUM(E6,G6,I6,K6,M6,O6,Q6,S6,U6,W6,Y6,AA6))</f>
        <v/>
      </c>
    </row>
    <row r="7" ht="15" customHeight="1" s="109">
      <c r="A7" s="128" t="n">
        <v>123457</v>
      </c>
      <c r="B7" s="183">
        <f>IF(A7="","",IFERROR(INDEX(Personnel!$B$5:$B$19,MATCH($A7,Personnel!$A$5:$A$19,0)),"-- not found --"))</f>
        <v/>
      </c>
      <c r="C7" s="183">
        <f>IF(A7="","",IFERROR(INDEX(Personnel!$C$5:$C$19,MATCH($A7,Personnel!$A$5:$A$19,0)),""))</f>
        <v/>
      </c>
      <c r="D7" s="184" t="n"/>
      <c r="E7" s="185" t="n"/>
      <c r="F7" s="184" t="n"/>
      <c r="G7" s="185" t="n"/>
      <c r="H7" s="184" t="n"/>
      <c r="I7" s="185" t="n">
        <v>16</v>
      </c>
      <c r="J7" s="184" t="n"/>
      <c r="K7" s="185" t="n"/>
      <c r="L7" s="184" t="n"/>
      <c r="M7" s="185" t="n"/>
      <c r="N7" s="184" t="n"/>
      <c r="O7" s="185" t="n"/>
      <c r="P7" s="184" t="n"/>
      <c r="Q7" s="185" t="n"/>
      <c r="R7" s="184" t="n"/>
      <c r="S7" s="185" t="n"/>
      <c r="T7" s="184" t="n"/>
      <c r="U7" s="185" t="n"/>
      <c r="V7" s="184" t="n"/>
      <c r="W7" s="185" t="n"/>
      <c r="X7" s="184" t="n"/>
      <c r="Y7" s="185" t="n"/>
      <c r="Z7" s="184" t="n"/>
      <c r="AA7" s="185" t="n"/>
      <c r="AB7" s="186">
        <f>IF(A7="","",SUM(D7,F7,H7,J7,L7,N7,P7,R7,T7,V7,X7,Z7))</f>
        <v/>
      </c>
      <c r="AC7" s="186">
        <f>IF(A7="","",SUM(E7,G7,I7,K7,M7,O7,Q7,S7,U7,W7,Y7,AA7))</f>
        <v/>
      </c>
    </row>
    <row r="8" ht="15" customHeight="1" s="109">
      <c r="A8" s="128" t="n">
        <v>123458</v>
      </c>
      <c r="B8" s="183">
        <f>IF(A8="","",IFERROR(INDEX(Personnel!$B$5:$B$19,MATCH($A8,Personnel!$A$5:$A$19,0)),"-- not found --"))</f>
        <v/>
      </c>
      <c r="C8" s="183">
        <f>IF(A8="","",IFERROR(INDEX(Personnel!$C$5:$C$19,MATCH($A8,Personnel!$A$5:$A$19,0)),""))</f>
        <v/>
      </c>
      <c r="D8" s="184" t="n"/>
      <c r="E8" s="185" t="n"/>
      <c r="F8" s="184" t="n"/>
      <c r="G8" s="185" t="n"/>
      <c r="H8" s="184" t="n"/>
      <c r="I8" s="185" t="n"/>
      <c r="J8" s="184" t="n"/>
      <c r="K8" s="185" t="n"/>
      <c r="L8" s="184" t="n"/>
      <c r="M8" s="185" t="n"/>
      <c r="N8" s="184" t="n"/>
      <c r="O8" s="185" t="n"/>
      <c r="P8" s="184" t="n"/>
      <c r="Q8" s="185" t="n"/>
      <c r="R8" s="184" t="n"/>
      <c r="S8" s="185" t="n"/>
      <c r="T8" s="184" t="n"/>
      <c r="U8" s="185" t="n"/>
      <c r="V8" s="184" t="n"/>
      <c r="W8" s="185" t="n"/>
      <c r="X8" s="184" t="n"/>
      <c r="Y8" s="185" t="n"/>
      <c r="Z8" s="184" t="n"/>
      <c r="AA8" s="185" t="n"/>
      <c r="AB8" s="186">
        <f>IF(A8="","",SUM(D8,F8,H8,J8,L8,N8,P8,R8,T8,V8,X8,Z8))</f>
        <v/>
      </c>
      <c r="AC8" s="186">
        <f>IF(A8="","",SUM(E8,G8,I8,K8,M8,O8,Q8,S8,U8,W8,Y8,AA8))</f>
        <v/>
      </c>
    </row>
    <row r="9" ht="15" customHeight="1" s="109">
      <c r="A9" s="128" t="n"/>
      <c r="B9" s="183" t="n"/>
      <c r="C9" s="183" t="n"/>
      <c r="D9" s="184" t="n"/>
      <c r="E9" s="185" t="n"/>
      <c r="F9" s="184" t="n"/>
      <c r="G9" s="185" t="n"/>
      <c r="H9" s="184" t="n"/>
      <c r="I9" s="185" t="n"/>
      <c r="J9" s="184" t="n"/>
      <c r="K9" s="185" t="n"/>
      <c r="L9" s="184" t="n"/>
      <c r="M9" s="185" t="n"/>
      <c r="N9" s="184" t="n"/>
      <c r="O9" s="185" t="n"/>
      <c r="P9" s="184" t="n"/>
      <c r="Q9" s="185" t="n"/>
      <c r="R9" s="184" t="n"/>
      <c r="S9" s="185" t="n"/>
      <c r="T9" s="184" t="n"/>
      <c r="U9" s="185" t="n"/>
      <c r="V9" s="184" t="n"/>
      <c r="W9" s="185" t="n"/>
      <c r="X9" s="184" t="n"/>
      <c r="Y9" s="185" t="n"/>
      <c r="Z9" s="184" t="n"/>
      <c r="AA9" s="185" t="n"/>
      <c r="AB9" s="186">
        <f>IF(A9="","",SUM(D9,F9,H9,J9,L9,N9,P9,R9,T9,V9,X9,Z9))</f>
        <v/>
      </c>
      <c r="AC9" s="186">
        <f>IF(A9="","",SUM(E9,G9,I9,K9,M9,O9,Q9,S9,U9,W9,Y9,AA9))</f>
        <v/>
      </c>
    </row>
    <row r="10" ht="15" customHeight="1" s="109">
      <c r="A10" s="128" t="n"/>
      <c r="B10" s="183" t="n"/>
      <c r="C10" s="183" t="n"/>
      <c r="D10" s="184" t="n"/>
      <c r="E10" s="185" t="n"/>
      <c r="F10" s="184" t="n"/>
      <c r="G10" s="185" t="n"/>
      <c r="H10" s="184" t="n"/>
      <c r="I10" s="185" t="n"/>
      <c r="J10" s="184" t="n"/>
      <c r="K10" s="185" t="n"/>
      <c r="L10" s="184" t="n"/>
      <c r="M10" s="185" t="n"/>
      <c r="N10" s="184" t="n"/>
      <c r="O10" s="185" t="n"/>
      <c r="P10" s="184" t="n"/>
      <c r="Q10" s="185" t="n"/>
      <c r="R10" s="184" t="n"/>
      <c r="S10" s="185" t="n"/>
      <c r="T10" s="184" t="n"/>
      <c r="U10" s="185" t="n"/>
      <c r="V10" s="184" t="n"/>
      <c r="W10" s="185" t="n"/>
      <c r="X10" s="184" t="n"/>
      <c r="Y10" s="185" t="n"/>
      <c r="Z10" s="184" t="n"/>
      <c r="AA10" s="185" t="n"/>
      <c r="AB10" s="186">
        <f>IF(A10="","",SUM(D10,F10,H10,J10,L10,N10,P10,R10,T10,V10,X10,Z10))</f>
        <v/>
      </c>
      <c r="AC10" s="186">
        <f>IF(A10="","",SUM(E10,G10,I10,K10,M10,O10,Q10,S10,U10,W10,Y10,AA10))</f>
        <v/>
      </c>
    </row>
    <row r="11" ht="15" customHeight="1" s="109">
      <c r="A11" s="128" t="n"/>
      <c r="B11" s="183" t="n"/>
      <c r="C11" s="183" t="n"/>
      <c r="D11" s="184" t="n"/>
      <c r="E11" s="185" t="n"/>
      <c r="F11" s="184" t="n"/>
      <c r="G11" s="185" t="n"/>
      <c r="H11" s="184" t="n"/>
      <c r="I11" s="185" t="n"/>
      <c r="J11" s="184" t="n"/>
      <c r="K11" s="185" t="n"/>
      <c r="L11" s="184" t="n"/>
      <c r="M11" s="185" t="n"/>
      <c r="N11" s="184" t="n"/>
      <c r="O11" s="185" t="n"/>
      <c r="P11" s="184" t="n"/>
      <c r="Q11" s="185" t="n"/>
      <c r="R11" s="184" t="n"/>
      <c r="S11" s="185" t="n"/>
      <c r="T11" s="184" t="n"/>
      <c r="U11" s="185" t="n"/>
      <c r="V11" s="184" t="n"/>
      <c r="W11" s="185" t="n"/>
      <c r="X11" s="184" t="n"/>
      <c r="Y11" s="185" t="n"/>
      <c r="Z11" s="184" t="n"/>
      <c r="AA11" s="185" t="n"/>
      <c r="AB11" s="186">
        <f>IF(A11="","",SUM(D11,F11,H11,J11,L11,N11,P11,R11,T11,V11,X11,Z11))</f>
        <v/>
      </c>
      <c r="AC11" s="186">
        <f>IF(A11="","",SUM(E11,G11,I11,K11,M11,O11,Q11,S11,U11,W11,Y11,AA11))</f>
        <v/>
      </c>
    </row>
    <row r="12" ht="15" customHeight="1" s="109">
      <c r="A12" s="128" t="n"/>
      <c r="B12" s="183" t="n"/>
      <c r="C12" s="183" t="n"/>
      <c r="D12" s="184" t="n"/>
      <c r="E12" s="185" t="n"/>
      <c r="F12" s="184" t="n"/>
      <c r="G12" s="185" t="n"/>
      <c r="H12" s="184" t="n"/>
      <c r="I12" s="185" t="n"/>
      <c r="J12" s="184" t="n"/>
      <c r="K12" s="185" t="n"/>
      <c r="L12" s="184" t="n"/>
      <c r="M12" s="185" t="n"/>
      <c r="N12" s="184" t="n"/>
      <c r="O12" s="185" t="n"/>
      <c r="P12" s="184" t="n"/>
      <c r="Q12" s="185" t="n"/>
      <c r="R12" s="184" t="n"/>
      <c r="S12" s="185" t="n"/>
      <c r="T12" s="184" t="n"/>
      <c r="U12" s="185" t="n"/>
      <c r="V12" s="184" t="n"/>
      <c r="W12" s="185" t="n"/>
      <c r="X12" s="184" t="n"/>
      <c r="Y12" s="185" t="n"/>
      <c r="Z12" s="184" t="n"/>
      <c r="AA12" s="185" t="n"/>
      <c r="AB12" s="186">
        <f>IF(A12="","",SUM(D12,F12,H12,J12,L12,N12,P12,R12,T12,V12,X12,Z12))</f>
        <v/>
      </c>
      <c r="AC12" s="186">
        <f>IF(A12="","",SUM(E12,G12,I12,K12,M12,O12,Q12,S12,U12,W12,Y12,AA12))</f>
        <v/>
      </c>
    </row>
    <row r="13" ht="15" customHeight="1" s="109">
      <c r="A13" s="128" t="n"/>
      <c r="B13" s="183" t="n"/>
      <c r="C13" s="183" t="n"/>
      <c r="D13" s="184" t="n"/>
      <c r="E13" s="185" t="n"/>
      <c r="F13" s="184" t="n"/>
      <c r="G13" s="185" t="n"/>
      <c r="H13" s="184" t="n"/>
      <c r="I13" s="185" t="n"/>
      <c r="J13" s="184" t="n"/>
      <c r="K13" s="185" t="n"/>
      <c r="L13" s="184" t="n"/>
      <c r="M13" s="185" t="n"/>
      <c r="N13" s="184" t="n"/>
      <c r="O13" s="185" t="n"/>
      <c r="P13" s="184" t="n"/>
      <c r="Q13" s="185" t="n"/>
      <c r="R13" s="184" t="n"/>
      <c r="S13" s="185" t="n"/>
      <c r="T13" s="184" t="n"/>
      <c r="U13" s="185" t="n"/>
      <c r="V13" s="184" t="n"/>
      <c r="W13" s="185" t="n"/>
      <c r="X13" s="184" t="n"/>
      <c r="Y13" s="185" t="n"/>
      <c r="Z13" s="184" t="n"/>
      <c r="AA13" s="185" t="n"/>
      <c r="AB13" s="186">
        <f>IF(A13="","",SUM(D13,F13,H13,J13,L13,N13,P13,R13,T13,V13,X13,Z13))</f>
        <v/>
      </c>
      <c r="AC13" s="186">
        <f>IF(A13="","",SUM(E13,G13,I13,K13,M13,O13,Q13,S13,U13,W13,Y13,AA13))</f>
        <v/>
      </c>
    </row>
    <row r="14" ht="15" customHeight="1" s="109">
      <c r="A14" s="128" t="n"/>
      <c r="B14" s="183" t="n"/>
      <c r="C14" s="183" t="n"/>
      <c r="D14" s="184" t="n"/>
      <c r="E14" s="185" t="n"/>
      <c r="F14" s="184" t="n"/>
      <c r="G14" s="185" t="n"/>
      <c r="H14" s="184" t="n"/>
      <c r="I14" s="185" t="n"/>
      <c r="J14" s="184" t="n"/>
      <c r="K14" s="185" t="n"/>
      <c r="L14" s="184" t="n"/>
      <c r="M14" s="185" t="n"/>
      <c r="N14" s="184" t="n"/>
      <c r="O14" s="185" t="n"/>
      <c r="P14" s="184" t="n"/>
      <c r="Q14" s="185" t="n"/>
      <c r="R14" s="184" t="n"/>
      <c r="S14" s="185" t="n"/>
      <c r="T14" s="184" t="n"/>
      <c r="U14" s="185" t="n"/>
      <c r="V14" s="184" t="n"/>
      <c r="W14" s="185" t="n"/>
      <c r="X14" s="184" t="n"/>
      <c r="Y14" s="185" t="n"/>
      <c r="Z14" s="184" t="n"/>
      <c r="AA14" s="185" t="n"/>
      <c r="AB14" s="186">
        <f>IF(A14="","",SUM(D14,F14,H14,J14,L14,N14,P14,R14,T14,V14,X14,Z14))</f>
        <v/>
      </c>
      <c r="AC14" s="186">
        <f>IF(A14="","",SUM(E14,G14,I14,K14,M14,O14,Q14,S14,U14,W14,Y14,AA14))</f>
        <v/>
      </c>
    </row>
    <row r="15" ht="15" customHeight="1" s="109">
      <c r="A15" s="128" t="n"/>
      <c r="B15" s="183" t="n"/>
      <c r="C15" s="183" t="n"/>
      <c r="D15" s="184" t="n"/>
      <c r="E15" s="185" t="n"/>
      <c r="F15" s="184" t="n"/>
      <c r="G15" s="185" t="n"/>
      <c r="H15" s="184" t="n"/>
      <c r="I15" s="185" t="n"/>
      <c r="J15" s="184" t="n"/>
      <c r="K15" s="185" t="n"/>
      <c r="L15" s="184" t="n"/>
      <c r="M15" s="185" t="n"/>
      <c r="N15" s="184" t="n"/>
      <c r="O15" s="185" t="n"/>
      <c r="P15" s="184" t="n"/>
      <c r="Q15" s="185" t="n"/>
      <c r="R15" s="184" t="n"/>
      <c r="S15" s="185" t="n"/>
      <c r="T15" s="184" t="n"/>
      <c r="U15" s="185" t="n"/>
      <c r="V15" s="184" t="n"/>
      <c r="W15" s="185" t="n"/>
      <c r="X15" s="184" t="n"/>
      <c r="Y15" s="185" t="n"/>
      <c r="Z15" s="184" t="n"/>
      <c r="AA15" s="185" t="n"/>
      <c r="AB15" s="186">
        <f>IF(A15="","",SUM(D15,F15,H15,J15,L15,N15,P15,R15,T15,V15,X15,Z15))</f>
        <v/>
      </c>
      <c r="AC15" s="186">
        <f>IF(A15="","",SUM(E15,G15,I15,K15,M15,O15,Q15,S15,U15,W15,Y15,AA15))</f>
        <v/>
      </c>
    </row>
    <row r="16" ht="15" customHeight="1" s="109">
      <c r="A16" s="128" t="n"/>
      <c r="B16" s="183" t="n"/>
      <c r="C16" s="183" t="n"/>
      <c r="D16" s="184" t="n"/>
      <c r="E16" s="185" t="n"/>
      <c r="F16" s="184" t="n"/>
      <c r="G16" s="185" t="n"/>
      <c r="H16" s="184" t="n"/>
      <c r="I16" s="185" t="n"/>
      <c r="J16" s="184" t="n"/>
      <c r="K16" s="185" t="n"/>
      <c r="L16" s="184" t="n"/>
      <c r="M16" s="185" t="n"/>
      <c r="N16" s="184" t="n"/>
      <c r="O16" s="185" t="n"/>
      <c r="P16" s="184" t="n"/>
      <c r="Q16" s="185" t="n"/>
      <c r="R16" s="184" t="n"/>
      <c r="S16" s="185" t="n"/>
      <c r="T16" s="184" t="n"/>
      <c r="U16" s="185" t="n"/>
      <c r="V16" s="184" t="n"/>
      <c r="W16" s="185" t="n"/>
      <c r="X16" s="184" t="n"/>
      <c r="Y16" s="185" t="n"/>
      <c r="Z16" s="184" t="n"/>
      <c r="AA16" s="185" t="n"/>
      <c r="AB16" s="186">
        <f>IF(A16="","",SUM(D16,F16,H16,J16,L16,N16,P16,R16,T16,V16,X16,Z16))</f>
        <v/>
      </c>
      <c r="AC16" s="186">
        <f>IF(A16="","",SUM(E16,G16,I16,K16,M16,O16,Q16,S16,U16,W16,Y16,AA16))</f>
        <v/>
      </c>
    </row>
    <row r="17" ht="15" customHeight="1" s="109">
      <c r="A17" s="128" t="n"/>
      <c r="B17" s="183" t="n"/>
      <c r="C17" s="183" t="n"/>
      <c r="D17" s="184" t="n"/>
      <c r="E17" s="185" t="n"/>
      <c r="F17" s="184" t="n"/>
      <c r="G17" s="185" t="n"/>
      <c r="H17" s="184" t="n"/>
      <c r="I17" s="185" t="n"/>
      <c r="J17" s="184" t="n"/>
      <c r="K17" s="185" t="n"/>
      <c r="L17" s="184" t="n"/>
      <c r="M17" s="185" t="n"/>
      <c r="N17" s="184" t="n"/>
      <c r="O17" s="185" t="n"/>
      <c r="P17" s="184" t="n"/>
      <c r="Q17" s="185" t="n"/>
      <c r="R17" s="184" t="n"/>
      <c r="S17" s="185" t="n"/>
      <c r="T17" s="184" t="n"/>
      <c r="U17" s="185" t="n"/>
      <c r="V17" s="184" t="n"/>
      <c r="W17" s="185" t="n"/>
      <c r="X17" s="184" t="n"/>
      <c r="Y17" s="185" t="n"/>
      <c r="Z17" s="184" t="n"/>
      <c r="AA17" s="185" t="n"/>
      <c r="AB17" s="186">
        <f>IF(A17="","",SUM(D17,F17,H17,J17,L17,N17,P17,R17,T17,V17,X17,Z17))</f>
        <v/>
      </c>
      <c r="AC17" s="186">
        <f>IF(A17="","",SUM(E17,G17,I17,K17,M17,O17,Q17,S17,U17,W17,Y17,AA17))</f>
        <v/>
      </c>
    </row>
    <row r="18" ht="15" customHeight="1" s="109">
      <c r="A18" s="128" t="n"/>
      <c r="B18" s="183" t="n"/>
      <c r="C18" s="183" t="n"/>
      <c r="D18" s="184" t="n"/>
      <c r="E18" s="185" t="n"/>
      <c r="F18" s="184" t="n"/>
      <c r="G18" s="185" t="n"/>
      <c r="H18" s="184" t="n"/>
      <c r="I18" s="185" t="n"/>
      <c r="J18" s="184" t="n"/>
      <c r="K18" s="185" t="n"/>
      <c r="L18" s="184" t="n"/>
      <c r="M18" s="185" t="n"/>
      <c r="N18" s="184" t="n"/>
      <c r="O18" s="185" t="n"/>
      <c r="P18" s="184" t="n"/>
      <c r="Q18" s="185" t="n"/>
      <c r="R18" s="184" t="n"/>
      <c r="S18" s="185" t="n"/>
      <c r="T18" s="184" t="n"/>
      <c r="U18" s="185" t="n"/>
      <c r="V18" s="184" t="n"/>
      <c r="W18" s="185" t="n"/>
      <c r="X18" s="184" t="n"/>
      <c r="Y18" s="185" t="n"/>
      <c r="Z18" s="184" t="n"/>
      <c r="AA18" s="185" t="n"/>
      <c r="AB18" s="186">
        <f>IF(A18="","",SUM(D18,F18,H18,J18,L18,N18,P18,R18,T18,V18,X18,Z18))</f>
        <v/>
      </c>
      <c r="AC18" s="186">
        <f>IF(A18="","",SUM(E18,G18,I18,K18,M18,O18,Q18,S18,U18,W18,Y18,AA18))</f>
        <v/>
      </c>
    </row>
    <row r="19" ht="15" customHeight="1" s="109">
      <c r="A19" s="128" t="n"/>
      <c r="B19" s="183" t="n"/>
      <c r="C19" s="183" t="n"/>
      <c r="D19" s="184" t="n"/>
      <c r="E19" s="185" t="n"/>
      <c r="F19" s="184" t="n"/>
      <c r="G19" s="185" t="n"/>
      <c r="H19" s="184" t="n"/>
      <c r="I19" s="185" t="n"/>
      <c r="J19" s="184" t="n"/>
      <c r="K19" s="185" t="n"/>
      <c r="L19" s="184" t="n"/>
      <c r="M19" s="185" t="n"/>
      <c r="N19" s="184" t="n"/>
      <c r="O19" s="185" t="n"/>
      <c r="P19" s="184" t="n"/>
      <c r="Q19" s="185" t="n"/>
      <c r="R19" s="184" t="n"/>
      <c r="S19" s="185" t="n"/>
      <c r="T19" s="184" t="n"/>
      <c r="U19" s="185" t="n"/>
      <c r="V19" s="184" t="n"/>
      <c r="W19" s="185" t="n"/>
      <c r="X19" s="184" t="n"/>
      <c r="Y19" s="185" t="n"/>
      <c r="Z19" s="184" t="n"/>
      <c r="AA19" s="185" t="n"/>
      <c r="AB19" s="186">
        <f>IF(A19="","",SUM(D19,F19,H19,J19,L19,N19,P19,R19,T19,V19,X19,Z19))</f>
        <v/>
      </c>
      <c r="AC19" s="186">
        <f>IF(A19="","",SUM(E19,G19,I19,K19,M19,O19,Q19,S19,U19,W19,Y19,AA19))</f>
        <v/>
      </c>
    </row>
    <row r="20" ht="15" customHeight="1" s="109">
      <c r="A20" s="128" t="n"/>
      <c r="B20" s="183" t="n"/>
      <c r="C20" s="183" t="n"/>
      <c r="D20" s="184" t="n"/>
      <c r="E20" s="185" t="n"/>
      <c r="F20" s="184" t="n"/>
      <c r="G20" s="185" t="n"/>
      <c r="H20" s="184" t="n"/>
      <c r="I20" s="185" t="n"/>
      <c r="J20" s="184" t="n"/>
      <c r="K20" s="185" t="n"/>
      <c r="L20" s="184" t="n"/>
      <c r="M20" s="185" t="n"/>
      <c r="N20" s="184" t="n"/>
      <c r="O20" s="185" t="n"/>
      <c r="P20" s="184" t="n"/>
      <c r="Q20" s="185" t="n"/>
      <c r="R20" s="184" t="n"/>
      <c r="S20" s="185" t="n"/>
      <c r="T20" s="184" t="n"/>
      <c r="U20" s="185" t="n"/>
      <c r="V20" s="184" t="n"/>
      <c r="W20" s="185" t="n"/>
      <c r="X20" s="184" t="n"/>
      <c r="Y20" s="185" t="n"/>
      <c r="Z20" s="184" t="n"/>
      <c r="AA20" s="185" t="n"/>
      <c r="AB20" s="186">
        <f>IF(A20="","",SUM(D20,F20,H20,J20,L20,N20,P20,R20,T20,V20,X20,Z20))</f>
        <v/>
      </c>
      <c r="AC20" s="186">
        <f>IF(A20="","",SUM(E20,G20,I20,K20,M20,O20,Q20,S20,U20,W20,Y20,AA20))</f>
        <v/>
      </c>
    </row>
    <row r="22">
      <c r="A22" s="117" t="inlineStr">
        <is>
          <t>Acqlerate  ·  DoD Acquisition Training  ·  acqlerate.com</t>
        </is>
      </c>
    </row>
  </sheetData>
  <mergeCells count="18">
    <mergeCell ref="F4:G4"/>
    <mergeCell ref="P4:Q4"/>
    <mergeCell ref="J4:K4"/>
    <mergeCell ref="V4:W4"/>
    <mergeCell ref="X4:Y4"/>
    <mergeCell ref="B4:B5"/>
    <mergeCell ref="A3:AA3"/>
    <mergeCell ref="L4:M4"/>
    <mergeCell ref="C4:C5"/>
    <mergeCell ref="A4:A5"/>
    <mergeCell ref="Z4:AA4"/>
    <mergeCell ref="AB4:AB5"/>
    <mergeCell ref="AC4:AC5"/>
    <mergeCell ref="D4:E4"/>
    <mergeCell ref="H4:I4"/>
    <mergeCell ref="R4:S4"/>
    <mergeCell ref="N4:O4"/>
    <mergeCell ref="T4:U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FF0F6E56"/>
    <outlinePr summaryBelow="1" summaryRight="1"/>
    <pageSetUpPr/>
  </sheetPr>
  <dimension ref="A1:BG44"/>
  <sheetViews>
    <sheetView showGridLines="0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style="109" min="1" max="1"/>
    <col width="17" customWidth="1" style="109" min="2" max="2"/>
    <col width="22" customWidth="1" style="109" min="3" max="3"/>
    <col width="11" customWidth="1" style="109" min="4" max="4"/>
    <col width="10" customWidth="1" style="109" min="5" max="5"/>
    <col width="13" customWidth="1" style="109" min="6" max="6"/>
    <col width="13" customWidth="1" style="109" min="7" max="7"/>
    <col width="11" customWidth="1" style="109" min="8" max="8"/>
    <col width="11" customWidth="1" style="109" min="9" max="9"/>
    <col width="13" customWidth="1" style="109" min="10" max="10"/>
    <col width="10" customWidth="1" style="109" min="11" max="11"/>
    <col width="8" customWidth="1" style="109" min="12" max="12"/>
    <col width="10" customWidth="1" style="109" min="13" max="13"/>
    <col width="7" customWidth="1" style="109" min="14" max="14"/>
    <col width="10" customWidth="1" style="109" min="15" max="15"/>
    <col width="8" customWidth="1" style="109" min="16" max="16"/>
    <col width="10" customWidth="1" style="109" min="17" max="17"/>
    <col width="7" customWidth="1" style="109" min="18" max="18"/>
    <col width="10" customWidth="1" style="109" min="19" max="19"/>
    <col width="8" customWidth="1" style="109" min="20" max="20"/>
    <col width="10" customWidth="1" style="109" min="21" max="21"/>
    <col width="7" customWidth="1" style="109" min="22" max="22"/>
    <col width="10" customWidth="1" style="109" min="23" max="23"/>
    <col width="8" customWidth="1" style="109" min="24" max="24"/>
    <col width="10" customWidth="1" style="109" min="25" max="25"/>
    <col width="7" customWidth="1" style="109" min="26" max="26"/>
    <col width="10" customWidth="1" style="109" min="27" max="27"/>
    <col width="8" customWidth="1" style="109" min="28" max="28"/>
    <col width="10" customWidth="1" style="109" min="29" max="29"/>
    <col width="7" customWidth="1" style="109" min="30" max="30"/>
    <col width="10" customWidth="1" style="109" min="31" max="31"/>
    <col width="8" customWidth="1" style="109" min="32" max="32"/>
    <col width="10" customWidth="1" style="109" min="33" max="33"/>
    <col width="7" customWidth="1" style="109" min="34" max="34"/>
    <col width="10" customWidth="1" style="109" min="35" max="35"/>
    <col width="8" customWidth="1" style="109" min="36" max="36"/>
    <col width="10" customWidth="1" style="109" min="37" max="37"/>
    <col width="7" customWidth="1" style="109" min="38" max="38"/>
    <col width="10" customWidth="1" style="109" min="39" max="39"/>
    <col width="8" customWidth="1" style="109" min="40" max="40"/>
    <col width="10" customWidth="1" style="109" min="41" max="41"/>
    <col width="7" customWidth="1" style="109" min="42" max="42"/>
    <col width="10" customWidth="1" style="109" min="43" max="43"/>
    <col width="8" customWidth="1" style="109" min="44" max="44"/>
    <col width="10" customWidth="1" style="109" min="45" max="45"/>
    <col width="7" customWidth="1" style="109" min="46" max="46"/>
    <col width="10" customWidth="1" style="109" min="47" max="47"/>
    <col width="8" customWidth="1" style="109" min="48" max="48"/>
    <col width="10" customWidth="1" style="109" min="49" max="49"/>
    <col width="7" customWidth="1" style="109" min="50" max="50"/>
    <col width="10" customWidth="1" style="109" min="51" max="51"/>
    <col width="8" customWidth="1" style="109" min="52" max="52"/>
    <col width="10" customWidth="1" style="109" min="53" max="53"/>
    <col width="7" customWidth="1" style="109" min="54" max="54"/>
    <col width="10" customWidth="1" style="109" min="55" max="55"/>
    <col width="11" customWidth="1" style="109" min="56" max="56"/>
    <col width="12" customWidth="1" style="109" min="57" max="57"/>
    <col width="13" customWidth="1" style="109" min="58" max="58"/>
    <col width="14" customWidth="1" style="109" min="59" max="59"/>
  </cols>
  <sheetData>
    <row r="1" ht="21.75" customHeight="1" s="109">
      <c r="B1" s="121" t="inlineStr">
        <is>
          <t>Labor</t>
        </is>
      </c>
      <c r="BG1" s="122" t="inlineStr">
        <is>
          <t>Acqlerate  ·  acqlerate.com</t>
        </is>
      </c>
    </row>
    <row r="3" ht="15" customHeight="1" s="109">
      <c r="A3" s="117" t="inlineStr">
        <is>
          <t>One row per person PER PROJECT. If someone splits time across projects (or PMO), give them one row per project — same Employee #, different Project. Max Hrs = prorated standard capacity for that month. OT Hrs grays out for Exempt people and Subs.</t>
        </is>
      </c>
    </row>
    <row r="4" ht="25.5" customHeight="1" s="109">
      <c r="A4" s="126" t="inlineStr">
        <is>
          <t>Employee #</t>
        </is>
      </c>
      <c r="B4" s="126" t="inlineStr">
        <is>
          <t>Employee
Name</t>
        </is>
      </c>
      <c r="C4" s="126" t="inlineStr">
        <is>
          <t>LCAT</t>
        </is>
      </c>
      <c r="D4" s="126" t="inlineStr">
        <is>
          <t>Hourly
Rate $</t>
        </is>
      </c>
      <c r="E4" s="126" t="inlineStr">
        <is>
          <t>Prime /
Sub</t>
        </is>
      </c>
      <c r="F4" s="126" t="inlineStr">
        <is>
          <t>Employee
Type</t>
        </is>
      </c>
      <c r="G4" s="126" t="inlineStr">
        <is>
          <t>Project /
PMO</t>
        </is>
      </c>
      <c r="H4" s="179" t="inlineStr">
        <is>
          <t>Jan</t>
        </is>
      </c>
      <c r="I4" s="187" t="n"/>
      <c r="J4" s="187" t="n"/>
      <c r="K4" s="180" t="n"/>
      <c r="L4" s="179" t="inlineStr">
        <is>
          <t>Feb</t>
        </is>
      </c>
      <c r="M4" s="187" t="n"/>
      <c r="N4" s="187" t="n"/>
      <c r="O4" s="180" t="n"/>
      <c r="P4" s="179" t="inlineStr">
        <is>
          <t>Mar</t>
        </is>
      </c>
      <c r="Q4" s="187" t="n"/>
      <c r="R4" s="187" t="n"/>
      <c r="S4" s="180" t="n"/>
      <c r="T4" s="179" t="inlineStr">
        <is>
          <t>Apr</t>
        </is>
      </c>
      <c r="U4" s="187" t="n"/>
      <c r="V4" s="187" t="n"/>
      <c r="W4" s="180" t="n"/>
      <c r="X4" s="179" t="inlineStr">
        <is>
          <t>May</t>
        </is>
      </c>
      <c r="Y4" s="187" t="n"/>
      <c r="Z4" s="187" t="n"/>
      <c r="AA4" s="180" t="n"/>
      <c r="AB4" s="179" t="inlineStr">
        <is>
          <t>Jun</t>
        </is>
      </c>
      <c r="AC4" s="187" t="n"/>
      <c r="AD4" s="187" t="n"/>
      <c r="AE4" s="180" t="n"/>
      <c r="AF4" s="179" t="inlineStr">
        <is>
          <t>Jul</t>
        </is>
      </c>
      <c r="AG4" s="187" t="n"/>
      <c r="AH4" s="187" t="n"/>
      <c r="AI4" s="180" t="n"/>
      <c r="AJ4" s="179" t="inlineStr">
        <is>
          <t>Aug</t>
        </is>
      </c>
      <c r="AK4" s="187" t="n"/>
      <c r="AL4" s="187" t="n"/>
      <c r="AM4" s="180" t="n"/>
      <c r="AN4" s="179" t="inlineStr">
        <is>
          <t>Sep</t>
        </is>
      </c>
      <c r="AO4" s="187" t="n"/>
      <c r="AP4" s="187" t="n"/>
      <c r="AQ4" s="180" t="n"/>
      <c r="AR4" s="179" t="inlineStr">
        <is>
          <t>Oct</t>
        </is>
      </c>
      <c r="AS4" s="187" t="n"/>
      <c r="AT4" s="187" t="n"/>
      <c r="AU4" s="180" t="n"/>
      <c r="AV4" s="179" t="inlineStr">
        <is>
          <t>Nov</t>
        </is>
      </c>
      <c r="AW4" s="187" t="n"/>
      <c r="AX4" s="187" t="n"/>
      <c r="AY4" s="180" t="n"/>
      <c r="AZ4" s="179" t="inlineStr">
        <is>
          <t>Dec</t>
        </is>
      </c>
      <c r="BA4" s="187" t="n"/>
      <c r="BB4" s="187" t="n"/>
      <c r="BC4" s="180" t="n"/>
      <c r="BD4" s="126" t="inlineStr">
        <is>
          <t>Yearly Max
Hours</t>
        </is>
      </c>
      <c r="BE4" s="126" t="inlineStr">
        <is>
          <t>Yearly Recorded
Hours</t>
        </is>
      </c>
      <c r="BF4" s="126" t="inlineStr">
        <is>
          <t>Max Cost
(unburdened)</t>
        </is>
      </c>
      <c r="BG4" s="126" t="inlineStr">
        <is>
          <t>Recorded Cost
(unburdened)</t>
        </is>
      </c>
    </row>
    <row r="5" ht="30" customHeight="1" s="109">
      <c r="A5" s="181" t="n"/>
      <c r="B5" s="181" t="n"/>
      <c r="C5" s="181" t="n"/>
      <c r="D5" s="181" t="n"/>
      <c r="E5" s="181" t="n"/>
      <c r="F5" s="181" t="n"/>
      <c r="G5" s="181" t="n"/>
      <c r="H5" s="137" t="inlineStr">
        <is>
          <t>Max
Hrs</t>
        </is>
      </c>
      <c r="I5" s="137" t="inlineStr">
        <is>
          <t>Recorded
Hrs</t>
        </is>
      </c>
      <c r="J5" s="137" t="inlineStr">
        <is>
          <t>OT
Hrs</t>
        </is>
      </c>
      <c r="K5" s="182" t="inlineStr">
        <is>
          <t>Unburdened
$</t>
        </is>
      </c>
      <c r="L5" s="137" t="inlineStr">
        <is>
          <t>Max
Hrs</t>
        </is>
      </c>
      <c r="M5" s="137" t="inlineStr">
        <is>
          <t>Recorded
Hrs</t>
        </is>
      </c>
      <c r="N5" s="137" t="inlineStr">
        <is>
          <t>OT
Hrs</t>
        </is>
      </c>
      <c r="O5" s="182" t="inlineStr">
        <is>
          <t>Unburdened
$</t>
        </is>
      </c>
      <c r="P5" s="137" t="inlineStr">
        <is>
          <t>Max
Hrs</t>
        </is>
      </c>
      <c r="Q5" s="137" t="inlineStr">
        <is>
          <t>Recorded
Hrs</t>
        </is>
      </c>
      <c r="R5" s="137" t="inlineStr">
        <is>
          <t>OT
Hrs</t>
        </is>
      </c>
      <c r="S5" s="182" t="inlineStr">
        <is>
          <t>Unburdened
$</t>
        </is>
      </c>
      <c r="T5" s="137" t="inlineStr">
        <is>
          <t>Max
Hrs</t>
        </is>
      </c>
      <c r="U5" s="137" t="inlineStr">
        <is>
          <t>Recorded
Hrs</t>
        </is>
      </c>
      <c r="V5" s="137" t="inlineStr">
        <is>
          <t>OT
Hrs</t>
        </is>
      </c>
      <c r="W5" s="182" t="inlineStr">
        <is>
          <t>Unburdened
$</t>
        </is>
      </c>
      <c r="X5" s="137" t="inlineStr">
        <is>
          <t>Max
Hrs</t>
        </is>
      </c>
      <c r="Y5" s="137" t="inlineStr">
        <is>
          <t>Recorded
Hrs</t>
        </is>
      </c>
      <c r="Z5" s="137" t="inlineStr">
        <is>
          <t>OT
Hrs</t>
        </is>
      </c>
      <c r="AA5" s="182" t="inlineStr">
        <is>
          <t>Unburdened
$</t>
        </is>
      </c>
      <c r="AB5" s="137" t="inlineStr">
        <is>
          <t>Max
Hrs</t>
        </is>
      </c>
      <c r="AC5" s="137" t="inlineStr">
        <is>
          <t>Recorded
Hrs</t>
        </is>
      </c>
      <c r="AD5" s="137" t="inlineStr">
        <is>
          <t>OT
Hrs</t>
        </is>
      </c>
      <c r="AE5" s="182" t="inlineStr">
        <is>
          <t>Unburdened
$</t>
        </is>
      </c>
      <c r="AF5" s="137" t="inlineStr">
        <is>
          <t>Max
Hrs</t>
        </is>
      </c>
      <c r="AG5" s="137" t="inlineStr">
        <is>
          <t>Recorded
Hrs</t>
        </is>
      </c>
      <c r="AH5" s="137" t="inlineStr">
        <is>
          <t>OT
Hrs</t>
        </is>
      </c>
      <c r="AI5" s="182" t="inlineStr">
        <is>
          <t>Unburdened
$</t>
        </is>
      </c>
      <c r="AJ5" s="137" t="inlineStr">
        <is>
          <t>Max
Hrs</t>
        </is>
      </c>
      <c r="AK5" s="137" t="inlineStr">
        <is>
          <t>Recorded
Hrs</t>
        </is>
      </c>
      <c r="AL5" s="137" t="inlineStr">
        <is>
          <t>OT
Hrs</t>
        </is>
      </c>
      <c r="AM5" s="182" t="inlineStr">
        <is>
          <t>Unburdened
$</t>
        </is>
      </c>
      <c r="AN5" s="137" t="inlineStr">
        <is>
          <t>Max
Hrs</t>
        </is>
      </c>
      <c r="AO5" s="137" t="inlineStr">
        <is>
          <t>Recorded
Hrs</t>
        </is>
      </c>
      <c r="AP5" s="137" t="inlineStr">
        <is>
          <t>OT
Hrs</t>
        </is>
      </c>
      <c r="AQ5" s="182" t="inlineStr">
        <is>
          <t>Unburdened
$</t>
        </is>
      </c>
      <c r="AR5" s="137" t="inlineStr">
        <is>
          <t>Max
Hrs</t>
        </is>
      </c>
      <c r="AS5" s="137" t="inlineStr">
        <is>
          <t>Recorded
Hrs</t>
        </is>
      </c>
      <c r="AT5" s="137" t="inlineStr">
        <is>
          <t>OT
Hrs</t>
        </is>
      </c>
      <c r="AU5" s="182" t="inlineStr">
        <is>
          <t>Unburdened
$</t>
        </is>
      </c>
      <c r="AV5" s="137" t="inlineStr">
        <is>
          <t>Max
Hrs</t>
        </is>
      </c>
      <c r="AW5" s="137" t="inlineStr">
        <is>
          <t>Recorded
Hrs</t>
        </is>
      </c>
      <c r="AX5" s="137" t="inlineStr">
        <is>
          <t>OT
Hrs</t>
        </is>
      </c>
      <c r="AY5" s="182" t="inlineStr">
        <is>
          <t>Unburdened
$</t>
        </is>
      </c>
      <c r="AZ5" s="137" t="inlineStr">
        <is>
          <t>Max
Hrs</t>
        </is>
      </c>
      <c r="BA5" s="137" t="inlineStr">
        <is>
          <t>Recorded
Hrs</t>
        </is>
      </c>
      <c r="BB5" s="137" t="inlineStr">
        <is>
          <t>OT
Hrs</t>
        </is>
      </c>
      <c r="BC5" s="182" t="inlineStr">
        <is>
          <t>Unburdened
$</t>
        </is>
      </c>
      <c r="BD5" s="181" t="n"/>
      <c r="BE5" s="181" t="n"/>
      <c r="BF5" s="181" t="n"/>
      <c r="BG5" s="181" t="n"/>
    </row>
    <row r="6" ht="15" customHeight="1" s="109">
      <c r="A6" s="128" t="n">
        <v>123456</v>
      </c>
      <c r="B6" s="183">
        <f>IF(A6="","",IFERROR(INDEX(Personnel!$B$5:$B$19,MATCH($A6,Personnel!$A$5:$A$19,0)),"-- not found --"))</f>
        <v/>
      </c>
      <c r="C6" s="183">
        <f>IF(A6="","",IFERROR(INDEX(Personnel!$C$5:$C$19,MATCH($A6,Personnel!$A$5:$A$19,0)),""))</f>
        <v/>
      </c>
      <c r="D6" s="183">
        <f>IF(A6="","",IFERROR(INDEX(Personnel!$H$5:$H$19,MATCH($A6,Personnel!$A$5:$A$19,0)),""))</f>
        <v/>
      </c>
      <c r="E6" s="128" t="inlineStr">
        <is>
          <t>Prime</t>
        </is>
      </c>
      <c r="F6" s="183">
        <f>IF(A6="","",IFERROR(INDEX(Personnel!$D$5:$D$19,MATCH($A6,Personnel!$A$5:$A$19,0)),""))</f>
        <v/>
      </c>
      <c r="G6" s="128" t="inlineStr">
        <is>
          <t>PMO</t>
        </is>
      </c>
      <c r="H6" s="188">
        <f>IFERROR(IF(A6="","",MAX(0,(INDEX(Personnel!$G$5:$G$19,MATCH($A6,Personnel!$A$5:$A$19,0))/12)*((MIN(EOMONTH(EDATE(Dashboard!$C$5,0),0),IF(INDEX(Personnel!$K$5:$K$19,MATCH($A6,Personnel!$A$5:$A$19,0))="",EOMONTH(EDATE(Dashboard!$C$5,0),0),INDEX(Personnel!$K$5:$K$19,MATCH($A6,Personnel!$A$5:$A$19,0))))-MAX(DATE(YEAR(EDATE(Dashboard!$C$5,0)),MONTH(EDATE(Dashboard!$C$5,0)),1),INDEX(Personnel!$J$5:$J$19,MATCH($A6,Personnel!$A$5:$A$19,0)))+1)/DAY(EOMONTH(EDATE(Dashboard!$C$5,0),0))))),"")</f>
        <v/>
      </c>
      <c r="I6" s="189" t="n"/>
      <c r="J6" s="189" t="n"/>
      <c r="K6" s="190">
        <f>IF(A6="","",I6*$D6+IF(OR($F6="Exempt",$E6="Sub"),0,J6*$D6*1.5))</f>
        <v/>
      </c>
      <c r="L6" s="188">
        <f>IFERROR(IF(A6="","",MAX(0,(INDEX(Personnel!$G$5:$G$19,MATCH($A6,Personnel!$A$5:$A$19,0))/12)*((MIN(EOMONTH(EDATE(Dashboard!$C$5,1),0),IF(INDEX(Personnel!$K$5:$K$19,MATCH($A6,Personnel!$A$5:$A$19,0))="",EOMONTH(EDATE(Dashboard!$C$5,1),0),INDEX(Personnel!$K$5:$K$19,MATCH($A6,Personnel!$A$5:$A$19,0))))-MAX(DATE(YEAR(EDATE(Dashboard!$C$5,1)),MONTH(EDATE(Dashboard!$C$5,1)),1),INDEX(Personnel!$J$5:$J$19,MATCH($A6,Personnel!$A$5:$A$19,0)))+1)/DAY(EOMONTH(EDATE(Dashboard!$C$5,1),0))))),"")</f>
        <v/>
      </c>
      <c r="M6" s="189" t="n"/>
      <c r="N6" s="189" t="n"/>
      <c r="O6" s="190">
        <f>IF(A6="","",M6*$D6+IF(OR($F6="Exempt",$E6="Sub"),0,N6*$D6*1.5))</f>
        <v/>
      </c>
      <c r="P6" s="188">
        <f>IFERROR(IF(A6="","",MAX(0,(INDEX(Personnel!$G$5:$G$19,MATCH($A6,Personnel!$A$5:$A$19,0))/12)*((MIN(EOMONTH(EDATE(Dashboard!$C$5,2),0),IF(INDEX(Personnel!$K$5:$K$19,MATCH($A6,Personnel!$A$5:$A$19,0))="",EOMONTH(EDATE(Dashboard!$C$5,2),0),INDEX(Personnel!$K$5:$K$19,MATCH($A6,Personnel!$A$5:$A$19,0))))-MAX(DATE(YEAR(EDATE(Dashboard!$C$5,2)),MONTH(EDATE(Dashboard!$C$5,2)),1),INDEX(Personnel!$J$5:$J$19,MATCH($A6,Personnel!$A$5:$A$19,0)))+1)/DAY(EOMONTH(EDATE(Dashboard!$C$5,2),0))))),"")</f>
        <v/>
      </c>
      <c r="Q6" s="189" t="n"/>
      <c r="R6" s="189" t="n"/>
      <c r="S6" s="190">
        <f>IF(A6="","",Q6*$D6+IF(OR($F6="Exempt",$E6="Sub"),0,R6*$D6*1.5))</f>
        <v/>
      </c>
      <c r="T6" s="191">
        <f>IFERROR(IF(A6="","",MAX(0,(INDEX(Personnel!$G$5:$G$19,MATCH($A6,Personnel!$A$5:$A$19,0))/12)*((MIN(EOMONTH(EDATE(Dashboard!$C$5,3),0),IF(INDEX(Personnel!$K$5:$K$19,MATCH($A6,Personnel!$A$5:$A$19,0))="",EOMONTH(EDATE(Dashboard!$C$5,3),0),INDEX(Personnel!$K$5:$K$19,MATCH($A6,Personnel!$A$5:$A$19,0))))-MAX(DATE(YEAR(EDATE(Dashboard!$C$5,3)),MONTH(EDATE(Dashboard!$C$5,3)),1),INDEX(Personnel!$J$5:$J$19,MATCH($A6,Personnel!$A$5:$A$19,0)))+1)/DAY(EOMONTH(EDATE(Dashboard!$C$5,3),0))))),"")</f>
        <v/>
      </c>
      <c r="U6" s="192" t="n"/>
      <c r="V6" s="192" t="n"/>
      <c r="W6" s="193">
        <f>IF(A6="","",U6*$D6+IF(OR($F6="Exempt",$E6="Sub"),0,V6*$D6*1.5))</f>
        <v/>
      </c>
      <c r="X6" s="191">
        <f>IFERROR(IF(A6="","",MAX(0,(INDEX(Personnel!$G$5:$G$19,MATCH($A6,Personnel!$A$5:$A$19,0))/12)*((MIN(EOMONTH(EDATE(Dashboard!$C$5,4),0),IF(INDEX(Personnel!$K$5:$K$19,MATCH($A6,Personnel!$A$5:$A$19,0))="",EOMONTH(EDATE(Dashboard!$C$5,4),0),INDEX(Personnel!$K$5:$K$19,MATCH($A6,Personnel!$A$5:$A$19,0))))-MAX(DATE(YEAR(EDATE(Dashboard!$C$5,4)),MONTH(EDATE(Dashboard!$C$5,4)),1),INDEX(Personnel!$J$5:$J$19,MATCH($A6,Personnel!$A$5:$A$19,0)))+1)/DAY(EOMONTH(EDATE(Dashboard!$C$5,4),0))))),"")</f>
        <v/>
      </c>
      <c r="Y6" s="192" t="n"/>
      <c r="Z6" s="192" t="n"/>
      <c r="AA6" s="193">
        <f>IF(A6="","",Y6*$D6+IF(OR($F6="Exempt",$E6="Sub"),0,Z6*$D6*1.5))</f>
        <v/>
      </c>
      <c r="AB6" s="191">
        <f>IFERROR(IF(A6="","",MAX(0,(INDEX(Personnel!$G$5:$G$19,MATCH($A6,Personnel!$A$5:$A$19,0))/12)*((MIN(EOMONTH(EDATE(Dashboard!$C$5,5),0),IF(INDEX(Personnel!$K$5:$K$19,MATCH($A6,Personnel!$A$5:$A$19,0))="",EOMONTH(EDATE(Dashboard!$C$5,5),0),INDEX(Personnel!$K$5:$K$19,MATCH($A6,Personnel!$A$5:$A$19,0))))-MAX(DATE(YEAR(EDATE(Dashboard!$C$5,5)),MONTH(EDATE(Dashboard!$C$5,5)),1),INDEX(Personnel!$J$5:$J$19,MATCH($A6,Personnel!$A$5:$A$19,0)))+1)/DAY(EOMONTH(EDATE(Dashboard!$C$5,5),0))))),"")</f>
        <v/>
      </c>
      <c r="AC6" s="192" t="n"/>
      <c r="AD6" s="192" t="n"/>
      <c r="AE6" s="193">
        <f>IF(A6="","",AC6*$D6+IF(OR($F6="Exempt",$E6="Sub"),0,AD6*$D6*1.5))</f>
        <v/>
      </c>
      <c r="AF6" s="194">
        <f>IFERROR(IF(A6="","",MAX(0,(INDEX(Personnel!$G$5:$G$19,MATCH($A6,Personnel!$A$5:$A$19,0))/12)*((MIN(EOMONTH(EDATE(Dashboard!$C$5,6),0),IF(INDEX(Personnel!$K$5:$K$19,MATCH($A6,Personnel!$A$5:$A$19,0))="",EOMONTH(EDATE(Dashboard!$C$5,6),0),INDEX(Personnel!$K$5:$K$19,MATCH($A6,Personnel!$A$5:$A$19,0))))-MAX(DATE(YEAR(EDATE(Dashboard!$C$5,6)),MONTH(EDATE(Dashboard!$C$5,6)),1),INDEX(Personnel!$J$5:$J$19,MATCH($A6,Personnel!$A$5:$A$19,0)))+1)/DAY(EOMONTH(EDATE(Dashboard!$C$5,6),0))))),"")</f>
        <v/>
      </c>
      <c r="AG6" s="195" t="n">
        <v>60</v>
      </c>
      <c r="AH6" s="195" t="n"/>
      <c r="AI6" s="196">
        <f>IF(A6="","",AG6*$D6+IF(OR($F6="Exempt",$E6="Sub"),0,AH6*$D6*1.5))</f>
        <v/>
      </c>
      <c r="AJ6" s="194">
        <f>IFERROR(IF(A6="","",MAX(0,(INDEX(Personnel!$G$5:$G$19,MATCH($A6,Personnel!$A$5:$A$19,0))/12)*((MIN(EOMONTH(EDATE(Dashboard!$C$5,7),0),IF(INDEX(Personnel!$K$5:$K$19,MATCH($A6,Personnel!$A$5:$A$19,0))="",EOMONTH(EDATE(Dashboard!$C$5,7),0),INDEX(Personnel!$K$5:$K$19,MATCH($A6,Personnel!$A$5:$A$19,0))))-MAX(DATE(YEAR(EDATE(Dashboard!$C$5,7)),MONTH(EDATE(Dashboard!$C$5,7)),1),INDEX(Personnel!$J$5:$J$19,MATCH($A6,Personnel!$A$5:$A$19,0)))+1)/DAY(EOMONTH(EDATE(Dashboard!$C$5,7),0))))),"")</f>
        <v/>
      </c>
      <c r="AK6" s="195" t="n"/>
      <c r="AL6" s="195" t="n"/>
      <c r="AM6" s="196">
        <f>IF(A6="","",AK6*$D6+IF(OR($F6="Exempt",$E6="Sub"),0,AL6*$D6*1.5))</f>
        <v/>
      </c>
      <c r="AN6" s="194">
        <f>IFERROR(IF(A6="","",MAX(0,(INDEX(Personnel!$G$5:$G$19,MATCH($A6,Personnel!$A$5:$A$19,0))/12)*((MIN(EOMONTH(EDATE(Dashboard!$C$5,8),0),IF(INDEX(Personnel!$K$5:$K$19,MATCH($A6,Personnel!$A$5:$A$19,0))="",EOMONTH(EDATE(Dashboard!$C$5,8),0),INDEX(Personnel!$K$5:$K$19,MATCH($A6,Personnel!$A$5:$A$19,0))))-MAX(DATE(YEAR(EDATE(Dashboard!$C$5,8)),MONTH(EDATE(Dashboard!$C$5,8)),1),INDEX(Personnel!$J$5:$J$19,MATCH($A6,Personnel!$A$5:$A$19,0)))+1)/DAY(EOMONTH(EDATE(Dashboard!$C$5,8),0))))),"")</f>
        <v/>
      </c>
      <c r="AO6" s="195" t="n"/>
      <c r="AP6" s="195" t="n"/>
      <c r="AQ6" s="196">
        <f>IF(A6="","",AO6*$D6+IF(OR($F6="Exempt",$E6="Sub"),0,AP6*$D6*1.5))</f>
        <v/>
      </c>
      <c r="AR6" s="197">
        <f>IFERROR(IF(A6="","",MAX(0,(INDEX(Personnel!$G$5:$G$19,MATCH($A6,Personnel!$A$5:$A$19,0))/12)*((MIN(EOMONTH(EDATE(Dashboard!$C$5,9),0),IF(INDEX(Personnel!$K$5:$K$19,MATCH($A6,Personnel!$A$5:$A$19,0))="",EOMONTH(EDATE(Dashboard!$C$5,9),0),INDEX(Personnel!$K$5:$K$19,MATCH($A6,Personnel!$A$5:$A$19,0))))-MAX(DATE(YEAR(EDATE(Dashboard!$C$5,9)),MONTH(EDATE(Dashboard!$C$5,9)),1),INDEX(Personnel!$J$5:$J$19,MATCH($A6,Personnel!$A$5:$A$19,0)))+1)/DAY(EOMONTH(EDATE(Dashboard!$C$5,9),0))))),"")</f>
        <v/>
      </c>
      <c r="AS6" s="198" t="n"/>
      <c r="AT6" s="198" t="n"/>
      <c r="AU6" s="199">
        <f>IF(A6="","",AS6*$D6+IF(OR($F6="Exempt",$E6="Sub"),0,AT6*$D6*1.5))</f>
        <v/>
      </c>
      <c r="AV6" s="197">
        <f>IFERROR(IF(A6="","",MAX(0,(INDEX(Personnel!$G$5:$G$19,MATCH($A6,Personnel!$A$5:$A$19,0))/12)*((MIN(EOMONTH(EDATE(Dashboard!$C$5,10),0),IF(INDEX(Personnel!$K$5:$K$19,MATCH($A6,Personnel!$A$5:$A$19,0))="",EOMONTH(EDATE(Dashboard!$C$5,10),0),INDEX(Personnel!$K$5:$K$19,MATCH($A6,Personnel!$A$5:$A$19,0))))-MAX(DATE(YEAR(EDATE(Dashboard!$C$5,10)),MONTH(EDATE(Dashboard!$C$5,10)),1),INDEX(Personnel!$J$5:$J$19,MATCH($A6,Personnel!$A$5:$A$19,0)))+1)/DAY(EOMONTH(EDATE(Dashboard!$C$5,10),0))))),"")</f>
        <v/>
      </c>
      <c r="AW6" s="198" t="n"/>
      <c r="AX6" s="198" t="n"/>
      <c r="AY6" s="199">
        <f>IF(A6="","",AW6*$D6+IF(OR($F6="Exempt",$E6="Sub"),0,AX6*$D6*1.5))</f>
        <v/>
      </c>
      <c r="AZ6" s="197">
        <f>IFERROR(IF(A6="","",MAX(0,(INDEX(Personnel!$G$5:$G$19,MATCH($A6,Personnel!$A$5:$A$19,0))/12)*((MIN(EOMONTH(EDATE(Dashboard!$C$5,11),0),IF(INDEX(Personnel!$K$5:$K$19,MATCH($A6,Personnel!$A$5:$A$19,0))="",EOMONTH(EDATE(Dashboard!$C$5,11),0),INDEX(Personnel!$K$5:$K$19,MATCH($A6,Personnel!$A$5:$A$19,0))))-MAX(DATE(YEAR(EDATE(Dashboard!$C$5,11)),MONTH(EDATE(Dashboard!$C$5,11)),1),INDEX(Personnel!$J$5:$J$19,MATCH($A6,Personnel!$A$5:$A$19,0)))+1)/DAY(EOMONTH(EDATE(Dashboard!$C$5,11),0))))),"")</f>
        <v/>
      </c>
      <c r="BA6" s="198" t="n"/>
      <c r="BB6" s="198" t="n"/>
      <c r="BC6" s="199">
        <f>IF(A6="","",BA6*$D6+IF(OR($F6="Exempt",$E6="Sub"),0,BB6*$D6*1.5))</f>
        <v/>
      </c>
      <c r="BD6" s="186">
        <f>IF(A6="","",SUM(H6,L6,P6,T6,X6,AB6,AF6,AJ6,AN6,AR6,AV6,AZ6))</f>
        <v/>
      </c>
      <c r="BE6" s="186">
        <f>IF(A6="","",SUM(I6,J6,M6,N6,Q6,R6,U6,V6,Y6,Z6,AC6,AD6,AG6,AH6,AK6,AL6,AO6,AP6,AS6,AT6,AW6,AX6,BA6,BB6))</f>
        <v/>
      </c>
      <c r="BF6" s="200">
        <f>IF(A6="","",BD6*$D6)</f>
        <v/>
      </c>
      <c r="BG6" s="200">
        <f>IF(A6="","",SUM(K6,O6,S6,W6,AA6,AE6,AI6,AM6,AQ6,AU6,AY6,BC6))</f>
        <v/>
      </c>
    </row>
    <row r="7" ht="15" customHeight="1" s="109">
      <c r="A7" s="128" t="n">
        <v>123456</v>
      </c>
      <c r="B7" s="183">
        <f>IF(A7="","",IFERROR(INDEX(Personnel!$B$5:$B$19,MATCH($A7,Personnel!$A$5:$A$19,0)),"-- not found --"))</f>
        <v/>
      </c>
      <c r="C7" s="183">
        <f>IF(A7="","",IFERROR(INDEX(Personnel!$C$5:$C$19,MATCH($A7,Personnel!$A$5:$A$19,0)),""))</f>
        <v/>
      </c>
      <c r="D7" s="183">
        <f>IF(A7="","",IFERROR(INDEX(Personnel!$H$5:$H$19,MATCH($A7,Personnel!$A$5:$A$19,0)),""))</f>
        <v/>
      </c>
      <c r="E7" s="128" t="inlineStr">
        <is>
          <t>Prime</t>
        </is>
      </c>
      <c r="F7" s="183">
        <f>IF(A7="","",IFERROR(INDEX(Personnel!$D$5:$D$19,MATCH($A7,Personnel!$A$5:$A$19,0)),""))</f>
        <v/>
      </c>
      <c r="G7" s="128" t="inlineStr">
        <is>
          <t>P1</t>
        </is>
      </c>
      <c r="H7" s="188">
        <f>IFERROR(IF(A7="","",MAX(0,(INDEX(Personnel!$G$5:$G$19,MATCH($A7,Personnel!$A$5:$A$19,0))/12)*((MIN(EOMONTH(EDATE(Dashboard!$C$5,0),0),IF(INDEX(Personnel!$K$5:$K$19,MATCH($A7,Personnel!$A$5:$A$19,0))="",EOMONTH(EDATE(Dashboard!$C$5,0),0),INDEX(Personnel!$K$5:$K$19,MATCH($A7,Personnel!$A$5:$A$19,0))))-MAX(DATE(YEAR(EDATE(Dashboard!$C$5,0)),MONTH(EDATE(Dashboard!$C$5,0)),1),INDEX(Personnel!$J$5:$J$19,MATCH($A7,Personnel!$A$5:$A$19,0)))+1)/DAY(EOMONTH(EDATE(Dashboard!$C$5,0),0))))),"")</f>
        <v/>
      </c>
      <c r="I7" s="189" t="n"/>
      <c r="J7" s="189" t="n"/>
      <c r="K7" s="190">
        <f>IF(A7="","",I7*$D7+IF(OR($F7="Exempt",$E7="Sub"),0,J7*$D7*1.5))</f>
        <v/>
      </c>
      <c r="L7" s="188">
        <f>IFERROR(IF(A7="","",MAX(0,(INDEX(Personnel!$G$5:$G$19,MATCH($A7,Personnel!$A$5:$A$19,0))/12)*((MIN(EOMONTH(EDATE(Dashboard!$C$5,1),0),IF(INDEX(Personnel!$K$5:$K$19,MATCH($A7,Personnel!$A$5:$A$19,0))="",EOMONTH(EDATE(Dashboard!$C$5,1),0),INDEX(Personnel!$K$5:$K$19,MATCH($A7,Personnel!$A$5:$A$19,0))))-MAX(DATE(YEAR(EDATE(Dashboard!$C$5,1)),MONTH(EDATE(Dashboard!$C$5,1)),1),INDEX(Personnel!$J$5:$J$19,MATCH($A7,Personnel!$A$5:$A$19,0)))+1)/DAY(EOMONTH(EDATE(Dashboard!$C$5,1),0))))),"")</f>
        <v/>
      </c>
      <c r="M7" s="189" t="n"/>
      <c r="N7" s="189" t="n"/>
      <c r="O7" s="190">
        <f>IF(A7="","",M7*$D7+IF(OR($F7="Exempt",$E7="Sub"),0,N7*$D7*1.5))</f>
        <v/>
      </c>
      <c r="P7" s="188">
        <f>IFERROR(IF(A7="","",MAX(0,(INDEX(Personnel!$G$5:$G$19,MATCH($A7,Personnel!$A$5:$A$19,0))/12)*((MIN(EOMONTH(EDATE(Dashboard!$C$5,2),0),IF(INDEX(Personnel!$K$5:$K$19,MATCH($A7,Personnel!$A$5:$A$19,0))="",EOMONTH(EDATE(Dashboard!$C$5,2),0),INDEX(Personnel!$K$5:$K$19,MATCH($A7,Personnel!$A$5:$A$19,0))))-MAX(DATE(YEAR(EDATE(Dashboard!$C$5,2)),MONTH(EDATE(Dashboard!$C$5,2)),1),INDEX(Personnel!$J$5:$J$19,MATCH($A7,Personnel!$A$5:$A$19,0)))+1)/DAY(EOMONTH(EDATE(Dashboard!$C$5,2),0))))),"")</f>
        <v/>
      </c>
      <c r="Q7" s="189" t="n"/>
      <c r="R7" s="189" t="n"/>
      <c r="S7" s="190">
        <f>IF(A7="","",Q7*$D7+IF(OR($F7="Exempt",$E7="Sub"),0,R7*$D7*1.5))</f>
        <v/>
      </c>
      <c r="T7" s="191">
        <f>IFERROR(IF(A7="","",MAX(0,(INDEX(Personnel!$G$5:$G$19,MATCH($A7,Personnel!$A$5:$A$19,0))/12)*((MIN(EOMONTH(EDATE(Dashboard!$C$5,3),0),IF(INDEX(Personnel!$K$5:$K$19,MATCH($A7,Personnel!$A$5:$A$19,0))="",EOMONTH(EDATE(Dashboard!$C$5,3),0),INDEX(Personnel!$K$5:$K$19,MATCH($A7,Personnel!$A$5:$A$19,0))))-MAX(DATE(YEAR(EDATE(Dashboard!$C$5,3)),MONTH(EDATE(Dashboard!$C$5,3)),1),INDEX(Personnel!$J$5:$J$19,MATCH($A7,Personnel!$A$5:$A$19,0)))+1)/DAY(EOMONTH(EDATE(Dashboard!$C$5,3),0))))),"")</f>
        <v/>
      </c>
      <c r="U7" s="192" t="n"/>
      <c r="V7" s="192" t="n"/>
      <c r="W7" s="193">
        <f>IF(A7="","",U7*$D7+IF(OR($F7="Exempt",$E7="Sub"),0,V7*$D7*1.5))</f>
        <v/>
      </c>
      <c r="X7" s="191">
        <f>IFERROR(IF(A7="","",MAX(0,(INDEX(Personnel!$G$5:$G$19,MATCH($A7,Personnel!$A$5:$A$19,0))/12)*((MIN(EOMONTH(EDATE(Dashboard!$C$5,4),0),IF(INDEX(Personnel!$K$5:$K$19,MATCH($A7,Personnel!$A$5:$A$19,0))="",EOMONTH(EDATE(Dashboard!$C$5,4),0),INDEX(Personnel!$K$5:$K$19,MATCH($A7,Personnel!$A$5:$A$19,0))))-MAX(DATE(YEAR(EDATE(Dashboard!$C$5,4)),MONTH(EDATE(Dashboard!$C$5,4)),1),INDEX(Personnel!$J$5:$J$19,MATCH($A7,Personnel!$A$5:$A$19,0)))+1)/DAY(EOMONTH(EDATE(Dashboard!$C$5,4),0))))),"")</f>
        <v/>
      </c>
      <c r="Y7" s="192" t="n"/>
      <c r="Z7" s="192" t="n"/>
      <c r="AA7" s="193">
        <f>IF(A7="","",Y7*$D7+IF(OR($F7="Exempt",$E7="Sub"),0,Z7*$D7*1.5))</f>
        <v/>
      </c>
      <c r="AB7" s="191">
        <f>IFERROR(IF(A7="","",MAX(0,(INDEX(Personnel!$G$5:$G$19,MATCH($A7,Personnel!$A$5:$A$19,0))/12)*((MIN(EOMONTH(EDATE(Dashboard!$C$5,5),0),IF(INDEX(Personnel!$K$5:$K$19,MATCH($A7,Personnel!$A$5:$A$19,0))="",EOMONTH(EDATE(Dashboard!$C$5,5),0),INDEX(Personnel!$K$5:$K$19,MATCH($A7,Personnel!$A$5:$A$19,0))))-MAX(DATE(YEAR(EDATE(Dashboard!$C$5,5)),MONTH(EDATE(Dashboard!$C$5,5)),1),INDEX(Personnel!$J$5:$J$19,MATCH($A7,Personnel!$A$5:$A$19,0)))+1)/DAY(EOMONTH(EDATE(Dashboard!$C$5,5),0))))),"")</f>
        <v/>
      </c>
      <c r="AC7" s="192" t="n"/>
      <c r="AD7" s="192" t="n"/>
      <c r="AE7" s="193">
        <f>IF(A7="","",AC7*$D7+IF(OR($F7="Exempt",$E7="Sub"),0,AD7*$D7*1.5))</f>
        <v/>
      </c>
      <c r="AF7" s="194">
        <f>IFERROR(IF(A7="","",MAX(0,(INDEX(Personnel!$G$5:$G$19,MATCH($A7,Personnel!$A$5:$A$19,0))/12)*((MIN(EOMONTH(EDATE(Dashboard!$C$5,6),0),IF(INDEX(Personnel!$K$5:$K$19,MATCH($A7,Personnel!$A$5:$A$19,0))="",EOMONTH(EDATE(Dashboard!$C$5,6),0),INDEX(Personnel!$K$5:$K$19,MATCH($A7,Personnel!$A$5:$A$19,0))))-MAX(DATE(YEAR(EDATE(Dashboard!$C$5,6)),MONTH(EDATE(Dashboard!$C$5,6)),1),INDEX(Personnel!$J$5:$J$19,MATCH($A7,Personnel!$A$5:$A$19,0)))+1)/DAY(EOMONTH(EDATE(Dashboard!$C$5,6),0))))),"")</f>
        <v/>
      </c>
      <c r="AG7" s="195" t="n"/>
      <c r="AH7" s="195" t="n"/>
      <c r="AI7" s="196">
        <f>IF(A7="","",AG7*$D7+IF(OR($F7="Exempt",$E7="Sub"),0,AH7*$D7*1.5))</f>
        <v/>
      </c>
      <c r="AJ7" s="194">
        <f>IFERROR(IF(A7="","",MAX(0,(INDEX(Personnel!$G$5:$G$19,MATCH($A7,Personnel!$A$5:$A$19,0))/12)*((MIN(EOMONTH(EDATE(Dashboard!$C$5,7),0),IF(INDEX(Personnel!$K$5:$K$19,MATCH($A7,Personnel!$A$5:$A$19,0))="",EOMONTH(EDATE(Dashboard!$C$5,7),0),INDEX(Personnel!$K$5:$K$19,MATCH($A7,Personnel!$A$5:$A$19,0))))-MAX(DATE(YEAR(EDATE(Dashboard!$C$5,7)),MONTH(EDATE(Dashboard!$C$5,7)),1),INDEX(Personnel!$J$5:$J$19,MATCH($A7,Personnel!$A$5:$A$19,0)))+1)/DAY(EOMONTH(EDATE(Dashboard!$C$5,7),0))))),"")</f>
        <v/>
      </c>
      <c r="AK7" s="195" t="n">
        <v>173.33</v>
      </c>
      <c r="AL7" s="195" t="n"/>
      <c r="AM7" s="196">
        <f>IF(A7="","",AK7*$D7+IF(OR($F7="Exempt",$E7="Sub"),0,AL7*$D7*1.5))</f>
        <v/>
      </c>
      <c r="AN7" s="194">
        <f>IFERROR(IF(A7="","",MAX(0,(INDEX(Personnel!$G$5:$G$19,MATCH($A7,Personnel!$A$5:$A$19,0))/12)*((MIN(EOMONTH(EDATE(Dashboard!$C$5,8),0),IF(INDEX(Personnel!$K$5:$K$19,MATCH($A7,Personnel!$A$5:$A$19,0))="",EOMONTH(EDATE(Dashboard!$C$5,8),0),INDEX(Personnel!$K$5:$K$19,MATCH($A7,Personnel!$A$5:$A$19,0))))-MAX(DATE(YEAR(EDATE(Dashboard!$C$5,8)),MONTH(EDATE(Dashboard!$C$5,8)),1),INDEX(Personnel!$J$5:$J$19,MATCH($A7,Personnel!$A$5:$A$19,0)))+1)/DAY(EOMONTH(EDATE(Dashboard!$C$5,8),0))))),"")</f>
        <v/>
      </c>
      <c r="AO7" s="195" t="n"/>
      <c r="AP7" s="195" t="n"/>
      <c r="AQ7" s="196">
        <f>IF(A7="","",AO7*$D7+IF(OR($F7="Exempt",$E7="Sub"),0,AP7*$D7*1.5))</f>
        <v/>
      </c>
      <c r="AR7" s="197">
        <f>IFERROR(IF(A7="","",MAX(0,(INDEX(Personnel!$G$5:$G$19,MATCH($A7,Personnel!$A$5:$A$19,0))/12)*((MIN(EOMONTH(EDATE(Dashboard!$C$5,9),0),IF(INDEX(Personnel!$K$5:$K$19,MATCH($A7,Personnel!$A$5:$A$19,0))="",EOMONTH(EDATE(Dashboard!$C$5,9),0),INDEX(Personnel!$K$5:$K$19,MATCH($A7,Personnel!$A$5:$A$19,0))))-MAX(DATE(YEAR(EDATE(Dashboard!$C$5,9)),MONTH(EDATE(Dashboard!$C$5,9)),1),INDEX(Personnel!$J$5:$J$19,MATCH($A7,Personnel!$A$5:$A$19,0)))+1)/DAY(EOMONTH(EDATE(Dashboard!$C$5,9),0))))),"")</f>
        <v/>
      </c>
      <c r="AS7" s="198" t="n">
        <v>160</v>
      </c>
      <c r="AT7" s="198" t="n"/>
      <c r="AU7" s="199">
        <f>IF(A7="","",AS7*$D7+IF(OR($F7="Exempt",$E7="Sub"),0,AT7*$D7*1.5))</f>
        <v/>
      </c>
      <c r="AV7" s="197">
        <f>IFERROR(IF(A7="","",MAX(0,(INDEX(Personnel!$G$5:$G$19,MATCH($A7,Personnel!$A$5:$A$19,0))/12)*((MIN(EOMONTH(EDATE(Dashboard!$C$5,10),0),IF(INDEX(Personnel!$K$5:$K$19,MATCH($A7,Personnel!$A$5:$A$19,0))="",EOMONTH(EDATE(Dashboard!$C$5,10),0),INDEX(Personnel!$K$5:$K$19,MATCH($A7,Personnel!$A$5:$A$19,0))))-MAX(DATE(YEAR(EDATE(Dashboard!$C$5,10)),MONTH(EDATE(Dashboard!$C$5,10)),1),INDEX(Personnel!$J$5:$J$19,MATCH($A7,Personnel!$A$5:$A$19,0)))+1)/DAY(EOMONTH(EDATE(Dashboard!$C$5,10),0))))),"")</f>
        <v/>
      </c>
      <c r="AW7" s="198" t="n">
        <v>165</v>
      </c>
      <c r="AX7" s="198" t="n"/>
      <c r="AY7" s="199">
        <f>IF(A7="","",AW7*$D7+IF(OR($F7="Exempt",$E7="Sub"),0,AX7*$D7*1.5))</f>
        <v/>
      </c>
      <c r="AZ7" s="197">
        <f>IFERROR(IF(A7="","",MAX(0,(INDEX(Personnel!$G$5:$G$19,MATCH($A7,Personnel!$A$5:$A$19,0))/12)*((MIN(EOMONTH(EDATE(Dashboard!$C$5,11),0),IF(INDEX(Personnel!$K$5:$K$19,MATCH($A7,Personnel!$A$5:$A$19,0))="",EOMONTH(EDATE(Dashboard!$C$5,11),0),INDEX(Personnel!$K$5:$K$19,MATCH($A7,Personnel!$A$5:$A$19,0))))-MAX(DATE(YEAR(EDATE(Dashboard!$C$5,11)),MONTH(EDATE(Dashboard!$C$5,11)),1),INDEX(Personnel!$J$5:$J$19,MATCH($A7,Personnel!$A$5:$A$19,0)))+1)/DAY(EOMONTH(EDATE(Dashboard!$C$5,11),0))))),"")</f>
        <v/>
      </c>
      <c r="BA7" s="198" t="n">
        <v>170</v>
      </c>
      <c r="BB7" s="198" t="n"/>
      <c r="BC7" s="199">
        <f>IF(A7="","",BA7*$D7+IF(OR($F7="Exempt",$E7="Sub"),0,BB7*$D7*1.5))</f>
        <v/>
      </c>
      <c r="BD7" s="186">
        <f>IF(A7="","",SUM(H7,L7,P7,T7,X7,AB7,AF7,AJ7,AN7,AR7,AV7,AZ7))</f>
        <v/>
      </c>
      <c r="BE7" s="186">
        <f>IF(A7="","",SUM(I7,J7,M7,N7,Q7,R7,U7,V7,Y7,Z7,AC7,AD7,AG7,AH7,AK7,AL7,AO7,AP7,AS7,AT7,AW7,AX7,BA7,BB7))</f>
        <v/>
      </c>
      <c r="BF7" s="200">
        <f>IF(A7="","",BD7*$D7)</f>
        <v/>
      </c>
      <c r="BG7" s="200">
        <f>IF(A7="","",SUM(K7,O7,S7,W7,AA7,AE7,AI7,AM7,AQ7,AU7,AY7,BC7))</f>
        <v/>
      </c>
    </row>
    <row r="8" ht="15" customHeight="1" s="109">
      <c r="A8" s="128" t="n">
        <v>123457</v>
      </c>
      <c r="B8" s="183">
        <f>IF(A8="","",IFERROR(INDEX(Personnel!$B$5:$B$19,MATCH($A8,Personnel!$A$5:$A$19,0)),"-- not found --"))</f>
        <v/>
      </c>
      <c r="C8" s="183">
        <f>IF(A8="","",IFERROR(INDEX(Personnel!$C$5:$C$19,MATCH($A8,Personnel!$A$5:$A$19,0)),""))</f>
        <v/>
      </c>
      <c r="D8" s="183">
        <f>IF(A8="","",IFERROR(INDEX(Personnel!$H$5:$H$19,MATCH($A8,Personnel!$A$5:$A$19,0)),""))</f>
        <v/>
      </c>
      <c r="E8" s="128" t="inlineStr">
        <is>
          <t>Prime</t>
        </is>
      </c>
      <c r="F8" s="183">
        <f>IF(A8="","",IFERROR(INDEX(Personnel!$D$5:$D$19,MATCH($A8,Personnel!$A$5:$A$19,0)),""))</f>
        <v/>
      </c>
      <c r="G8" s="128" t="inlineStr">
        <is>
          <t>P2</t>
        </is>
      </c>
      <c r="H8" s="188">
        <f>IFERROR(IF(A8="","",MAX(0,(INDEX(Personnel!$G$5:$G$19,MATCH($A8,Personnel!$A$5:$A$19,0))/12)*((MIN(EOMONTH(EDATE(Dashboard!$C$5,0),0),IF(INDEX(Personnel!$K$5:$K$19,MATCH($A8,Personnel!$A$5:$A$19,0))="",EOMONTH(EDATE(Dashboard!$C$5,0),0),INDEX(Personnel!$K$5:$K$19,MATCH($A8,Personnel!$A$5:$A$19,0))))-MAX(DATE(YEAR(EDATE(Dashboard!$C$5,0)),MONTH(EDATE(Dashboard!$C$5,0)),1),INDEX(Personnel!$J$5:$J$19,MATCH($A8,Personnel!$A$5:$A$19,0)))+1)/DAY(EOMONTH(EDATE(Dashboard!$C$5,0),0))))),"")</f>
        <v/>
      </c>
      <c r="I8" s="189" t="n">
        <v>173.33</v>
      </c>
      <c r="J8" s="189" t="n"/>
      <c r="K8" s="190">
        <f>IF(A8="","",I8*$D8+IF(OR($F8="Exempt",$E8="Sub"),0,J8*$D8*1.5))</f>
        <v/>
      </c>
      <c r="L8" s="188">
        <f>IFERROR(IF(A8="","",MAX(0,(INDEX(Personnel!$G$5:$G$19,MATCH($A8,Personnel!$A$5:$A$19,0))/12)*((MIN(EOMONTH(EDATE(Dashboard!$C$5,1),0),IF(INDEX(Personnel!$K$5:$K$19,MATCH($A8,Personnel!$A$5:$A$19,0))="",EOMONTH(EDATE(Dashboard!$C$5,1),0),INDEX(Personnel!$K$5:$K$19,MATCH($A8,Personnel!$A$5:$A$19,0))))-MAX(DATE(YEAR(EDATE(Dashboard!$C$5,1)),MONTH(EDATE(Dashboard!$C$5,1)),1),INDEX(Personnel!$J$5:$J$19,MATCH($A8,Personnel!$A$5:$A$19,0)))+1)/DAY(EOMONTH(EDATE(Dashboard!$C$5,1),0))))),"")</f>
        <v/>
      </c>
      <c r="M8" s="189" t="n"/>
      <c r="N8" s="189" t="n"/>
      <c r="O8" s="190">
        <f>IF(A8="","",M8*$D8+IF(OR($F8="Exempt",$E8="Sub"),0,N8*$D8*1.5))</f>
        <v/>
      </c>
      <c r="P8" s="188">
        <f>IFERROR(IF(A8="","",MAX(0,(INDEX(Personnel!$G$5:$G$19,MATCH($A8,Personnel!$A$5:$A$19,0))/12)*((MIN(EOMONTH(EDATE(Dashboard!$C$5,2),0),IF(INDEX(Personnel!$K$5:$K$19,MATCH($A8,Personnel!$A$5:$A$19,0))="",EOMONTH(EDATE(Dashboard!$C$5,2),0),INDEX(Personnel!$K$5:$K$19,MATCH($A8,Personnel!$A$5:$A$19,0))))-MAX(DATE(YEAR(EDATE(Dashboard!$C$5,2)),MONTH(EDATE(Dashboard!$C$5,2)),1),INDEX(Personnel!$J$5:$J$19,MATCH($A8,Personnel!$A$5:$A$19,0)))+1)/DAY(EOMONTH(EDATE(Dashboard!$C$5,2),0))))),"")</f>
        <v/>
      </c>
      <c r="Q8" s="189" t="n"/>
      <c r="R8" s="189" t="n"/>
      <c r="S8" s="190">
        <f>IF(A8="","",Q8*$D8+IF(OR($F8="Exempt",$E8="Sub"),0,R8*$D8*1.5))</f>
        <v/>
      </c>
      <c r="T8" s="191">
        <f>IFERROR(IF(A8="","",MAX(0,(INDEX(Personnel!$G$5:$G$19,MATCH($A8,Personnel!$A$5:$A$19,0))/12)*((MIN(EOMONTH(EDATE(Dashboard!$C$5,3),0),IF(INDEX(Personnel!$K$5:$K$19,MATCH($A8,Personnel!$A$5:$A$19,0))="",EOMONTH(EDATE(Dashboard!$C$5,3),0),INDEX(Personnel!$K$5:$K$19,MATCH($A8,Personnel!$A$5:$A$19,0))))-MAX(DATE(YEAR(EDATE(Dashboard!$C$5,3)),MONTH(EDATE(Dashboard!$C$5,3)),1),INDEX(Personnel!$J$5:$J$19,MATCH($A8,Personnel!$A$5:$A$19,0)))+1)/DAY(EOMONTH(EDATE(Dashboard!$C$5,3),0))))),"")</f>
        <v/>
      </c>
      <c r="U8" s="192" t="n"/>
      <c r="V8" s="192" t="n"/>
      <c r="W8" s="193">
        <f>IF(A8="","",U8*$D8+IF(OR($F8="Exempt",$E8="Sub"),0,V8*$D8*1.5))</f>
        <v/>
      </c>
      <c r="X8" s="191">
        <f>IFERROR(IF(A8="","",MAX(0,(INDEX(Personnel!$G$5:$G$19,MATCH($A8,Personnel!$A$5:$A$19,0))/12)*((MIN(EOMONTH(EDATE(Dashboard!$C$5,4),0),IF(INDEX(Personnel!$K$5:$K$19,MATCH($A8,Personnel!$A$5:$A$19,0))="",EOMONTH(EDATE(Dashboard!$C$5,4),0),INDEX(Personnel!$K$5:$K$19,MATCH($A8,Personnel!$A$5:$A$19,0))))-MAX(DATE(YEAR(EDATE(Dashboard!$C$5,4)),MONTH(EDATE(Dashboard!$C$5,4)),1),INDEX(Personnel!$J$5:$J$19,MATCH($A8,Personnel!$A$5:$A$19,0)))+1)/DAY(EOMONTH(EDATE(Dashboard!$C$5,4),0))))),"")</f>
        <v/>
      </c>
      <c r="Y8" s="192" t="n"/>
      <c r="Z8" s="192" t="n"/>
      <c r="AA8" s="193">
        <f>IF(A8="","",Y8*$D8+IF(OR($F8="Exempt",$E8="Sub"),0,Z8*$D8*1.5))</f>
        <v/>
      </c>
      <c r="AB8" s="191">
        <f>IFERROR(IF(A8="","",MAX(0,(INDEX(Personnel!$G$5:$G$19,MATCH($A8,Personnel!$A$5:$A$19,0))/12)*((MIN(EOMONTH(EDATE(Dashboard!$C$5,5),0),IF(INDEX(Personnel!$K$5:$K$19,MATCH($A8,Personnel!$A$5:$A$19,0))="",EOMONTH(EDATE(Dashboard!$C$5,5),0),INDEX(Personnel!$K$5:$K$19,MATCH($A8,Personnel!$A$5:$A$19,0))))-MAX(DATE(YEAR(EDATE(Dashboard!$C$5,5)),MONTH(EDATE(Dashboard!$C$5,5)),1),INDEX(Personnel!$J$5:$J$19,MATCH($A8,Personnel!$A$5:$A$19,0)))+1)/DAY(EOMONTH(EDATE(Dashboard!$C$5,5),0))))),"")</f>
        <v/>
      </c>
      <c r="AC8" s="192" t="n"/>
      <c r="AD8" s="192" t="n"/>
      <c r="AE8" s="193">
        <f>IF(A8="","",AC8*$D8+IF(OR($F8="Exempt",$E8="Sub"),0,AD8*$D8*1.5))</f>
        <v/>
      </c>
      <c r="AF8" s="194">
        <f>IFERROR(IF(A8="","",MAX(0,(INDEX(Personnel!$G$5:$G$19,MATCH($A8,Personnel!$A$5:$A$19,0))/12)*((MIN(EOMONTH(EDATE(Dashboard!$C$5,6),0),IF(INDEX(Personnel!$K$5:$K$19,MATCH($A8,Personnel!$A$5:$A$19,0))="",EOMONTH(EDATE(Dashboard!$C$5,6),0),INDEX(Personnel!$K$5:$K$19,MATCH($A8,Personnel!$A$5:$A$19,0))))-MAX(DATE(YEAR(EDATE(Dashboard!$C$5,6)),MONTH(EDATE(Dashboard!$C$5,6)),1),INDEX(Personnel!$J$5:$J$19,MATCH($A8,Personnel!$A$5:$A$19,0)))+1)/DAY(EOMONTH(EDATE(Dashboard!$C$5,6),0))))),"")</f>
        <v/>
      </c>
      <c r="AG8" s="195" t="n"/>
      <c r="AH8" s="195" t="n"/>
      <c r="AI8" s="196">
        <f>IF(A8="","",AG8*$D8+IF(OR($F8="Exempt",$E8="Sub"),0,AH8*$D8*1.5))</f>
        <v/>
      </c>
      <c r="AJ8" s="194">
        <f>IFERROR(IF(A8="","",MAX(0,(INDEX(Personnel!$G$5:$G$19,MATCH($A8,Personnel!$A$5:$A$19,0))/12)*((MIN(EOMONTH(EDATE(Dashboard!$C$5,7),0),IF(INDEX(Personnel!$K$5:$K$19,MATCH($A8,Personnel!$A$5:$A$19,0))="",EOMONTH(EDATE(Dashboard!$C$5,7),0),INDEX(Personnel!$K$5:$K$19,MATCH($A8,Personnel!$A$5:$A$19,0))))-MAX(DATE(YEAR(EDATE(Dashboard!$C$5,7)),MONTH(EDATE(Dashboard!$C$5,7)),1),INDEX(Personnel!$J$5:$J$19,MATCH($A8,Personnel!$A$5:$A$19,0)))+1)/DAY(EOMONTH(EDATE(Dashboard!$C$5,7),0))))),"")</f>
        <v/>
      </c>
      <c r="AK8" s="195" t="n"/>
      <c r="AL8" s="195" t="n"/>
      <c r="AM8" s="196">
        <f>IF(A8="","",AK8*$D8+IF(OR($F8="Exempt",$E8="Sub"),0,AL8*$D8*1.5))</f>
        <v/>
      </c>
      <c r="AN8" s="194">
        <f>IFERROR(IF(A8="","",MAX(0,(INDEX(Personnel!$G$5:$G$19,MATCH($A8,Personnel!$A$5:$A$19,0))/12)*((MIN(EOMONTH(EDATE(Dashboard!$C$5,8),0),IF(INDEX(Personnel!$K$5:$K$19,MATCH($A8,Personnel!$A$5:$A$19,0))="",EOMONTH(EDATE(Dashboard!$C$5,8),0),INDEX(Personnel!$K$5:$K$19,MATCH($A8,Personnel!$A$5:$A$19,0))))-MAX(DATE(YEAR(EDATE(Dashboard!$C$5,8)),MONTH(EDATE(Dashboard!$C$5,8)),1),INDEX(Personnel!$J$5:$J$19,MATCH($A8,Personnel!$A$5:$A$19,0)))+1)/DAY(EOMONTH(EDATE(Dashboard!$C$5,8),0))))),"")</f>
        <v/>
      </c>
      <c r="AO8" s="195" t="n"/>
      <c r="AP8" s="195" t="n"/>
      <c r="AQ8" s="196">
        <f>IF(A8="","",AO8*$D8+IF(OR($F8="Exempt",$E8="Sub"),0,AP8*$D8*1.5))</f>
        <v/>
      </c>
      <c r="AR8" s="197">
        <f>IFERROR(IF(A8="","",MAX(0,(INDEX(Personnel!$G$5:$G$19,MATCH($A8,Personnel!$A$5:$A$19,0))/12)*((MIN(EOMONTH(EDATE(Dashboard!$C$5,9),0),IF(INDEX(Personnel!$K$5:$K$19,MATCH($A8,Personnel!$A$5:$A$19,0))="",EOMONTH(EDATE(Dashboard!$C$5,9),0),INDEX(Personnel!$K$5:$K$19,MATCH($A8,Personnel!$A$5:$A$19,0))))-MAX(DATE(YEAR(EDATE(Dashboard!$C$5,9)),MONTH(EDATE(Dashboard!$C$5,9)),1),INDEX(Personnel!$J$5:$J$19,MATCH($A8,Personnel!$A$5:$A$19,0)))+1)/DAY(EOMONTH(EDATE(Dashboard!$C$5,9),0))))),"")</f>
        <v/>
      </c>
      <c r="AS8" s="198" t="n">
        <v>150</v>
      </c>
      <c r="AT8" s="198" t="n"/>
      <c r="AU8" s="199">
        <f>IF(A8="","",AS8*$D8+IF(OR($F8="Exempt",$E8="Sub"),0,AT8*$D8*1.5))</f>
        <v/>
      </c>
      <c r="AV8" s="197">
        <f>IFERROR(IF(A8="","",MAX(0,(INDEX(Personnel!$G$5:$G$19,MATCH($A8,Personnel!$A$5:$A$19,0))/12)*((MIN(EOMONTH(EDATE(Dashboard!$C$5,10),0),IF(INDEX(Personnel!$K$5:$K$19,MATCH($A8,Personnel!$A$5:$A$19,0))="",EOMONTH(EDATE(Dashboard!$C$5,10),0),INDEX(Personnel!$K$5:$K$19,MATCH($A8,Personnel!$A$5:$A$19,0))))-MAX(DATE(YEAR(EDATE(Dashboard!$C$5,10)),MONTH(EDATE(Dashboard!$C$5,10)),1),INDEX(Personnel!$J$5:$J$19,MATCH($A8,Personnel!$A$5:$A$19,0)))+1)/DAY(EOMONTH(EDATE(Dashboard!$C$5,10),0))))),"")</f>
        <v/>
      </c>
      <c r="AW8" s="198" t="n">
        <v>155</v>
      </c>
      <c r="AX8" s="198" t="n"/>
      <c r="AY8" s="199">
        <f>IF(A8="","",AW8*$D8+IF(OR($F8="Exempt",$E8="Sub"),0,AX8*$D8*1.5))</f>
        <v/>
      </c>
      <c r="AZ8" s="197">
        <f>IFERROR(IF(A8="","",MAX(0,(INDEX(Personnel!$G$5:$G$19,MATCH($A8,Personnel!$A$5:$A$19,0))/12)*((MIN(EOMONTH(EDATE(Dashboard!$C$5,11),0),IF(INDEX(Personnel!$K$5:$K$19,MATCH($A8,Personnel!$A$5:$A$19,0))="",EOMONTH(EDATE(Dashboard!$C$5,11),0),INDEX(Personnel!$K$5:$K$19,MATCH($A8,Personnel!$A$5:$A$19,0))))-MAX(DATE(YEAR(EDATE(Dashboard!$C$5,11)),MONTH(EDATE(Dashboard!$C$5,11)),1),INDEX(Personnel!$J$5:$J$19,MATCH($A8,Personnel!$A$5:$A$19,0)))+1)/DAY(EOMONTH(EDATE(Dashboard!$C$5,11),0))))),"")</f>
        <v/>
      </c>
      <c r="BA8" s="198" t="n">
        <v>160</v>
      </c>
      <c r="BB8" s="198" t="n"/>
      <c r="BC8" s="199">
        <f>IF(A8="","",BA8*$D8+IF(OR($F8="Exempt",$E8="Sub"),0,BB8*$D8*1.5))</f>
        <v/>
      </c>
      <c r="BD8" s="186">
        <f>IF(A8="","",SUM(H8,L8,P8,T8,X8,AB8,AF8,AJ8,AN8,AR8,AV8,AZ8))</f>
        <v/>
      </c>
      <c r="BE8" s="186">
        <f>IF(A8="","",SUM(I8,J8,M8,N8,Q8,R8,U8,V8,Y8,Z8,AC8,AD8,AG8,AH8,AK8,AL8,AO8,AP8,AS8,AT8,AW8,AX8,BA8,BB8))</f>
        <v/>
      </c>
      <c r="BF8" s="200">
        <f>IF(A8="","",BD8*$D8)</f>
        <v/>
      </c>
      <c r="BG8" s="200">
        <f>IF(A8="","",SUM(K8,O8,S8,W8,AA8,AE8,AI8,AM8,AQ8,AU8,AY8,BC8))</f>
        <v/>
      </c>
    </row>
    <row r="9" ht="15" customHeight="1" s="109">
      <c r="A9" s="128" t="n">
        <v>123458</v>
      </c>
      <c r="B9" s="183">
        <f>IF(A9="","",IFERROR(INDEX(Personnel!$B$5:$B$19,MATCH($A9,Personnel!$A$5:$A$19,0)),"-- not found --"))</f>
        <v/>
      </c>
      <c r="C9" s="183">
        <f>IF(A9="","",IFERROR(INDEX(Personnel!$C$5:$C$19,MATCH($A9,Personnel!$A$5:$A$19,0)),""))</f>
        <v/>
      </c>
      <c r="D9" s="183">
        <f>IF(A9="","",IFERROR(INDEX(Personnel!$H$5:$H$19,MATCH($A9,Personnel!$A$5:$A$19,0)),""))</f>
        <v/>
      </c>
      <c r="E9" s="128" t="inlineStr">
        <is>
          <t>Prime</t>
        </is>
      </c>
      <c r="F9" s="183">
        <f>IF(A9="","",IFERROR(INDEX(Personnel!$D$5:$D$19,MATCH($A9,Personnel!$A$5:$A$19,0)),""))</f>
        <v/>
      </c>
      <c r="G9" s="128" t="inlineStr">
        <is>
          <t>PMO</t>
        </is>
      </c>
      <c r="H9" s="188">
        <f>IFERROR(IF(A9="","",MAX(0,(INDEX(Personnel!$G$5:$G$19,MATCH($A9,Personnel!$A$5:$A$19,0))/12)*((MIN(EOMONTH(EDATE(Dashboard!$C$5,0),0),IF(INDEX(Personnel!$K$5:$K$19,MATCH($A9,Personnel!$A$5:$A$19,0))="",EOMONTH(EDATE(Dashboard!$C$5,0),0),INDEX(Personnel!$K$5:$K$19,MATCH($A9,Personnel!$A$5:$A$19,0))))-MAX(DATE(YEAR(EDATE(Dashboard!$C$5,0)),MONTH(EDATE(Dashboard!$C$5,0)),1),INDEX(Personnel!$J$5:$J$19,MATCH($A9,Personnel!$A$5:$A$19,0)))+1)/DAY(EOMONTH(EDATE(Dashboard!$C$5,0),0))))),"")</f>
        <v/>
      </c>
      <c r="I9" s="189" t="n"/>
      <c r="J9" s="189" t="n"/>
      <c r="K9" s="190">
        <f>IF(A9="","",I9*$D9+IF(OR($F9="Exempt",$E9="Sub"),0,J9*$D9*1.5))</f>
        <v/>
      </c>
      <c r="L9" s="188">
        <f>IFERROR(IF(A9="","",MAX(0,(INDEX(Personnel!$G$5:$G$19,MATCH($A9,Personnel!$A$5:$A$19,0))/12)*((MIN(EOMONTH(EDATE(Dashboard!$C$5,1),0),IF(INDEX(Personnel!$K$5:$K$19,MATCH($A9,Personnel!$A$5:$A$19,0))="",EOMONTH(EDATE(Dashboard!$C$5,1),0),INDEX(Personnel!$K$5:$K$19,MATCH($A9,Personnel!$A$5:$A$19,0))))-MAX(DATE(YEAR(EDATE(Dashboard!$C$5,1)),MONTH(EDATE(Dashboard!$C$5,1)),1),INDEX(Personnel!$J$5:$J$19,MATCH($A9,Personnel!$A$5:$A$19,0)))+1)/DAY(EOMONTH(EDATE(Dashboard!$C$5,1),0))))),"")</f>
        <v/>
      </c>
      <c r="M9" s="189" t="n"/>
      <c r="N9" s="189" t="n"/>
      <c r="O9" s="190">
        <f>IF(A9="","",M9*$D9+IF(OR($F9="Exempt",$E9="Sub"),0,N9*$D9*1.5))</f>
        <v/>
      </c>
      <c r="P9" s="188">
        <f>IFERROR(IF(A9="","",MAX(0,(INDEX(Personnel!$G$5:$G$19,MATCH($A9,Personnel!$A$5:$A$19,0))/12)*((MIN(EOMONTH(EDATE(Dashboard!$C$5,2),0),IF(INDEX(Personnel!$K$5:$K$19,MATCH($A9,Personnel!$A$5:$A$19,0))="",EOMONTH(EDATE(Dashboard!$C$5,2),0),INDEX(Personnel!$K$5:$K$19,MATCH($A9,Personnel!$A$5:$A$19,0))))-MAX(DATE(YEAR(EDATE(Dashboard!$C$5,2)),MONTH(EDATE(Dashboard!$C$5,2)),1),INDEX(Personnel!$J$5:$J$19,MATCH($A9,Personnel!$A$5:$A$19,0)))+1)/DAY(EOMONTH(EDATE(Dashboard!$C$5,2),0))))),"")</f>
        <v/>
      </c>
      <c r="Q9" s="189" t="n"/>
      <c r="R9" s="189" t="n"/>
      <c r="S9" s="190">
        <f>IF(A9="","",Q9*$D9+IF(OR($F9="Exempt",$E9="Sub"),0,R9*$D9*1.5))</f>
        <v/>
      </c>
      <c r="T9" s="191">
        <f>IFERROR(IF(A9="","",MAX(0,(INDEX(Personnel!$G$5:$G$19,MATCH($A9,Personnel!$A$5:$A$19,0))/12)*((MIN(EOMONTH(EDATE(Dashboard!$C$5,3),0),IF(INDEX(Personnel!$K$5:$K$19,MATCH($A9,Personnel!$A$5:$A$19,0))="",EOMONTH(EDATE(Dashboard!$C$5,3),0),INDEX(Personnel!$K$5:$K$19,MATCH($A9,Personnel!$A$5:$A$19,0))))-MAX(DATE(YEAR(EDATE(Dashboard!$C$5,3)),MONTH(EDATE(Dashboard!$C$5,3)),1),INDEX(Personnel!$J$5:$J$19,MATCH($A9,Personnel!$A$5:$A$19,0)))+1)/DAY(EOMONTH(EDATE(Dashboard!$C$5,3),0))))),"")</f>
        <v/>
      </c>
      <c r="U9" s="192" t="n"/>
      <c r="V9" s="192" t="n"/>
      <c r="W9" s="193">
        <f>IF(A9="","",U9*$D9+IF(OR($F9="Exempt",$E9="Sub"),0,V9*$D9*1.5))</f>
        <v/>
      </c>
      <c r="X9" s="191">
        <f>IFERROR(IF(A9="","",MAX(0,(INDEX(Personnel!$G$5:$G$19,MATCH($A9,Personnel!$A$5:$A$19,0))/12)*((MIN(EOMONTH(EDATE(Dashboard!$C$5,4),0),IF(INDEX(Personnel!$K$5:$K$19,MATCH($A9,Personnel!$A$5:$A$19,0))="",EOMONTH(EDATE(Dashboard!$C$5,4),0),INDEX(Personnel!$K$5:$K$19,MATCH($A9,Personnel!$A$5:$A$19,0))))-MAX(DATE(YEAR(EDATE(Dashboard!$C$5,4)),MONTH(EDATE(Dashboard!$C$5,4)),1),INDEX(Personnel!$J$5:$J$19,MATCH($A9,Personnel!$A$5:$A$19,0)))+1)/DAY(EOMONTH(EDATE(Dashboard!$C$5,4),0))))),"")</f>
        <v/>
      </c>
      <c r="Y9" s="192" t="n"/>
      <c r="Z9" s="192" t="n"/>
      <c r="AA9" s="193">
        <f>IF(A9="","",Y9*$D9+IF(OR($F9="Exempt",$E9="Sub"),0,Z9*$D9*1.5))</f>
        <v/>
      </c>
      <c r="AB9" s="191">
        <f>IFERROR(IF(A9="","",MAX(0,(INDEX(Personnel!$G$5:$G$19,MATCH($A9,Personnel!$A$5:$A$19,0))/12)*((MIN(EOMONTH(EDATE(Dashboard!$C$5,5),0),IF(INDEX(Personnel!$K$5:$K$19,MATCH($A9,Personnel!$A$5:$A$19,0))="",EOMONTH(EDATE(Dashboard!$C$5,5),0),INDEX(Personnel!$K$5:$K$19,MATCH($A9,Personnel!$A$5:$A$19,0))))-MAX(DATE(YEAR(EDATE(Dashboard!$C$5,5)),MONTH(EDATE(Dashboard!$C$5,5)),1),INDEX(Personnel!$J$5:$J$19,MATCH($A9,Personnel!$A$5:$A$19,0)))+1)/DAY(EOMONTH(EDATE(Dashboard!$C$5,5),0))))),"")</f>
        <v/>
      </c>
      <c r="AC9" s="192" t="n"/>
      <c r="AD9" s="192" t="n"/>
      <c r="AE9" s="193">
        <f>IF(A9="","",AC9*$D9+IF(OR($F9="Exempt",$E9="Sub"),0,AD9*$D9*1.5))</f>
        <v/>
      </c>
      <c r="AF9" s="194">
        <f>IFERROR(IF(A9="","",MAX(0,(INDEX(Personnel!$G$5:$G$19,MATCH($A9,Personnel!$A$5:$A$19,0))/12)*((MIN(EOMONTH(EDATE(Dashboard!$C$5,6),0),IF(INDEX(Personnel!$K$5:$K$19,MATCH($A9,Personnel!$A$5:$A$19,0))="",EOMONTH(EDATE(Dashboard!$C$5,6),0),INDEX(Personnel!$K$5:$K$19,MATCH($A9,Personnel!$A$5:$A$19,0))))-MAX(DATE(YEAR(EDATE(Dashboard!$C$5,6)),MONTH(EDATE(Dashboard!$C$5,6)),1),INDEX(Personnel!$J$5:$J$19,MATCH($A9,Personnel!$A$5:$A$19,0)))+1)/DAY(EOMONTH(EDATE(Dashboard!$C$5,6),0))))),"")</f>
        <v/>
      </c>
      <c r="AG9" s="195" t="n"/>
      <c r="AH9" s="195" t="n"/>
      <c r="AI9" s="196">
        <f>IF(A9="","",AG9*$D9+IF(OR($F9="Exempt",$E9="Sub"),0,AH9*$D9*1.5))</f>
        <v/>
      </c>
      <c r="AJ9" s="194">
        <f>IFERROR(IF(A9="","",MAX(0,(INDEX(Personnel!$G$5:$G$19,MATCH($A9,Personnel!$A$5:$A$19,0))/12)*((MIN(EOMONTH(EDATE(Dashboard!$C$5,7),0),IF(INDEX(Personnel!$K$5:$K$19,MATCH($A9,Personnel!$A$5:$A$19,0))="",EOMONTH(EDATE(Dashboard!$C$5,7),0),INDEX(Personnel!$K$5:$K$19,MATCH($A9,Personnel!$A$5:$A$19,0))))-MAX(DATE(YEAR(EDATE(Dashboard!$C$5,7)),MONTH(EDATE(Dashboard!$C$5,7)),1),INDEX(Personnel!$J$5:$J$19,MATCH($A9,Personnel!$A$5:$A$19,0)))+1)/DAY(EOMONTH(EDATE(Dashboard!$C$5,7),0))))),"")</f>
        <v/>
      </c>
      <c r="AK9" s="195" t="n"/>
      <c r="AL9" s="195" t="n"/>
      <c r="AM9" s="196">
        <f>IF(A9="","",AK9*$D9+IF(OR($F9="Exempt",$E9="Sub"),0,AL9*$D9*1.5))</f>
        <v/>
      </c>
      <c r="AN9" s="194">
        <f>IFERROR(IF(A9="","",MAX(0,(INDEX(Personnel!$G$5:$G$19,MATCH($A9,Personnel!$A$5:$A$19,0))/12)*((MIN(EOMONTH(EDATE(Dashboard!$C$5,8),0),IF(INDEX(Personnel!$K$5:$K$19,MATCH($A9,Personnel!$A$5:$A$19,0))="",EOMONTH(EDATE(Dashboard!$C$5,8),0),INDEX(Personnel!$K$5:$K$19,MATCH($A9,Personnel!$A$5:$A$19,0))))-MAX(DATE(YEAR(EDATE(Dashboard!$C$5,8)),MONTH(EDATE(Dashboard!$C$5,8)),1),INDEX(Personnel!$J$5:$J$19,MATCH($A9,Personnel!$A$5:$A$19,0)))+1)/DAY(EOMONTH(EDATE(Dashboard!$C$5,8),0))))),"")</f>
        <v/>
      </c>
      <c r="AO9" s="195" t="n"/>
      <c r="AP9" s="195" t="n"/>
      <c r="AQ9" s="196">
        <f>IF(A9="","",AO9*$D9+IF(OR($F9="Exempt",$E9="Sub"),0,AP9*$D9*1.5))</f>
        <v/>
      </c>
      <c r="AR9" s="197">
        <f>IFERROR(IF(A9="","",MAX(0,(INDEX(Personnel!$G$5:$G$19,MATCH($A9,Personnel!$A$5:$A$19,0))/12)*((MIN(EOMONTH(EDATE(Dashboard!$C$5,9),0),IF(INDEX(Personnel!$K$5:$K$19,MATCH($A9,Personnel!$A$5:$A$19,0))="",EOMONTH(EDATE(Dashboard!$C$5,9),0),INDEX(Personnel!$K$5:$K$19,MATCH($A9,Personnel!$A$5:$A$19,0))))-MAX(DATE(YEAR(EDATE(Dashboard!$C$5,9)),MONTH(EDATE(Dashboard!$C$5,9)),1),INDEX(Personnel!$J$5:$J$19,MATCH($A9,Personnel!$A$5:$A$19,0)))+1)/DAY(EOMONTH(EDATE(Dashboard!$C$5,9),0))))),"")</f>
        <v/>
      </c>
      <c r="AS9" s="198" t="n"/>
      <c r="AT9" s="198" t="n"/>
      <c r="AU9" s="199">
        <f>IF(A9="","",AS9*$D9+IF(OR($F9="Exempt",$E9="Sub"),0,AT9*$D9*1.5))</f>
        <v/>
      </c>
      <c r="AV9" s="197">
        <f>IFERROR(IF(A9="","",MAX(0,(INDEX(Personnel!$G$5:$G$19,MATCH($A9,Personnel!$A$5:$A$19,0))/12)*((MIN(EOMONTH(EDATE(Dashboard!$C$5,10),0),IF(INDEX(Personnel!$K$5:$K$19,MATCH($A9,Personnel!$A$5:$A$19,0))="",EOMONTH(EDATE(Dashboard!$C$5,10),0),INDEX(Personnel!$K$5:$K$19,MATCH($A9,Personnel!$A$5:$A$19,0))))-MAX(DATE(YEAR(EDATE(Dashboard!$C$5,10)),MONTH(EDATE(Dashboard!$C$5,10)),1),INDEX(Personnel!$J$5:$J$19,MATCH($A9,Personnel!$A$5:$A$19,0)))+1)/DAY(EOMONTH(EDATE(Dashboard!$C$5,10),0))))),"")</f>
        <v/>
      </c>
      <c r="AW9" s="198" t="n"/>
      <c r="AX9" s="198" t="n"/>
      <c r="AY9" s="199">
        <f>IF(A9="","",AW9*$D9+IF(OR($F9="Exempt",$E9="Sub"),0,AX9*$D9*1.5))</f>
        <v/>
      </c>
      <c r="AZ9" s="197">
        <f>IFERROR(IF(A9="","",MAX(0,(INDEX(Personnel!$G$5:$G$19,MATCH($A9,Personnel!$A$5:$A$19,0))/12)*((MIN(EOMONTH(EDATE(Dashboard!$C$5,11),0),IF(INDEX(Personnel!$K$5:$K$19,MATCH($A9,Personnel!$A$5:$A$19,0))="",EOMONTH(EDATE(Dashboard!$C$5,11),0),INDEX(Personnel!$K$5:$K$19,MATCH($A9,Personnel!$A$5:$A$19,0))))-MAX(DATE(YEAR(EDATE(Dashboard!$C$5,11)),MONTH(EDATE(Dashboard!$C$5,11)),1),INDEX(Personnel!$J$5:$J$19,MATCH($A9,Personnel!$A$5:$A$19,0)))+1)/DAY(EOMONTH(EDATE(Dashboard!$C$5,11),0))))),"")</f>
        <v/>
      </c>
      <c r="BA9" s="198" t="n"/>
      <c r="BB9" s="198" t="n"/>
      <c r="BC9" s="199">
        <f>IF(A9="","",BA9*$D9+IF(OR($F9="Exempt",$E9="Sub"),0,BB9*$D9*1.5))</f>
        <v/>
      </c>
      <c r="BD9" s="186">
        <f>IF(A9="","",SUM(H9,L9,P9,T9,X9,AB9,AF9,AJ9,AN9,AR9,AV9,AZ9))</f>
        <v/>
      </c>
      <c r="BE9" s="186">
        <f>IF(A9="","",SUM(I9,J9,M9,N9,Q9,R9,U9,V9,Y9,Z9,AC9,AD9,AG9,AH9,AK9,AL9,AO9,AP9,AS9,AT9,AW9,AX9,BA9,BB9))</f>
        <v/>
      </c>
      <c r="BF9" s="200">
        <f>IF(A9="","",BD9*$D9)</f>
        <v/>
      </c>
      <c r="BG9" s="200">
        <f>IF(A9="","",SUM(K9,O9,S9,W9,AA9,AE9,AI9,AM9,AQ9,AU9,AY9,BC9))</f>
        <v/>
      </c>
    </row>
    <row r="10" ht="15" customHeight="1" s="109">
      <c r="A10" s="128" t="n"/>
      <c r="B10" s="183" t="n"/>
      <c r="C10" s="183" t="n"/>
      <c r="D10" s="183" t="n"/>
      <c r="E10" s="128" t="n"/>
      <c r="F10" s="183" t="n"/>
      <c r="G10" s="128" t="n"/>
      <c r="H10" s="188">
        <f>IFERROR(IF(A10="","",MAX(0,(INDEX(Personnel!$G$5:$G$19,MATCH($A10,Personnel!$A$5:$A$19,0))/12)*((MIN(EOMONTH(EDATE(Dashboard!$C$5,0),0),IF(INDEX(Personnel!$K$5:$K$19,MATCH($A10,Personnel!$A$5:$A$19,0))="",EOMONTH(EDATE(Dashboard!$C$5,0),0),INDEX(Personnel!$K$5:$K$19,MATCH($A10,Personnel!$A$5:$A$19,0))))-MAX(DATE(YEAR(EDATE(Dashboard!$C$5,0)),MONTH(EDATE(Dashboard!$C$5,0)),1),INDEX(Personnel!$J$5:$J$19,MATCH($A10,Personnel!$A$5:$A$19,0)))+1)/DAY(EOMONTH(EDATE(Dashboard!$C$5,0),0))))),"")</f>
        <v/>
      </c>
      <c r="I10" s="189" t="n"/>
      <c r="J10" s="189" t="n"/>
      <c r="K10" s="190">
        <f>IF(A10="","",I10*$D10+IF(OR($F10="Exempt",$E10="Sub"),0,J10*$D10*1.5))</f>
        <v/>
      </c>
      <c r="L10" s="188">
        <f>IFERROR(IF(A10="","",MAX(0,(INDEX(Personnel!$G$5:$G$19,MATCH($A10,Personnel!$A$5:$A$19,0))/12)*((MIN(EOMONTH(EDATE(Dashboard!$C$5,1),0),IF(INDEX(Personnel!$K$5:$K$19,MATCH($A10,Personnel!$A$5:$A$19,0))="",EOMONTH(EDATE(Dashboard!$C$5,1),0),INDEX(Personnel!$K$5:$K$19,MATCH($A10,Personnel!$A$5:$A$19,0))))-MAX(DATE(YEAR(EDATE(Dashboard!$C$5,1)),MONTH(EDATE(Dashboard!$C$5,1)),1),INDEX(Personnel!$J$5:$J$19,MATCH($A10,Personnel!$A$5:$A$19,0)))+1)/DAY(EOMONTH(EDATE(Dashboard!$C$5,1),0))))),"")</f>
        <v/>
      </c>
      <c r="M10" s="189" t="n"/>
      <c r="N10" s="189" t="n"/>
      <c r="O10" s="190">
        <f>IF(A10="","",M10*$D10+IF(OR($F10="Exempt",$E10="Sub"),0,N10*$D10*1.5))</f>
        <v/>
      </c>
      <c r="P10" s="188">
        <f>IFERROR(IF(A10="","",MAX(0,(INDEX(Personnel!$G$5:$G$19,MATCH($A10,Personnel!$A$5:$A$19,0))/12)*((MIN(EOMONTH(EDATE(Dashboard!$C$5,2),0),IF(INDEX(Personnel!$K$5:$K$19,MATCH($A10,Personnel!$A$5:$A$19,0))="",EOMONTH(EDATE(Dashboard!$C$5,2),0),INDEX(Personnel!$K$5:$K$19,MATCH($A10,Personnel!$A$5:$A$19,0))))-MAX(DATE(YEAR(EDATE(Dashboard!$C$5,2)),MONTH(EDATE(Dashboard!$C$5,2)),1),INDEX(Personnel!$J$5:$J$19,MATCH($A10,Personnel!$A$5:$A$19,0)))+1)/DAY(EOMONTH(EDATE(Dashboard!$C$5,2),0))))),"")</f>
        <v/>
      </c>
      <c r="Q10" s="189" t="n"/>
      <c r="R10" s="189" t="n"/>
      <c r="S10" s="190">
        <f>IF(A10="","",Q10*$D10+IF(OR($F10="Exempt",$E10="Sub"),0,R10*$D10*1.5))</f>
        <v/>
      </c>
      <c r="T10" s="191">
        <f>IFERROR(IF(A10="","",MAX(0,(INDEX(Personnel!$G$5:$G$19,MATCH($A10,Personnel!$A$5:$A$19,0))/12)*((MIN(EOMONTH(EDATE(Dashboard!$C$5,3),0),IF(INDEX(Personnel!$K$5:$K$19,MATCH($A10,Personnel!$A$5:$A$19,0))="",EOMONTH(EDATE(Dashboard!$C$5,3),0),INDEX(Personnel!$K$5:$K$19,MATCH($A10,Personnel!$A$5:$A$19,0))))-MAX(DATE(YEAR(EDATE(Dashboard!$C$5,3)),MONTH(EDATE(Dashboard!$C$5,3)),1),INDEX(Personnel!$J$5:$J$19,MATCH($A10,Personnel!$A$5:$A$19,0)))+1)/DAY(EOMONTH(EDATE(Dashboard!$C$5,3),0))))),"")</f>
        <v/>
      </c>
      <c r="U10" s="192" t="n"/>
      <c r="V10" s="192" t="n"/>
      <c r="W10" s="193">
        <f>IF(A10="","",U10*$D10+IF(OR($F10="Exempt",$E10="Sub"),0,V10*$D10*1.5))</f>
        <v/>
      </c>
      <c r="X10" s="191">
        <f>IFERROR(IF(A10="","",MAX(0,(INDEX(Personnel!$G$5:$G$19,MATCH($A10,Personnel!$A$5:$A$19,0))/12)*((MIN(EOMONTH(EDATE(Dashboard!$C$5,4),0),IF(INDEX(Personnel!$K$5:$K$19,MATCH($A10,Personnel!$A$5:$A$19,0))="",EOMONTH(EDATE(Dashboard!$C$5,4),0),INDEX(Personnel!$K$5:$K$19,MATCH($A10,Personnel!$A$5:$A$19,0))))-MAX(DATE(YEAR(EDATE(Dashboard!$C$5,4)),MONTH(EDATE(Dashboard!$C$5,4)),1),INDEX(Personnel!$J$5:$J$19,MATCH($A10,Personnel!$A$5:$A$19,0)))+1)/DAY(EOMONTH(EDATE(Dashboard!$C$5,4),0))))),"")</f>
        <v/>
      </c>
      <c r="Y10" s="192" t="n"/>
      <c r="Z10" s="192" t="n"/>
      <c r="AA10" s="193">
        <f>IF(A10="","",Y10*$D10+IF(OR($F10="Exempt",$E10="Sub"),0,Z10*$D10*1.5))</f>
        <v/>
      </c>
      <c r="AB10" s="191">
        <f>IFERROR(IF(A10="","",MAX(0,(INDEX(Personnel!$G$5:$G$19,MATCH($A10,Personnel!$A$5:$A$19,0))/12)*((MIN(EOMONTH(EDATE(Dashboard!$C$5,5),0),IF(INDEX(Personnel!$K$5:$K$19,MATCH($A10,Personnel!$A$5:$A$19,0))="",EOMONTH(EDATE(Dashboard!$C$5,5),0),INDEX(Personnel!$K$5:$K$19,MATCH($A10,Personnel!$A$5:$A$19,0))))-MAX(DATE(YEAR(EDATE(Dashboard!$C$5,5)),MONTH(EDATE(Dashboard!$C$5,5)),1),INDEX(Personnel!$J$5:$J$19,MATCH($A10,Personnel!$A$5:$A$19,0)))+1)/DAY(EOMONTH(EDATE(Dashboard!$C$5,5),0))))),"")</f>
        <v/>
      </c>
      <c r="AC10" s="192" t="n"/>
      <c r="AD10" s="192" t="n"/>
      <c r="AE10" s="193">
        <f>IF(A10="","",AC10*$D10+IF(OR($F10="Exempt",$E10="Sub"),0,AD10*$D10*1.5))</f>
        <v/>
      </c>
      <c r="AF10" s="194">
        <f>IFERROR(IF(A10="","",MAX(0,(INDEX(Personnel!$G$5:$G$19,MATCH($A10,Personnel!$A$5:$A$19,0))/12)*((MIN(EOMONTH(EDATE(Dashboard!$C$5,6),0),IF(INDEX(Personnel!$K$5:$K$19,MATCH($A10,Personnel!$A$5:$A$19,0))="",EOMONTH(EDATE(Dashboard!$C$5,6),0),INDEX(Personnel!$K$5:$K$19,MATCH($A10,Personnel!$A$5:$A$19,0))))-MAX(DATE(YEAR(EDATE(Dashboard!$C$5,6)),MONTH(EDATE(Dashboard!$C$5,6)),1),INDEX(Personnel!$J$5:$J$19,MATCH($A10,Personnel!$A$5:$A$19,0)))+1)/DAY(EOMONTH(EDATE(Dashboard!$C$5,6),0))))),"")</f>
        <v/>
      </c>
      <c r="AG10" s="195" t="n"/>
      <c r="AH10" s="195" t="n"/>
      <c r="AI10" s="196">
        <f>IF(A10="","",AG10*$D10+IF(OR($F10="Exempt",$E10="Sub"),0,AH10*$D10*1.5))</f>
        <v/>
      </c>
      <c r="AJ10" s="194">
        <f>IFERROR(IF(A10="","",MAX(0,(INDEX(Personnel!$G$5:$G$19,MATCH($A10,Personnel!$A$5:$A$19,0))/12)*((MIN(EOMONTH(EDATE(Dashboard!$C$5,7),0),IF(INDEX(Personnel!$K$5:$K$19,MATCH($A10,Personnel!$A$5:$A$19,0))="",EOMONTH(EDATE(Dashboard!$C$5,7),0),INDEX(Personnel!$K$5:$K$19,MATCH($A10,Personnel!$A$5:$A$19,0))))-MAX(DATE(YEAR(EDATE(Dashboard!$C$5,7)),MONTH(EDATE(Dashboard!$C$5,7)),1),INDEX(Personnel!$J$5:$J$19,MATCH($A10,Personnel!$A$5:$A$19,0)))+1)/DAY(EOMONTH(EDATE(Dashboard!$C$5,7),0))))),"")</f>
        <v/>
      </c>
      <c r="AK10" s="195" t="n"/>
      <c r="AL10" s="195" t="n"/>
      <c r="AM10" s="196">
        <f>IF(A10="","",AK10*$D10+IF(OR($F10="Exempt",$E10="Sub"),0,AL10*$D10*1.5))</f>
        <v/>
      </c>
      <c r="AN10" s="194">
        <f>IFERROR(IF(A10="","",MAX(0,(INDEX(Personnel!$G$5:$G$19,MATCH($A10,Personnel!$A$5:$A$19,0))/12)*((MIN(EOMONTH(EDATE(Dashboard!$C$5,8),0),IF(INDEX(Personnel!$K$5:$K$19,MATCH($A10,Personnel!$A$5:$A$19,0))="",EOMONTH(EDATE(Dashboard!$C$5,8),0),INDEX(Personnel!$K$5:$K$19,MATCH($A10,Personnel!$A$5:$A$19,0))))-MAX(DATE(YEAR(EDATE(Dashboard!$C$5,8)),MONTH(EDATE(Dashboard!$C$5,8)),1),INDEX(Personnel!$J$5:$J$19,MATCH($A10,Personnel!$A$5:$A$19,0)))+1)/DAY(EOMONTH(EDATE(Dashboard!$C$5,8),0))))),"")</f>
        <v/>
      </c>
      <c r="AO10" s="195" t="n"/>
      <c r="AP10" s="195" t="n"/>
      <c r="AQ10" s="196">
        <f>IF(A10="","",AO10*$D10+IF(OR($F10="Exempt",$E10="Sub"),0,AP10*$D10*1.5))</f>
        <v/>
      </c>
      <c r="AR10" s="197">
        <f>IFERROR(IF(A10="","",MAX(0,(INDEX(Personnel!$G$5:$G$19,MATCH($A10,Personnel!$A$5:$A$19,0))/12)*((MIN(EOMONTH(EDATE(Dashboard!$C$5,9),0),IF(INDEX(Personnel!$K$5:$K$19,MATCH($A10,Personnel!$A$5:$A$19,0))="",EOMONTH(EDATE(Dashboard!$C$5,9),0),INDEX(Personnel!$K$5:$K$19,MATCH($A10,Personnel!$A$5:$A$19,0))))-MAX(DATE(YEAR(EDATE(Dashboard!$C$5,9)),MONTH(EDATE(Dashboard!$C$5,9)),1),INDEX(Personnel!$J$5:$J$19,MATCH($A10,Personnel!$A$5:$A$19,0)))+1)/DAY(EOMONTH(EDATE(Dashboard!$C$5,9),0))))),"")</f>
        <v/>
      </c>
      <c r="AS10" s="198" t="n"/>
      <c r="AT10" s="198" t="n"/>
      <c r="AU10" s="199">
        <f>IF(A10="","",AS10*$D10+IF(OR($F10="Exempt",$E10="Sub"),0,AT10*$D10*1.5))</f>
        <v/>
      </c>
      <c r="AV10" s="197">
        <f>IFERROR(IF(A10="","",MAX(0,(INDEX(Personnel!$G$5:$G$19,MATCH($A10,Personnel!$A$5:$A$19,0))/12)*((MIN(EOMONTH(EDATE(Dashboard!$C$5,10),0),IF(INDEX(Personnel!$K$5:$K$19,MATCH($A10,Personnel!$A$5:$A$19,0))="",EOMONTH(EDATE(Dashboard!$C$5,10),0),INDEX(Personnel!$K$5:$K$19,MATCH($A10,Personnel!$A$5:$A$19,0))))-MAX(DATE(YEAR(EDATE(Dashboard!$C$5,10)),MONTH(EDATE(Dashboard!$C$5,10)),1),INDEX(Personnel!$J$5:$J$19,MATCH($A10,Personnel!$A$5:$A$19,0)))+1)/DAY(EOMONTH(EDATE(Dashboard!$C$5,10),0))))),"")</f>
        <v/>
      </c>
      <c r="AW10" s="198" t="n"/>
      <c r="AX10" s="198" t="n"/>
      <c r="AY10" s="199">
        <f>IF(A10="","",AW10*$D10+IF(OR($F10="Exempt",$E10="Sub"),0,AX10*$D10*1.5))</f>
        <v/>
      </c>
      <c r="AZ10" s="197">
        <f>IFERROR(IF(A10="","",MAX(0,(INDEX(Personnel!$G$5:$G$19,MATCH($A10,Personnel!$A$5:$A$19,0))/12)*((MIN(EOMONTH(EDATE(Dashboard!$C$5,11),0),IF(INDEX(Personnel!$K$5:$K$19,MATCH($A10,Personnel!$A$5:$A$19,0))="",EOMONTH(EDATE(Dashboard!$C$5,11),0),INDEX(Personnel!$K$5:$K$19,MATCH($A10,Personnel!$A$5:$A$19,0))))-MAX(DATE(YEAR(EDATE(Dashboard!$C$5,11)),MONTH(EDATE(Dashboard!$C$5,11)),1),INDEX(Personnel!$J$5:$J$19,MATCH($A10,Personnel!$A$5:$A$19,0)))+1)/DAY(EOMONTH(EDATE(Dashboard!$C$5,11),0))))),"")</f>
        <v/>
      </c>
      <c r="BA10" s="198" t="n"/>
      <c r="BB10" s="198" t="n"/>
      <c r="BC10" s="199">
        <f>IF(A10="","",BA10*$D10+IF(OR($F10="Exempt",$E10="Sub"),0,BB10*$D10*1.5))</f>
        <v/>
      </c>
      <c r="BD10" s="186">
        <f>IF(A10="","",SUM(H10,L10,P10,T10,X10,AB10,AF10,AJ10,AN10,AR10,AV10,AZ10))</f>
        <v/>
      </c>
      <c r="BE10" s="186">
        <f>IF(A10="","",SUM(I10,J10,M10,N10,Q10,R10,U10,V10,Y10,Z10,AC10,AD10,AG10,AH10,AK10,AL10,AO10,AP10,AS10,AT10,AW10,AX10,BA10,BB10))</f>
        <v/>
      </c>
      <c r="BF10" s="200">
        <f>IF(A10="","",BD10*$D10)</f>
        <v/>
      </c>
      <c r="BG10" s="200">
        <f>IF(A10="","",SUM(K10,O10,S10,W10,AA10,AE10,AI10,AM10,AQ10,AU10,AY10,BC10))</f>
        <v/>
      </c>
    </row>
    <row r="11" ht="15" customHeight="1" s="109">
      <c r="A11" s="128" t="n"/>
      <c r="B11" s="183" t="n"/>
      <c r="C11" s="183" t="n"/>
      <c r="D11" s="183" t="n"/>
      <c r="E11" s="128" t="n"/>
      <c r="F11" s="183" t="n"/>
      <c r="G11" s="128" t="n"/>
      <c r="H11" s="188">
        <f>IFERROR(IF(A11="","",MAX(0,(INDEX(Personnel!$G$5:$G$19,MATCH($A11,Personnel!$A$5:$A$19,0))/12)*((MIN(EOMONTH(EDATE(Dashboard!$C$5,0),0),IF(INDEX(Personnel!$K$5:$K$19,MATCH($A11,Personnel!$A$5:$A$19,0))="",EOMONTH(EDATE(Dashboard!$C$5,0),0),INDEX(Personnel!$K$5:$K$19,MATCH($A11,Personnel!$A$5:$A$19,0))))-MAX(DATE(YEAR(EDATE(Dashboard!$C$5,0)),MONTH(EDATE(Dashboard!$C$5,0)),1),INDEX(Personnel!$J$5:$J$19,MATCH($A11,Personnel!$A$5:$A$19,0)))+1)/DAY(EOMONTH(EDATE(Dashboard!$C$5,0),0))))),"")</f>
        <v/>
      </c>
      <c r="I11" s="189" t="n"/>
      <c r="J11" s="189" t="n"/>
      <c r="K11" s="190">
        <f>IF(A11="","",I11*$D11+IF(OR($F11="Exempt",$E11="Sub"),0,J11*$D11*1.5))</f>
        <v/>
      </c>
      <c r="L11" s="188">
        <f>IFERROR(IF(A11="","",MAX(0,(INDEX(Personnel!$G$5:$G$19,MATCH($A11,Personnel!$A$5:$A$19,0))/12)*((MIN(EOMONTH(EDATE(Dashboard!$C$5,1),0),IF(INDEX(Personnel!$K$5:$K$19,MATCH($A11,Personnel!$A$5:$A$19,0))="",EOMONTH(EDATE(Dashboard!$C$5,1),0),INDEX(Personnel!$K$5:$K$19,MATCH($A11,Personnel!$A$5:$A$19,0))))-MAX(DATE(YEAR(EDATE(Dashboard!$C$5,1)),MONTH(EDATE(Dashboard!$C$5,1)),1),INDEX(Personnel!$J$5:$J$19,MATCH($A11,Personnel!$A$5:$A$19,0)))+1)/DAY(EOMONTH(EDATE(Dashboard!$C$5,1),0))))),"")</f>
        <v/>
      </c>
      <c r="M11" s="189" t="n"/>
      <c r="N11" s="189" t="n"/>
      <c r="O11" s="190">
        <f>IF(A11="","",M11*$D11+IF(OR($F11="Exempt",$E11="Sub"),0,N11*$D11*1.5))</f>
        <v/>
      </c>
      <c r="P11" s="188">
        <f>IFERROR(IF(A11="","",MAX(0,(INDEX(Personnel!$G$5:$G$19,MATCH($A11,Personnel!$A$5:$A$19,0))/12)*((MIN(EOMONTH(EDATE(Dashboard!$C$5,2),0),IF(INDEX(Personnel!$K$5:$K$19,MATCH($A11,Personnel!$A$5:$A$19,0))="",EOMONTH(EDATE(Dashboard!$C$5,2),0),INDEX(Personnel!$K$5:$K$19,MATCH($A11,Personnel!$A$5:$A$19,0))))-MAX(DATE(YEAR(EDATE(Dashboard!$C$5,2)),MONTH(EDATE(Dashboard!$C$5,2)),1),INDEX(Personnel!$J$5:$J$19,MATCH($A11,Personnel!$A$5:$A$19,0)))+1)/DAY(EOMONTH(EDATE(Dashboard!$C$5,2),0))))),"")</f>
        <v/>
      </c>
      <c r="Q11" s="189" t="n"/>
      <c r="R11" s="189" t="n"/>
      <c r="S11" s="190">
        <f>IF(A11="","",Q11*$D11+IF(OR($F11="Exempt",$E11="Sub"),0,R11*$D11*1.5))</f>
        <v/>
      </c>
      <c r="T11" s="191">
        <f>IFERROR(IF(A11="","",MAX(0,(INDEX(Personnel!$G$5:$G$19,MATCH($A11,Personnel!$A$5:$A$19,0))/12)*((MIN(EOMONTH(EDATE(Dashboard!$C$5,3),0),IF(INDEX(Personnel!$K$5:$K$19,MATCH($A11,Personnel!$A$5:$A$19,0))="",EOMONTH(EDATE(Dashboard!$C$5,3),0),INDEX(Personnel!$K$5:$K$19,MATCH($A11,Personnel!$A$5:$A$19,0))))-MAX(DATE(YEAR(EDATE(Dashboard!$C$5,3)),MONTH(EDATE(Dashboard!$C$5,3)),1),INDEX(Personnel!$J$5:$J$19,MATCH($A11,Personnel!$A$5:$A$19,0)))+1)/DAY(EOMONTH(EDATE(Dashboard!$C$5,3),0))))),"")</f>
        <v/>
      </c>
      <c r="U11" s="192" t="n"/>
      <c r="V11" s="192" t="n"/>
      <c r="W11" s="193">
        <f>IF(A11="","",U11*$D11+IF(OR($F11="Exempt",$E11="Sub"),0,V11*$D11*1.5))</f>
        <v/>
      </c>
      <c r="X11" s="191">
        <f>IFERROR(IF(A11="","",MAX(0,(INDEX(Personnel!$G$5:$G$19,MATCH($A11,Personnel!$A$5:$A$19,0))/12)*((MIN(EOMONTH(EDATE(Dashboard!$C$5,4),0),IF(INDEX(Personnel!$K$5:$K$19,MATCH($A11,Personnel!$A$5:$A$19,0))="",EOMONTH(EDATE(Dashboard!$C$5,4),0),INDEX(Personnel!$K$5:$K$19,MATCH($A11,Personnel!$A$5:$A$19,0))))-MAX(DATE(YEAR(EDATE(Dashboard!$C$5,4)),MONTH(EDATE(Dashboard!$C$5,4)),1),INDEX(Personnel!$J$5:$J$19,MATCH($A11,Personnel!$A$5:$A$19,0)))+1)/DAY(EOMONTH(EDATE(Dashboard!$C$5,4),0))))),"")</f>
        <v/>
      </c>
      <c r="Y11" s="192" t="n"/>
      <c r="Z11" s="192" t="n"/>
      <c r="AA11" s="193">
        <f>IF(A11="","",Y11*$D11+IF(OR($F11="Exempt",$E11="Sub"),0,Z11*$D11*1.5))</f>
        <v/>
      </c>
      <c r="AB11" s="191">
        <f>IFERROR(IF(A11="","",MAX(0,(INDEX(Personnel!$G$5:$G$19,MATCH($A11,Personnel!$A$5:$A$19,0))/12)*((MIN(EOMONTH(EDATE(Dashboard!$C$5,5),0),IF(INDEX(Personnel!$K$5:$K$19,MATCH($A11,Personnel!$A$5:$A$19,0))="",EOMONTH(EDATE(Dashboard!$C$5,5),0),INDEX(Personnel!$K$5:$K$19,MATCH($A11,Personnel!$A$5:$A$19,0))))-MAX(DATE(YEAR(EDATE(Dashboard!$C$5,5)),MONTH(EDATE(Dashboard!$C$5,5)),1),INDEX(Personnel!$J$5:$J$19,MATCH($A11,Personnel!$A$5:$A$19,0)))+1)/DAY(EOMONTH(EDATE(Dashboard!$C$5,5),0))))),"")</f>
        <v/>
      </c>
      <c r="AC11" s="192" t="n"/>
      <c r="AD11" s="192" t="n"/>
      <c r="AE11" s="193">
        <f>IF(A11="","",AC11*$D11+IF(OR($F11="Exempt",$E11="Sub"),0,AD11*$D11*1.5))</f>
        <v/>
      </c>
      <c r="AF11" s="194">
        <f>IFERROR(IF(A11="","",MAX(0,(INDEX(Personnel!$G$5:$G$19,MATCH($A11,Personnel!$A$5:$A$19,0))/12)*((MIN(EOMONTH(EDATE(Dashboard!$C$5,6),0),IF(INDEX(Personnel!$K$5:$K$19,MATCH($A11,Personnel!$A$5:$A$19,0))="",EOMONTH(EDATE(Dashboard!$C$5,6),0),INDEX(Personnel!$K$5:$K$19,MATCH($A11,Personnel!$A$5:$A$19,0))))-MAX(DATE(YEAR(EDATE(Dashboard!$C$5,6)),MONTH(EDATE(Dashboard!$C$5,6)),1),INDEX(Personnel!$J$5:$J$19,MATCH($A11,Personnel!$A$5:$A$19,0)))+1)/DAY(EOMONTH(EDATE(Dashboard!$C$5,6),0))))),"")</f>
        <v/>
      </c>
      <c r="AG11" s="195" t="n"/>
      <c r="AH11" s="195" t="n"/>
      <c r="AI11" s="196">
        <f>IF(A11="","",AG11*$D11+IF(OR($F11="Exempt",$E11="Sub"),0,AH11*$D11*1.5))</f>
        <v/>
      </c>
      <c r="AJ11" s="194">
        <f>IFERROR(IF(A11="","",MAX(0,(INDEX(Personnel!$G$5:$G$19,MATCH($A11,Personnel!$A$5:$A$19,0))/12)*((MIN(EOMONTH(EDATE(Dashboard!$C$5,7),0),IF(INDEX(Personnel!$K$5:$K$19,MATCH($A11,Personnel!$A$5:$A$19,0))="",EOMONTH(EDATE(Dashboard!$C$5,7),0),INDEX(Personnel!$K$5:$K$19,MATCH($A11,Personnel!$A$5:$A$19,0))))-MAX(DATE(YEAR(EDATE(Dashboard!$C$5,7)),MONTH(EDATE(Dashboard!$C$5,7)),1),INDEX(Personnel!$J$5:$J$19,MATCH($A11,Personnel!$A$5:$A$19,0)))+1)/DAY(EOMONTH(EDATE(Dashboard!$C$5,7),0))))),"")</f>
        <v/>
      </c>
      <c r="AK11" s="195" t="n"/>
      <c r="AL11" s="195" t="n"/>
      <c r="AM11" s="196">
        <f>IF(A11="","",AK11*$D11+IF(OR($F11="Exempt",$E11="Sub"),0,AL11*$D11*1.5))</f>
        <v/>
      </c>
      <c r="AN11" s="194">
        <f>IFERROR(IF(A11="","",MAX(0,(INDEX(Personnel!$G$5:$G$19,MATCH($A11,Personnel!$A$5:$A$19,0))/12)*((MIN(EOMONTH(EDATE(Dashboard!$C$5,8),0),IF(INDEX(Personnel!$K$5:$K$19,MATCH($A11,Personnel!$A$5:$A$19,0))="",EOMONTH(EDATE(Dashboard!$C$5,8),0),INDEX(Personnel!$K$5:$K$19,MATCH($A11,Personnel!$A$5:$A$19,0))))-MAX(DATE(YEAR(EDATE(Dashboard!$C$5,8)),MONTH(EDATE(Dashboard!$C$5,8)),1),INDEX(Personnel!$J$5:$J$19,MATCH($A11,Personnel!$A$5:$A$19,0)))+1)/DAY(EOMONTH(EDATE(Dashboard!$C$5,8),0))))),"")</f>
        <v/>
      </c>
      <c r="AO11" s="195" t="n"/>
      <c r="AP11" s="195" t="n"/>
      <c r="AQ11" s="196">
        <f>IF(A11="","",AO11*$D11+IF(OR($F11="Exempt",$E11="Sub"),0,AP11*$D11*1.5))</f>
        <v/>
      </c>
      <c r="AR11" s="197">
        <f>IFERROR(IF(A11="","",MAX(0,(INDEX(Personnel!$G$5:$G$19,MATCH($A11,Personnel!$A$5:$A$19,0))/12)*((MIN(EOMONTH(EDATE(Dashboard!$C$5,9),0),IF(INDEX(Personnel!$K$5:$K$19,MATCH($A11,Personnel!$A$5:$A$19,0))="",EOMONTH(EDATE(Dashboard!$C$5,9),0),INDEX(Personnel!$K$5:$K$19,MATCH($A11,Personnel!$A$5:$A$19,0))))-MAX(DATE(YEAR(EDATE(Dashboard!$C$5,9)),MONTH(EDATE(Dashboard!$C$5,9)),1),INDEX(Personnel!$J$5:$J$19,MATCH($A11,Personnel!$A$5:$A$19,0)))+1)/DAY(EOMONTH(EDATE(Dashboard!$C$5,9),0))))),"")</f>
        <v/>
      </c>
      <c r="AS11" s="198" t="n"/>
      <c r="AT11" s="198" t="n"/>
      <c r="AU11" s="199">
        <f>IF(A11="","",AS11*$D11+IF(OR($F11="Exempt",$E11="Sub"),0,AT11*$D11*1.5))</f>
        <v/>
      </c>
      <c r="AV11" s="197">
        <f>IFERROR(IF(A11="","",MAX(0,(INDEX(Personnel!$G$5:$G$19,MATCH($A11,Personnel!$A$5:$A$19,0))/12)*((MIN(EOMONTH(EDATE(Dashboard!$C$5,10),0),IF(INDEX(Personnel!$K$5:$K$19,MATCH($A11,Personnel!$A$5:$A$19,0))="",EOMONTH(EDATE(Dashboard!$C$5,10),0),INDEX(Personnel!$K$5:$K$19,MATCH($A11,Personnel!$A$5:$A$19,0))))-MAX(DATE(YEAR(EDATE(Dashboard!$C$5,10)),MONTH(EDATE(Dashboard!$C$5,10)),1),INDEX(Personnel!$J$5:$J$19,MATCH($A11,Personnel!$A$5:$A$19,0)))+1)/DAY(EOMONTH(EDATE(Dashboard!$C$5,10),0))))),"")</f>
        <v/>
      </c>
      <c r="AW11" s="198" t="n"/>
      <c r="AX11" s="198" t="n"/>
      <c r="AY11" s="199">
        <f>IF(A11="","",AW11*$D11+IF(OR($F11="Exempt",$E11="Sub"),0,AX11*$D11*1.5))</f>
        <v/>
      </c>
      <c r="AZ11" s="197">
        <f>IFERROR(IF(A11="","",MAX(0,(INDEX(Personnel!$G$5:$G$19,MATCH($A11,Personnel!$A$5:$A$19,0))/12)*((MIN(EOMONTH(EDATE(Dashboard!$C$5,11),0),IF(INDEX(Personnel!$K$5:$K$19,MATCH($A11,Personnel!$A$5:$A$19,0))="",EOMONTH(EDATE(Dashboard!$C$5,11),0),INDEX(Personnel!$K$5:$K$19,MATCH($A11,Personnel!$A$5:$A$19,0))))-MAX(DATE(YEAR(EDATE(Dashboard!$C$5,11)),MONTH(EDATE(Dashboard!$C$5,11)),1),INDEX(Personnel!$J$5:$J$19,MATCH($A11,Personnel!$A$5:$A$19,0)))+1)/DAY(EOMONTH(EDATE(Dashboard!$C$5,11),0))))),"")</f>
        <v/>
      </c>
      <c r="BA11" s="198" t="n"/>
      <c r="BB11" s="198" t="n"/>
      <c r="BC11" s="199">
        <f>IF(A11="","",BA11*$D11+IF(OR($F11="Exempt",$E11="Sub"),0,BB11*$D11*1.5))</f>
        <v/>
      </c>
      <c r="BD11" s="186">
        <f>IF(A11="","",SUM(H11,L11,P11,T11,X11,AB11,AF11,AJ11,AN11,AR11,AV11,AZ11))</f>
        <v/>
      </c>
      <c r="BE11" s="186">
        <f>IF(A11="","",SUM(I11,J11,M11,N11,Q11,R11,U11,V11,Y11,Z11,AC11,AD11,AG11,AH11,AK11,AL11,AO11,AP11,AS11,AT11,AW11,AX11,BA11,BB11))</f>
        <v/>
      </c>
      <c r="BF11" s="200">
        <f>IF(A11="","",BD11*$D11)</f>
        <v/>
      </c>
      <c r="BG11" s="200">
        <f>IF(A11="","",SUM(K11,O11,S11,W11,AA11,AE11,AI11,AM11,AQ11,AU11,AY11,BC11))</f>
        <v/>
      </c>
    </row>
    <row r="12" ht="15" customHeight="1" s="109">
      <c r="A12" s="128" t="n"/>
      <c r="B12" s="183" t="n"/>
      <c r="C12" s="183" t="n"/>
      <c r="D12" s="183" t="n"/>
      <c r="E12" s="128" t="n"/>
      <c r="F12" s="183" t="n"/>
      <c r="G12" s="128" t="n"/>
      <c r="H12" s="188">
        <f>IFERROR(IF(A12="","",MAX(0,(INDEX(Personnel!$G$5:$G$19,MATCH($A12,Personnel!$A$5:$A$19,0))/12)*((MIN(EOMONTH(EDATE(Dashboard!$C$5,0),0),IF(INDEX(Personnel!$K$5:$K$19,MATCH($A12,Personnel!$A$5:$A$19,0))="",EOMONTH(EDATE(Dashboard!$C$5,0),0),INDEX(Personnel!$K$5:$K$19,MATCH($A12,Personnel!$A$5:$A$19,0))))-MAX(DATE(YEAR(EDATE(Dashboard!$C$5,0)),MONTH(EDATE(Dashboard!$C$5,0)),1),INDEX(Personnel!$J$5:$J$19,MATCH($A12,Personnel!$A$5:$A$19,0)))+1)/DAY(EOMONTH(EDATE(Dashboard!$C$5,0),0))))),"")</f>
        <v/>
      </c>
      <c r="I12" s="189" t="n"/>
      <c r="J12" s="189" t="n"/>
      <c r="K12" s="190">
        <f>IF(A12="","",I12*$D12+IF(OR($F12="Exempt",$E12="Sub"),0,J12*$D12*1.5))</f>
        <v/>
      </c>
      <c r="L12" s="188">
        <f>IFERROR(IF(A12="","",MAX(0,(INDEX(Personnel!$G$5:$G$19,MATCH($A12,Personnel!$A$5:$A$19,0))/12)*((MIN(EOMONTH(EDATE(Dashboard!$C$5,1),0),IF(INDEX(Personnel!$K$5:$K$19,MATCH($A12,Personnel!$A$5:$A$19,0))="",EOMONTH(EDATE(Dashboard!$C$5,1),0),INDEX(Personnel!$K$5:$K$19,MATCH($A12,Personnel!$A$5:$A$19,0))))-MAX(DATE(YEAR(EDATE(Dashboard!$C$5,1)),MONTH(EDATE(Dashboard!$C$5,1)),1),INDEX(Personnel!$J$5:$J$19,MATCH($A12,Personnel!$A$5:$A$19,0)))+1)/DAY(EOMONTH(EDATE(Dashboard!$C$5,1),0))))),"")</f>
        <v/>
      </c>
      <c r="M12" s="189" t="n"/>
      <c r="N12" s="189" t="n"/>
      <c r="O12" s="190">
        <f>IF(A12="","",M12*$D12+IF(OR($F12="Exempt",$E12="Sub"),0,N12*$D12*1.5))</f>
        <v/>
      </c>
      <c r="P12" s="188">
        <f>IFERROR(IF(A12="","",MAX(0,(INDEX(Personnel!$G$5:$G$19,MATCH($A12,Personnel!$A$5:$A$19,0))/12)*((MIN(EOMONTH(EDATE(Dashboard!$C$5,2),0),IF(INDEX(Personnel!$K$5:$K$19,MATCH($A12,Personnel!$A$5:$A$19,0))="",EOMONTH(EDATE(Dashboard!$C$5,2),0),INDEX(Personnel!$K$5:$K$19,MATCH($A12,Personnel!$A$5:$A$19,0))))-MAX(DATE(YEAR(EDATE(Dashboard!$C$5,2)),MONTH(EDATE(Dashboard!$C$5,2)),1),INDEX(Personnel!$J$5:$J$19,MATCH($A12,Personnel!$A$5:$A$19,0)))+1)/DAY(EOMONTH(EDATE(Dashboard!$C$5,2),0))))),"")</f>
        <v/>
      </c>
      <c r="Q12" s="189" t="n"/>
      <c r="R12" s="189" t="n"/>
      <c r="S12" s="190">
        <f>IF(A12="","",Q12*$D12+IF(OR($F12="Exempt",$E12="Sub"),0,R12*$D12*1.5))</f>
        <v/>
      </c>
      <c r="T12" s="191">
        <f>IFERROR(IF(A12="","",MAX(0,(INDEX(Personnel!$G$5:$G$19,MATCH($A12,Personnel!$A$5:$A$19,0))/12)*((MIN(EOMONTH(EDATE(Dashboard!$C$5,3),0),IF(INDEX(Personnel!$K$5:$K$19,MATCH($A12,Personnel!$A$5:$A$19,0))="",EOMONTH(EDATE(Dashboard!$C$5,3),0),INDEX(Personnel!$K$5:$K$19,MATCH($A12,Personnel!$A$5:$A$19,0))))-MAX(DATE(YEAR(EDATE(Dashboard!$C$5,3)),MONTH(EDATE(Dashboard!$C$5,3)),1),INDEX(Personnel!$J$5:$J$19,MATCH($A12,Personnel!$A$5:$A$19,0)))+1)/DAY(EOMONTH(EDATE(Dashboard!$C$5,3),0))))),"")</f>
        <v/>
      </c>
      <c r="U12" s="192" t="n"/>
      <c r="V12" s="192" t="n"/>
      <c r="W12" s="193">
        <f>IF(A12="","",U12*$D12+IF(OR($F12="Exempt",$E12="Sub"),0,V12*$D12*1.5))</f>
        <v/>
      </c>
      <c r="X12" s="191">
        <f>IFERROR(IF(A12="","",MAX(0,(INDEX(Personnel!$G$5:$G$19,MATCH($A12,Personnel!$A$5:$A$19,0))/12)*((MIN(EOMONTH(EDATE(Dashboard!$C$5,4),0),IF(INDEX(Personnel!$K$5:$K$19,MATCH($A12,Personnel!$A$5:$A$19,0))="",EOMONTH(EDATE(Dashboard!$C$5,4),0),INDEX(Personnel!$K$5:$K$19,MATCH($A12,Personnel!$A$5:$A$19,0))))-MAX(DATE(YEAR(EDATE(Dashboard!$C$5,4)),MONTH(EDATE(Dashboard!$C$5,4)),1),INDEX(Personnel!$J$5:$J$19,MATCH($A12,Personnel!$A$5:$A$19,0)))+1)/DAY(EOMONTH(EDATE(Dashboard!$C$5,4),0))))),"")</f>
        <v/>
      </c>
      <c r="Y12" s="192" t="n"/>
      <c r="Z12" s="192" t="n"/>
      <c r="AA12" s="193">
        <f>IF(A12="","",Y12*$D12+IF(OR($F12="Exempt",$E12="Sub"),0,Z12*$D12*1.5))</f>
        <v/>
      </c>
      <c r="AB12" s="191">
        <f>IFERROR(IF(A12="","",MAX(0,(INDEX(Personnel!$G$5:$G$19,MATCH($A12,Personnel!$A$5:$A$19,0))/12)*((MIN(EOMONTH(EDATE(Dashboard!$C$5,5),0),IF(INDEX(Personnel!$K$5:$K$19,MATCH($A12,Personnel!$A$5:$A$19,0))="",EOMONTH(EDATE(Dashboard!$C$5,5),0),INDEX(Personnel!$K$5:$K$19,MATCH($A12,Personnel!$A$5:$A$19,0))))-MAX(DATE(YEAR(EDATE(Dashboard!$C$5,5)),MONTH(EDATE(Dashboard!$C$5,5)),1),INDEX(Personnel!$J$5:$J$19,MATCH($A12,Personnel!$A$5:$A$19,0)))+1)/DAY(EOMONTH(EDATE(Dashboard!$C$5,5),0))))),"")</f>
        <v/>
      </c>
      <c r="AC12" s="192" t="n"/>
      <c r="AD12" s="192" t="n"/>
      <c r="AE12" s="193">
        <f>IF(A12="","",AC12*$D12+IF(OR($F12="Exempt",$E12="Sub"),0,AD12*$D12*1.5))</f>
        <v/>
      </c>
      <c r="AF12" s="194">
        <f>IFERROR(IF(A12="","",MAX(0,(INDEX(Personnel!$G$5:$G$19,MATCH($A12,Personnel!$A$5:$A$19,0))/12)*((MIN(EOMONTH(EDATE(Dashboard!$C$5,6),0),IF(INDEX(Personnel!$K$5:$K$19,MATCH($A12,Personnel!$A$5:$A$19,0))="",EOMONTH(EDATE(Dashboard!$C$5,6),0),INDEX(Personnel!$K$5:$K$19,MATCH($A12,Personnel!$A$5:$A$19,0))))-MAX(DATE(YEAR(EDATE(Dashboard!$C$5,6)),MONTH(EDATE(Dashboard!$C$5,6)),1),INDEX(Personnel!$J$5:$J$19,MATCH($A12,Personnel!$A$5:$A$19,0)))+1)/DAY(EOMONTH(EDATE(Dashboard!$C$5,6),0))))),"")</f>
        <v/>
      </c>
      <c r="AG12" s="195" t="n"/>
      <c r="AH12" s="195" t="n"/>
      <c r="AI12" s="196">
        <f>IF(A12="","",AG12*$D12+IF(OR($F12="Exempt",$E12="Sub"),0,AH12*$D12*1.5))</f>
        <v/>
      </c>
      <c r="AJ12" s="194">
        <f>IFERROR(IF(A12="","",MAX(0,(INDEX(Personnel!$G$5:$G$19,MATCH($A12,Personnel!$A$5:$A$19,0))/12)*((MIN(EOMONTH(EDATE(Dashboard!$C$5,7),0),IF(INDEX(Personnel!$K$5:$K$19,MATCH($A12,Personnel!$A$5:$A$19,0))="",EOMONTH(EDATE(Dashboard!$C$5,7),0),INDEX(Personnel!$K$5:$K$19,MATCH($A12,Personnel!$A$5:$A$19,0))))-MAX(DATE(YEAR(EDATE(Dashboard!$C$5,7)),MONTH(EDATE(Dashboard!$C$5,7)),1),INDEX(Personnel!$J$5:$J$19,MATCH($A12,Personnel!$A$5:$A$19,0)))+1)/DAY(EOMONTH(EDATE(Dashboard!$C$5,7),0))))),"")</f>
        <v/>
      </c>
      <c r="AK12" s="195" t="n"/>
      <c r="AL12" s="195" t="n"/>
      <c r="AM12" s="196">
        <f>IF(A12="","",AK12*$D12+IF(OR($F12="Exempt",$E12="Sub"),0,AL12*$D12*1.5))</f>
        <v/>
      </c>
      <c r="AN12" s="194">
        <f>IFERROR(IF(A12="","",MAX(0,(INDEX(Personnel!$G$5:$G$19,MATCH($A12,Personnel!$A$5:$A$19,0))/12)*((MIN(EOMONTH(EDATE(Dashboard!$C$5,8),0),IF(INDEX(Personnel!$K$5:$K$19,MATCH($A12,Personnel!$A$5:$A$19,0))="",EOMONTH(EDATE(Dashboard!$C$5,8),0),INDEX(Personnel!$K$5:$K$19,MATCH($A12,Personnel!$A$5:$A$19,0))))-MAX(DATE(YEAR(EDATE(Dashboard!$C$5,8)),MONTH(EDATE(Dashboard!$C$5,8)),1),INDEX(Personnel!$J$5:$J$19,MATCH($A12,Personnel!$A$5:$A$19,0)))+1)/DAY(EOMONTH(EDATE(Dashboard!$C$5,8),0))))),"")</f>
        <v/>
      </c>
      <c r="AO12" s="195" t="n"/>
      <c r="AP12" s="195" t="n"/>
      <c r="AQ12" s="196">
        <f>IF(A12="","",AO12*$D12+IF(OR($F12="Exempt",$E12="Sub"),0,AP12*$D12*1.5))</f>
        <v/>
      </c>
      <c r="AR12" s="197">
        <f>IFERROR(IF(A12="","",MAX(0,(INDEX(Personnel!$G$5:$G$19,MATCH($A12,Personnel!$A$5:$A$19,0))/12)*((MIN(EOMONTH(EDATE(Dashboard!$C$5,9),0),IF(INDEX(Personnel!$K$5:$K$19,MATCH($A12,Personnel!$A$5:$A$19,0))="",EOMONTH(EDATE(Dashboard!$C$5,9),0),INDEX(Personnel!$K$5:$K$19,MATCH($A12,Personnel!$A$5:$A$19,0))))-MAX(DATE(YEAR(EDATE(Dashboard!$C$5,9)),MONTH(EDATE(Dashboard!$C$5,9)),1),INDEX(Personnel!$J$5:$J$19,MATCH($A12,Personnel!$A$5:$A$19,0)))+1)/DAY(EOMONTH(EDATE(Dashboard!$C$5,9),0))))),"")</f>
        <v/>
      </c>
      <c r="AS12" s="198" t="n"/>
      <c r="AT12" s="198" t="n"/>
      <c r="AU12" s="199">
        <f>IF(A12="","",AS12*$D12+IF(OR($F12="Exempt",$E12="Sub"),0,AT12*$D12*1.5))</f>
        <v/>
      </c>
      <c r="AV12" s="197">
        <f>IFERROR(IF(A12="","",MAX(0,(INDEX(Personnel!$G$5:$G$19,MATCH($A12,Personnel!$A$5:$A$19,0))/12)*((MIN(EOMONTH(EDATE(Dashboard!$C$5,10),0),IF(INDEX(Personnel!$K$5:$K$19,MATCH($A12,Personnel!$A$5:$A$19,0))="",EOMONTH(EDATE(Dashboard!$C$5,10),0),INDEX(Personnel!$K$5:$K$19,MATCH($A12,Personnel!$A$5:$A$19,0))))-MAX(DATE(YEAR(EDATE(Dashboard!$C$5,10)),MONTH(EDATE(Dashboard!$C$5,10)),1),INDEX(Personnel!$J$5:$J$19,MATCH($A12,Personnel!$A$5:$A$19,0)))+1)/DAY(EOMONTH(EDATE(Dashboard!$C$5,10),0))))),"")</f>
        <v/>
      </c>
      <c r="AW12" s="198" t="n"/>
      <c r="AX12" s="198" t="n"/>
      <c r="AY12" s="199">
        <f>IF(A12="","",AW12*$D12+IF(OR($F12="Exempt",$E12="Sub"),0,AX12*$D12*1.5))</f>
        <v/>
      </c>
      <c r="AZ12" s="197">
        <f>IFERROR(IF(A12="","",MAX(0,(INDEX(Personnel!$G$5:$G$19,MATCH($A12,Personnel!$A$5:$A$19,0))/12)*((MIN(EOMONTH(EDATE(Dashboard!$C$5,11),0),IF(INDEX(Personnel!$K$5:$K$19,MATCH($A12,Personnel!$A$5:$A$19,0))="",EOMONTH(EDATE(Dashboard!$C$5,11),0),INDEX(Personnel!$K$5:$K$19,MATCH($A12,Personnel!$A$5:$A$19,0))))-MAX(DATE(YEAR(EDATE(Dashboard!$C$5,11)),MONTH(EDATE(Dashboard!$C$5,11)),1),INDEX(Personnel!$J$5:$J$19,MATCH($A12,Personnel!$A$5:$A$19,0)))+1)/DAY(EOMONTH(EDATE(Dashboard!$C$5,11),0))))),"")</f>
        <v/>
      </c>
      <c r="BA12" s="198" t="n"/>
      <c r="BB12" s="198" t="n"/>
      <c r="BC12" s="199">
        <f>IF(A12="","",BA12*$D12+IF(OR($F12="Exempt",$E12="Sub"),0,BB12*$D12*1.5))</f>
        <v/>
      </c>
      <c r="BD12" s="186">
        <f>IF(A12="","",SUM(H12,L12,P12,T12,X12,AB12,AF12,AJ12,AN12,AR12,AV12,AZ12))</f>
        <v/>
      </c>
      <c r="BE12" s="186">
        <f>IF(A12="","",SUM(I12,J12,M12,N12,Q12,R12,U12,V12,Y12,Z12,AC12,AD12,AG12,AH12,AK12,AL12,AO12,AP12,AS12,AT12,AW12,AX12,BA12,BB12))</f>
        <v/>
      </c>
      <c r="BF12" s="200">
        <f>IF(A12="","",BD12*$D12)</f>
        <v/>
      </c>
      <c r="BG12" s="200">
        <f>IF(A12="","",SUM(K12,O12,S12,W12,AA12,AE12,AI12,AM12,AQ12,AU12,AY12,BC12))</f>
        <v/>
      </c>
    </row>
    <row r="13" ht="15" customHeight="1" s="109">
      <c r="A13" s="128" t="n"/>
      <c r="B13" s="183" t="n"/>
      <c r="C13" s="183" t="n"/>
      <c r="D13" s="183" t="n"/>
      <c r="E13" s="128" t="n"/>
      <c r="F13" s="183" t="n"/>
      <c r="G13" s="128" t="n"/>
      <c r="H13" s="188">
        <f>IFERROR(IF(A13="","",MAX(0,(INDEX(Personnel!$G$5:$G$19,MATCH($A13,Personnel!$A$5:$A$19,0))/12)*((MIN(EOMONTH(EDATE(Dashboard!$C$5,0),0),IF(INDEX(Personnel!$K$5:$K$19,MATCH($A13,Personnel!$A$5:$A$19,0))="",EOMONTH(EDATE(Dashboard!$C$5,0),0),INDEX(Personnel!$K$5:$K$19,MATCH($A13,Personnel!$A$5:$A$19,0))))-MAX(DATE(YEAR(EDATE(Dashboard!$C$5,0)),MONTH(EDATE(Dashboard!$C$5,0)),1),INDEX(Personnel!$J$5:$J$19,MATCH($A13,Personnel!$A$5:$A$19,0)))+1)/DAY(EOMONTH(EDATE(Dashboard!$C$5,0),0))))),"")</f>
        <v/>
      </c>
      <c r="I13" s="189" t="n"/>
      <c r="J13" s="189" t="n"/>
      <c r="K13" s="190">
        <f>IF(A13="","",I13*$D13+IF(OR($F13="Exempt",$E13="Sub"),0,J13*$D13*1.5))</f>
        <v/>
      </c>
      <c r="L13" s="188">
        <f>IFERROR(IF(A13="","",MAX(0,(INDEX(Personnel!$G$5:$G$19,MATCH($A13,Personnel!$A$5:$A$19,0))/12)*((MIN(EOMONTH(EDATE(Dashboard!$C$5,1),0),IF(INDEX(Personnel!$K$5:$K$19,MATCH($A13,Personnel!$A$5:$A$19,0))="",EOMONTH(EDATE(Dashboard!$C$5,1),0),INDEX(Personnel!$K$5:$K$19,MATCH($A13,Personnel!$A$5:$A$19,0))))-MAX(DATE(YEAR(EDATE(Dashboard!$C$5,1)),MONTH(EDATE(Dashboard!$C$5,1)),1),INDEX(Personnel!$J$5:$J$19,MATCH($A13,Personnel!$A$5:$A$19,0)))+1)/DAY(EOMONTH(EDATE(Dashboard!$C$5,1),0))))),"")</f>
        <v/>
      </c>
      <c r="M13" s="189" t="n"/>
      <c r="N13" s="189" t="n"/>
      <c r="O13" s="190">
        <f>IF(A13="","",M13*$D13+IF(OR($F13="Exempt",$E13="Sub"),0,N13*$D13*1.5))</f>
        <v/>
      </c>
      <c r="P13" s="188">
        <f>IFERROR(IF(A13="","",MAX(0,(INDEX(Personnel!$G$5:$G$19,MATCH($A13,Personnel!$A$5:$A$19,0))/12)*((MIN(EOMONTH(EDATE(Dashboard!$C$5,2),0),IF(INDEX(Personnel!$K$5:$K$19,MATCH($A13,Personnel!$A$5:$A$19,0))="",EOMONTH(EDATE(Dashboard!$C$5,2),0),INDEX(Personnel!$K$5:$K$19,MATCH($A13,Personnel!$A$5:$A$19,0))))-MAX(DATE(YEAR(EDATE(Dashboard!$C$5,2)),MONTH(EDATE(Dashboard!$C$5,2)),1),INDEX(Personnel!$J$5:$J$19,MATCH($A13,Personnel!$A$5:$A$19,0)))+1)/DAY(EOMONTH(EDATE(Dashboard!$C$5,2),0))))),"")</f>
        <v/>
      </c>
      <c r="Q13" s="189" t="n"/>
      <c r="R13" s="189" t="n"/>
      <c r="S13" s="190">
        <f>IF(A13="","",Q13*$D13+IF(OR($F13="Exempt",$E13="Sub"),0,R13*$D13*1.5))</f>
        <v/>
      </c>
      <c r="T13" s="191">
        <f>IFERROR(IF(A13="","",MAX(0,(INDEX(Personnel!$G$5:$G$19,MATCH($A13,Personnel!$A$5:$A$19,0))/12)*((MIN(EOMONTH(EDATE(Dashboard!$C$5,3),0),IF(INDEX(Personnel!$K$5:$K$19,MATCH($A13,Personnel!$A$5:$A$19,0))="",EOMONTH(EDATE(Dashboard!$C$5,3),0),INDEX(Personnel!$K$5:$K$19,MATCH($A13,Personnel!$A$5:$A$19,0))))-MAX(DATE(YEAR(EDATE(Dashboard!$C$5,3)),MONTH(EDATE(Dashboard!$C$5,3)),1),INDEX(Personnel!$J$5:$J$19,MATCH($A13,Personnel!$A$5:$A$19,0)))+1)/DAY(EOMONTH(EDATE(Dashboard!$C$5,3),0))))),"")</f>
        <v/>
      </c>
      <c r="U13" s="192" t="n"/>
      <c r="V13" s="192" t="n"/>
      <c r="W13" s="193">
        <f>IF(A13="","",U13*$D13+IF(OR($F13="Exempt",$E13="Sub"),0,V13*$D13*1.5))</f>
        <v/>
      </c>
      <c r="X13" s="191">
        <f>IFERROR(IF(A13="","",MAX(0,(INDEX(Personnel!$G$5:$G$19,MATCH($A13,Personnel!$A$5:$A$19,0))/12)*((MIN(EOMONTH(EDATE(Dashboard!$C$5,4),0),IF(INDEX(Personnel!$K$5:$K$19,MATCH($A13,Personnel!$A$5:$A$19,0))="",EOMONTH(EDATE(Dashboard!$C$5,4),0),INDEX(Personnel!$K$5:$K$19,MATCH($A13,Personnel!$A$5:$A$19,0))))-MAX(DATE(YEAR(EDATE(Dashboard!$C$5,4)),MONTH(EDATE(Dashboard!$C$5,4)),1),INDEX(Personnel!$J$5:$J$19,MATCH($A13,Personnel!$A$5:$A$19,0)))+1)/DAY(EOMONTH(EDATE(Dashboard!$C$5,4),0))))),"")</f>
        <v/>
      </c>
      <c r="Y13" s="192" t="n"/>
      <c r="Z13" s="192" t="n"/>
      <c r="AA13" s="193">
        <f>IF(A13="","",Y13*$D13+IF(OR($F13="Exempt",$E13="Sub"),0,Z13*$D13*1.5))</f>
        <v/>
      </c>
      <c r="AB13" s="191">
        <f>IFERROR(IF(A13="","",MAX(0,(INDEX(Personnel!$G$5:$G$19,MATCH($A13,Personnel!$A$5:$A$19,0))/12)*((MIN(EOMONTH(EDATE(Dashboard!$C$5,5),0),IF(INDEX(Personnel!$K$5:$K$19,MATCH($A13,Personnel!$A$5:$A$19,0))="",EOMONTH(EDATE(Dashboard!$C$5,5),0),INDEX(Personnel!$K$5:$K$19,MATCH($A13,Personnel!$A$5:$A$19,0))))-MAX(DATE(YEAR(EDATE(Dashboard!$C$5,5)),MONTH(EDATE(Dashboard!$C$5,5)),1),INDEX(Personnel!$J$5:$J$19,MATCH($A13,Personnel!$A$5:$A$19,0)))+1)/DAY(EOMONTH(EDATE(Dashboard!$C$5,5),0))))),"")</f>
        <v/>
      </c>
      <c r="AC13" s="192" t="n"/>
      <c r="AD13" s="192" t="n"/>
      <c r="AE13" s="193">
        <f>IF(A13="","",AC13*$D13+IF(OR($F13="Exempt",$E13="Sub"),0,AD13*$D13*1.5))</f>
        <v/>
      </c>
      <c r="AF13" s="194">
        <f>IFERROR(IF(A13="","",MAX(0,(INDEX(Personnel!$G$5:$G$19,MATCH($A13,Personnel!$A$5:$A$19,0))/12)*((MIN(EOMONTH(EDATE(Dashboard!$C$5,6),0),IF(INDEX(Personnel!$K$5:$K$19,MATCH($A13,Personnel!$A$5:$A$19,0))="",EOMONTH(EDATE(Dashboard!$C$5,6),0),INDEX(Personnel!$K$5:$K$19,MATCH($A13,Personnel!$A$5:$A$19,0))))-MAX(DATE(YEAR(EDATE(Dashboard!$C$5,6)),MONTH(EDATE(Dashboard!$C$5,6)),1),INDEX(Personnel!$J$5:$J$19,MATCH($A13,Personnel!$A$5:$A$19,0)))+1)/DAY(EOMONTH(EDATE(Dashboard!$C$5,6),0))))),"")</f>
        <v/>
      </c>
      <c r="AG13" s="195" t="n"/>
      <c r="AH13" s="195" t="n"/>
      <c r="AI13" s="196">
        <f>IF(A13="","",AG13*$D13+IF(OR($F13="Exempt",$E13="Sub"),0,AH13*$D13*1.5))</f>
        <v/>
      </c>
      <c r="AJ13" s="194">
        <f>IFERROR(IF(A13="","",MAX(0,(INDEX(Personnel!$G$5:$G$19,MATCH($A13,Personnel!$A$5:$A$19,0))/12)*((MIN(EOMONTH(EDATE(Dashboard!$C$5,7),0),IF(INDEX(Personnel!$K$5:$K$19,MATCH($A13,Personnel!$A$5:$A$19,0))="",EOMONTH(EDATE(Dashboard!$C$5,7),0),INDEX(Personnel!$K$5:$K$19,MATCH($A13,Personnel!$A$5:$A$19,0))))-MAX(DATE(YEAR(EDATE(Dashboard!$C$5,7)),MONTH(EDATE(Dashboard!$C$5,7)),1),INDEX(Personnel!$J$5:$J$19,MATCH($A13,Personnel!$A$5:$A$19,0)))+1)/DAY(EOMONTH(EDATE(Dashboard!$C$5,7),0))))),"")</f>
        <v/>
      </c>
      <c r="AK13" s="195" t="n"/>
      <c r="AL13" s="195" t="n"/>
      <c r="AM13" s="196">
        <f>IF(A13="","",AK13*$D13+IF(OR($F13="Exempt",$E13="Sub"),0,AL13*$D13*1.5))</f>
        <v/>
      </c>
      <c r="AN13" s="194">
        <f>IFERROR(IF(A13="","",MAX(0,(INDEX(Personnel!$G$5:$G$19,MATCH($A13,Personnel!$A$5:$A$19,0))/12)*((MIN(EOMONTH(EDATE(Dashboard!$C$5,8),0),IF(INDEX(Personnel!$K$5:$K$19,MATCH($A13,Personnel!$A$5:$A$19,0))="",EOMONTH(EDATE(Dashboard!$C$5,8),0),INDEX(Personnel!$K$5:$K$19,MATCH($A13,Personnel!$A$5:$A$19,0))))-MAX(DATE(YEAR(EDATE(Dashboard!$C$5,8)),MONTH(EDATE(Dashboard!$C$5,8)),1),INDEX(Personnel!$J$5:$J$19,MATCH($A13,Personnel!$A$5:$A$19,0)))+1)/DAY(EOMONTH(EDATE(Dashboard!$C$5,8),0))))),"")</f>
        <v/>
      </c>
      <c r="AO13" s="195" t="n"/>
      <c r="AP13" s="195" t="n"/>
      <c r="AQ13" s="196">
        <f>IF(A13="","",AO13*$D13+IF(OR($F13="Exempt",$E13="Sub"),0,AP13*$D13*1.5))</f>
        <v/>
      </c>
      <c r="AR13" s="197">
        <f>IFERROR(IF(A13="","",MAX(0,(INDEX(Personnel!$G$5:$G$19,MATCH($A13,Personnel!$A$5:$A$19,0))/12)*((MIN(EOMONTH(EDATE(Dashboard!$C$5,9),0),IF(INDEX(Personnel!$K$5:$K$19,MATCH($A13,Personnel!$A$5:$A$19,0))="",EOMONTH(EDATE(Dashboard!$C$5,9),0),INDEX(Personnel!$K$5:$K$19,MATCH($A13,Personnel!$A$5:$A$19,0))))-MAX(DATE(YEAR(EDATE(Dashboard!$C$5,9)),MONTH(EDATE(Dashboard!$C$5,9)),1),INDEX(Personnel!$J$5:$J$19,MATCH($A13,Personnel!$A$5:$A$19,0)))+1)/DAY(EOMONTH(EDATE(Dashboard!$C$5,9),0))))),"")</f>
        <v/>
      </c>
      <c r="AS13" s="198" t="n"/>
      <c r="AT13" s="198" t="n"/>
      <c r="AU13" s="199">
        <f>IF(A13="","",AS13*$D13+IF(OR($F13="Exempt",$E13="Sub"),0,AT13*$D13*1.5))</f>
        <v/>
      </c>
      <c r="AV13" s="197">
        <f>IFERROR(IF(A13="","",MAX(0,(INDEX(Personnel!$G$5:$G$19,MATCH($A13,Personnel!$A$5:$A$19,0))/12)*((MIN(EOMONTH(EDATE(Dashboard!$C$5,10),0),IF(INDEX(Personnel!$K$5:$K$19,MATCH($A13,Personnel!$A$5:$A$19,0))="",EOMONTH(EDATE(Dashboard!$C$5,10),0),INDEX(Personnel!$K$5:$K$19,MATCH($A13,Personnel!$A$5:$A$19,0))))-MAX(DATE(YEAR(EDATE(Dashboard!$C$5,10)),MONTH(EDATE(Dashboard!$C$5,10)),1),INDEX(Personnel!$J$5:$J$19,MATCH($A13,Personnel!$A$5:$A$19,0)))+1)/DAY(EOMONTH(EDATE(Dashboard!$C$5,10),0))))),"")</f>
        <v/>
      </c>
      <c r="AW13" s="198" t="n"/>
      <c r="AX13" s="198" t="n"/>
      <c r="AY13" s="199">
        <f>IF(A13="","",AW13*$D13+IF(OR($F13="Exempt",$E13="Sub"),0,AX13*$D13*1.5))</f>
        <v/>
      </c>
      <c r="AZ13" s="197">
        <f>IFERROR(IF(A13="","",MAX(0,(INDEX(Personnel!$G$5:$G$19,MATCH($A13,Personnel!$A$5:$A$19,0))/12)*((MIN(EOMONTH(EDATE(Dashboard!$C$5,11),0),IF(INDEX(Personnel!$K$5:$K$19,MATCH($A13,Personnel!$A$5:$A$19,0))="",EOMONTH(EDATE(Dashboard!$C$5,11),0),INDEX(Personnel!$K$5:$K$19,MATCH($A13,Personnel!$A$5:$A$19,0))))-MAX(DATE(YEAR(EDATE(Dashboard!$C$5,11)),MONTH(EDATE(Dashboard!$C$5,11)),1),INDEX(Personnel!$J$5:$J$19,MATCH($A13,Personnel!$A$5:$A$19,0)))+1)/DAY(EOMONTH(EDATE(Dashboard!$C$5,11),0))))),"")</f>
        <v/>
      </c>
      <c r="BA13" s="198" t="n"/>
      <c r="BB13" s="198" t="n"/>
      <c r="BC13" s="199">
        <f>IF(A13="","",BA13*$D13+IF(OR($F13="Exempt",$E13="Sub"),0,BB13*$D13*1.5))</f>
        <v/>
      </c>
      <c r="BD13" s="186">
        <f>IF(A13="","",SUM(H13,L13,P13,T13,X13,AB13,AF13,AJ13,AN13,AR13,AV13,AZ13))</f>
        <v/>
      </c>
      <c r="BE13" s="186">
        <f>IF(A13="","",SUM(I13,J13,M13,N13,Q13,R13,U13,V13,Y13,Z13,AC13,AD13,AG13,AH13,AK13,AL13,AO13,AP13,AS13,AT13,AW13,AX13,BA13,BB13))</f>
        <v/>
      </c>
      <c r="BF13" s="200">
        <f>IF(A13="","",BD13*$D13)</f>
        <v/>
      </c>
      <c r="BG13" s="200">
        <f>IF(A13="","",SUM(K13,O13,S13,W13,AA13,AE13,AI13,AM13,AQ13,AU13,AY13,BC13))</f>
        <v/>
      </c>
    </row>
    <row r="14" ht="15" customHeight="1" s="109">
      <c r="A14" s="128" t="n"/>
      <c r="B14" s="183" t="n"/>
      <c r="C14" s="183" t="n"/>
      <c r="D14" s="183" t="n"/>
      <c r="E14" s="128" t="n"/>
      <c r="F14" s="183" t="n"/>
      <c r="G14" s="128" t="n"/>
      <c r="H14" s="188">
        <f>IFERROR(IF(A14="","",MAX(0,(INDEX(Personnel!$G$5:$G$19,MATCH($A14,Personnel!$A$5:$A$19,0))/12)*((MIN(EOMONTH(EDATE(Dashboard!$C$5,0),0),IF(INDEX(Personnel!$K$5:$K$19,MATCH($A14,Personnel!$A$5:$A$19,0))="",EOMONTH(EDATE(Dashboard!$C$5,0),0),INDEX(Personnel!$K$5:$K$19,MATCH($A14,Personnel!$A$5:$A$19,0))))-MAX(DATE(YEAR(EDATE(Dashboard!$C$5,0)),MONTH(EDATE(Dashboard!$C$5,0)),1),INDEX(Personnel!$J$5:$J$19,MATCH($A14,Personnel!$A$5:$A$19,0)))+1)/DAY(EOMONTH(EDATE(Dashboard!$C$5,0),0))))),"")</f>
        <v/>
      </c>
      <c r="I14" s="189" t="n"/>
      <c r="J14" s="189" t="n"/>
      <c r="K14" s="190">
        <f>IF(A14="","",I14*$D14+IF(OR($F14="Exempt",$E14="Sub"),0,J14*$D14*1.5))</f>
        <v/>
      </c>
      <c r="L14" s="188">
        <f>IFERROR(IF(A14="","",MAX(0,(INDEX(Personnel!$G$5:$G$19,MATCH($A14,Personnel!$A$5:$A$19,0))/12)*((MIN(EOMONTH(EDATE(Dashboard!$C$5,1),0),IF(INDEX(Personnel!$K$5:$K$19,MATCH($A14,Personnel!$A$5:$A$19,0))="",EOMONTH(EDATE(Dashboard!$C$5,1),0),INDEX(Personnel!$K$5:$K$19,MATCH($A14,Personnel!$A$5:$A$19,0))))-MAX(DATE(YEAR(EDATE(Dashboard!$C$5,1)),MONTH(EDATE(Dashboard!$C$5,1)),1),INDEX(Personnel!$J$5:$J$19,MATCH($A14,Personnel!$A$5:$A$19,0)))+1)/DAY(EOMONTH(EDATE(Dashboard!$C$5,1),0))))),"")</f>
        <v/>
      </c>
      <c r="M14" s="189" t="n"/>
      <c r="N14" s="189" t="n"/>
      <c r="O14" s="190">
        <f>IF(A14="","",M14*$D14+IF(OR($F14="Exempt",$E14="Sub"),0,N14*$D14*1.5))</f>
        <v/>
      </c>
      <c r="P14" s="188">
        <f>IFERROR(IF(A14="","",MAX(0,(INDEX(Personnel!$G$5:$G$19,MATCH($A14,Personnel!$A$5:$A$19,0))/12)*((MIN(EOMONTH(EDATE(Dashboard!$C$5,2),0),IF(INDEX(Personnel!$K$5:$K$19,MATCH($A14,Personnel!$A$5:$A$19,0))="",EOMONTH(EDATE(Dashboard!$C$5,2),0),INDEX(Personnel!$K$5:$K$19,MATCH($A14,Personnel!$A$5:$A$19,0))))-MAX(DATE(YEAR(EDATE(Dashboard!$C$5,2)),MONTH(EDATE(Dashboard!$C$5,2)),1),INDEX(Personnel!$J$5:$J$19,MATCH($A14,Personnel!$A$5:$A$19,0)))+1)/DAY(EOMONTH(EDATE(Dashboard!$C$5,2),0))))),"")</f>
        <v/>
      </c>
      <c r="Q14" s="189" t="n"/>
      <c r="R14" s="189" t="n"/>
      <c r="S14" s="190">
        <f>IF(A14="","",Q14*$D14+IF(OR($F14="Exempt",$E14="Sub"),0,R14*$D14*1.5))</f>
        <v/>
      </c>
      <c r="T14" s="191">
        <f>IFERROR(IF(A14="","",MAX(0,(INDEX(Personnel!$G$5:$G$19,MATCH($A14,Personnel!$A$5:$A$19,0))/12)*((MIN(EOMONTH(EDATE(Dashboard!$C$5,3),0),IF(INDEX(Personnel!$K$5:$K$19,MATCH($A14,Personnel!$A$5:$A$19,0))="",EOMONTH(EDATE(Dashboard!$C$5,3),0),INDEX(Personnel!$K$5:$K$19,MATCH($A14,Personnel!$A$5:$A$19,0))))-MAX(DATE(YEAR(EDATE(Dashboard!$C$5,3)),MONTH(EDATE(Dashboard!$C$5,3)),1),INDEX(Personnel!$J$5:$J$19,MATCH($A14,Personnel!$A$5:$A$19,0)))+1)/DAY(EOMONTH(EDATE(Dashboard!$C$5,3),0))))),"")</f>
        <v/>
      </c>
      <c r="U14" s="192" t="n"/>
      <c r="V14" s="192" t="n"/>
      <c r="W14" s="193">
        <f>IF(A14="","",U14*$D14+IF(OR($F14="Exempt",$E14="Sub"),0,V14*$D14*1.5))</f>
        <v/>
      </c>
      <c r="X14" s="191">
        <f>IFERROR(IF(A14="","",MAX(0,(INDEX(Personnel!$G$5:$G$19,MATCH($A14,Personnel!$A$5:$A$19,0))/12)*((MIN(EOMONTH(EDATE(Dashboard!$C$5,4),0),IF(INDEX(Personnel!$K$5:$K$19,MATCH($A14,Personnel!$A$5:$A$19,0))="",EOMONTH(EDATE(Dashboard!$C$5,4),0),INDEX(Personnel!$K$5:$K$19,MATCH($A14,Personnel!$A$5:$A$19,0))))-MAX(DATE(YEAR(EDATE(Dashboard!$C$5,4)),MONTH(EDATE(Dashboard!$C$5,4)),1),INDEX(Personnel!$J$5:$J$19,MATCH($A14,Personnel!$A$5:$A$19,0)))+1)/DAY(EOMONTH(EDATE(Dashboard!$C$5,4),0))))),"")</f>
        <v/>
      </c>
      <c r="Y14" s="192" t="n"/>
      <c r="Z14" s="192" t="n"/>
      <c r="AA14" s="193">
        <f>IF(A14="","",Y14*$D14+IF(OR($F14="Exempt",$E14="Sub"),0,Z14*$D14*1.5))</f>
        <v/>
      </c>
      <c r="AB14" s="191">
        <f>IFERROR(IF(A14="","",MAX(0,(INDEX(Personnel!$G$5:$G$19,MATCH($A14,Personnel!$A$5:$A$19,0))/12)*((MIN(EOMONTH(EDATE(Dashboard!$C$5,5),0),IF(INDEX(Personnel!$K$5:$K$19,MATCH($A14,Personnel!$A$5:$A$19,0))="",EOMONTH(EDATE(Dashboard!$C$5,5),0),INDEX(Personnel!$K$5:$K$19,MATCH($A14,Personnel!$A$5:$A$19,0))))-MAX(DATE(YEAR(EDATE(Dashboard!$C$5,5)),MONTH(EDATE(Dashboard!$C$5,5)),1),INDEX(Personnel!$J$5:$J$19,MATCH($A14,Personnel!$A$5:$A$19,0)))+1)/DAY(EOMONTH(EDATE(Dashboard!$C$5,5),0))))),"")</f>
        <v/>
      </c>
      <c r="AC14" s="192" t="n"/>
      <c r="AD14" s="192" t="n"/>
      <c r="AE14" s="193">
        <f>IF(A14="","",AC14*$D14+IF(OR($F14="Exempt",$E14="Sub"),0,AD14*$D14*1.5))</f>
        <v/>
      </c>
      <c r="AF14" s="194">
        <f>IFERROR(IF(A14="","",MAX(0,(INDEX(Personnel!$G$5:$G$19,MATCH($A14,Personnel!$A$5:$A$19,0))/12)*((MIN(EOMONTH(EDATE(Dashboard!$C$5,6),0),IF(INDEX(Personnel!$K$5:$K$19,MATCH($A14,Personnel!$A$5:$A$19,0))="",EOMONTH(EDATE(Dashboard!$C$5,6),0),INDEX(Personnel!$K$5:$K$19,MATCH($A14,Personnel!$A$5:$A$19,0))))-MAX(DATE(YEAR(EDATE(Dashboard!$C$5,6)),MONTH(EDATE(Dashboard!$C$5,6)),1),INDEX(Personnel!$J$5:$J$19,MATCH($A14,Personnel!$A$5:$A$19,0)))+1)/DAY(EOMONTH(EDATE(Dashboard!$C$5,6),0))))),"")</f>
        <v/>
      </c>
      <c r="AG14" s="195" t="n"/>
      <c r="AH14" s="195" t="n"/>
      <c r="AI14" s="196">
        <f>IF(A14="","",AG14*$D14+IF(OR($F14="Exempt",$E14="Sub"),0,AH14*$D14*1.5))</f>
        <v/>
      </c>
      <c r="AJ14" s="194">
        <f>IFERROR(IF(A14="","",MAX(0,(INDEX(Personnel!$G$5:$G$19,MATCH($A14,Personnel!$A$5:$A$19,0))/12)*((MIN(EOMONTH(EDATE(Dashboard!$C$5,7),0),IF(INDEX(Personnel!$K$5:$K$19,MATCH($A14,Personnel!$A$5:$A$19,0))="",EOMONTH(EDATE(Dashboard!$C$5,7),0),INDEX(Personnel!$K$5:$K$19,MATCH($A14,Personnel!$A$5:$A$19,0))))-MAX(DATE(YEAR(EDATE(Dashboard!$C$5,7)),MONTH(EDATE(Dashboard!$C$5,7)),1),INDEX(Personnel!$J$5:$J$19,MATCH($A14,Personnel!$A$5:$A$19,0)))+1)/DAY(EOMONTH(EDATE(Dashboard!$C$5,7),0))))),"")</f>
        <v/>
      </c>
      <c r="AK14" s="195" t="n"/>
      <c r="AL14" s="195" t="n"/>
      <c r="AM14" s="196">
        <f>IF(A14="","",AK14*$D14+IF(OR($F14="Exempt",$E14="Sub"),0,AL14*$D14*1.5))</f>
        <v/>
      </c>
      <c r="AN14" s="194">
        <f>IFERROR(IF(A14="","",MAX(0,(INDEX(Personnel!$G$5:$G$19,MATCH($A14,Personnel!$A$5:$A$19,0))/12)*((MIN(EOMONTH(EDATE(Dashboard!$C$5,8),0),IF(INDEX(Personnel!$K$5:$K$19,MATCH($A14,Personnel!$A$5:$A$19,0))="",EOMONTH(EDATE(Dashboard!$C$5,8),0),INDEX(Personnel!$K$5:$K$19,MATCH($A14,Personnel!$A$5:$A$19,0))))-MAX(DATE(YEAR(EDATE(Dashboard!$C$5,8)),MONTH(EDATE(Dashboard!$C$5,8)),1),INDEX(Personnel!$J$5:$J$19,MATCH($A14,Personnel!$A$5:$A$19,0)))+1)/DAY(EOMONTH(EDATE(Dashboard!$C$5,8),0))))),"")</f>
        <v/>
      </c>
      <c r="AO14" s="195" t="n"/>
      <c r="AP14" s="195" t="n"/>
      <c r="AQ14" s="196">
        <f>IF(A14="","",AO14*$D14+IF(OR($F14="Exempt",$E14="Sub"),0,AP14*$D14*1.5))</f>
        <v/>
      </c>
      <c r="AR14" s="197">
        <f>IFERROR(IF(A14="","",MAX(0,(INDEX(Personnel!$G$5:$G$19,MATCH($A14,Personnel!$A$5:$A$19,0))/12)*((MIN(EOMONTH(EDATE(Dashboard!$C$5,9),0),IF(INDEX(Personnel!$K$5:$K$19,MATCH($A14,Personnel!$A$5:$A$19,0))="",EOMONTH(EDATE(Dashboard!$C$5,9),0),INDEX(Personnel!$K$5:$K$19,MATCH($A14,Personnel!$A$5:$A$19,0))))-MAX(DATE(YEAR(EDATE(Dashboard!$C$5,9)),MONTH(EDATE(Dashboard!$C$5,9)),1),INDEX(Personnel!$J$5:$J$19,MATCH($A14,Personnel!$A$5:$A$19,0)))+1)/DAY(EOMONTH(EDATE(Dashboard!$C$5,9),0))))),"")</f>
        <v/>
      </c>
      <c r="AS14" s="198" t="n"/>
      <c r="AT14" s="198" t="n"/>
      <c r="AU14" s="199">
        <f>IF(A14="","",AS14*$D14+IF(OR($F14="Exempt",$E14="Sub"),0,AT14*$D14*1.5))</f>
        <v/>
      </c>
      <c r="AV14" s="197">
        <f>IFERROR(IF(A14="","",MAX(0,(INDEX(Personnel!$G$5:$G$19,MATCH($A14,Personnel!$A$5:$A$19,0))/12)*((MIN(EOMONTH(EDATE(Dashboard!$C$5,10),0),IF(INDEX(Personnel!$K$5:$K$19,MATCH($A14,Personnel!$A$5:$A$19,0))="",EOMONTH(EDATE(Dashboard!$C$5,10),0),INDEX(Personnel!$K$5:$K$19,MATCH($A14,Personnel!$A$5:$A$19,0))))-MAX(DATE(YEAR(EDATE(Dashboard!$C$5,10)),MONTH(EDATE(Dashboard!$C$5,10)),1),INDEX(Personnel!$J$5:$J$19,MATCH($A14,Personnel!$A$5:$A$19,0)))+1)/DAY(EOMONTH(EDATE(Dashboard!$C$5,10),0))))),"")</f>
        <v/>
      </c>
      <c r="AW14" s="198" t="n"/>
      <c r="AX14" s="198" t="n"/>
      <c r="AY14" s="199">
        <f>IF(A14="","",AW14*$D14+IF(OR($F14="Exempt",$E14="Sub"),0,AX14*$D14*1.5))</f>
        <v/>
      </c>
      <c r="AZ14" s="197">
        <f>IFERROR(IF(A14="","",MAX(0,(INDEX(Personnel!$G$5:$G$19,MATCH($A14,Personnel!$A$5:$A$19,0))/12)*((MIN(EOMONTH(EDATE(Dashboard!$C$5,11),0),IF(INDEX(Personnel!$K$5:$K$19,MATCH($A14,Personnel!$A$5:$A$19,0))="",EOMONTH(EDATE(Dashboard!$C$5,11),0),INDEX(Personnel!$K$5:$K$19,MATCH($A14,Personnel!$A$5:$A$19,0))))-MAX(DATE(YEAR(EDATE(Dashboard!$C$5,11)),MONTH(EDATE(Dashboard!$C$5,11)),1),INDEX(Personnel!$J$5:$J$19,MATCH($A14,Personnel!$A$5:$A$19,0)))+1)/DAY(EOMONTH(EDATE(Dashboard!$C$5,11),0))))),"")</f>
        <v/>
      </c>
      <c r="BA14" s="198" t="n"/>
      <c r="BB14" s="198" t="n"/>
      <c r="BC14" s="199">
        <f>IF(A14="","",BA14*$D14+IF(OR($F14="Exempt",$E14="Sub"),0,BB14*$D14*1.5))</f>
        <v/>
      </c>
      <c r="BD14" s="186">
        <f>IF(A14="","",SUM(H14,L14,P14,T14,X14,AB14,AF14,AJ14,AN14,AR14,AV14,AZ14))</f>
        <v/>
      </c>
      <c r="BE14" s="186">
        <f>IF(A14="","",SUM(I14,J14,M14,N14,Q14,R14,U14,V14,Y14,Z14,AC14,AD14,AG14,AH14,AK14,AL14,AO14,AP14,AS14,AT14,AW14,AX14,BA14,BB14))</f>
        <v/>
      </c>
      <c r="BF14" s="200">
        <f>IF(A14="","",BD14*$D14)</f>
        <v/>
      </c>
      <c r="BG14" s="200">
        <f>IF(A14="","",SUM(K14,O14,S14,W14,AA14,AE14,AI14,AM14,AQ14,AU14,AY14,BC14))</f>
        <v/>
      </c>
    </row>
    <row r="15" ht="15" customHeight="1" s="109">
      <c r="A15" s="128" t="n"/>
      <c r="B15" s="183" t="n"/>
      <c r="C15" s="183" t="n"/>
      <c r="D15" s="183" t="n"/>
      <c r="E15" s="128" t="n"/>
      <c r="F15" s="183" t="n"/>
      <c r="G15" s="128" t="n"/>
      <c r="H15" s="188">
        <f>IFERROR(IF(A15="","",MAX(0,(INDEX(Personnel!$G$5:$G$19,MATCH($A15,Personnel!$A$5:$A$19,0))/12)*((MIN(EOMONTH(EDATE(Dashboard!$C$5,0),0),IF(INDEX(Personnel!$K$5:$K$19,MATCH($A15,Personnel!$A$5:$A$19,0))="",EOMONTH(EDATE(Dashboard!$C$5,0),0),INDEX(Personnel!$K$5:$K$19,MATCH($A15,Personnel!$A$5:$A$19,0))))-MAX(DATE(YEAR(EDATE(Dashboard!$C$5,0)),MONTH(EDATE(Dashboard!$C$5,0)),1),INDEX(Personnel!$J$5:$J$19,MATCH($A15,Personnel!$A$5:$A$19,0)))+1)/DAY(EOMONTH(EDATE(Dashboard!$C$5,0),0))))),"")</f>
        <v/>
      </c>
      <c r="I15" s="189" t="n"/>
      <c r="J15" s="189" t="n"/>
      <c r="K15" s="190">
        <f>IF(A15="","",I15*$D15+IF(OR($F15="Exempt",$E15="Sub"),0,J15*$D15*1.5))</f>
        <v/>
      </c>
      <c r="L15" s="188">
        <f>IFERROR(IF(A15="","",MAX(0,(INDEX(Personnel!$G$5:$G$19,MATCH($A15,Personnel!$A$5:$A$19,0))/12)*((MIN(EOMONTH(EDATE(Dashboard!$C$5,1),0),IF(INDEX(Personnel!$K$5:$K$19,MATCH($A15,Personnel!$A$5:$A$19,0))="",EOMONTH(EDATE(Dashboard!$C$5,1),0),INDEX(Personnel!$K$5:$K$19,MATCH($A15,Personnel!$A$5:$A$19,0))))-MAX(DATE(YEAR(EDATE(Dashboard!$C$5,1)),MONTH(EDATE(Dashboard!$C$5,1)),1),INDEX(Personnel!$J$5:$J$19,MATCH($A15,Personnel!$A$5:$A$19,0)))+1)/DAY(EOMONTH(EDATE(Dashboard!$C$5,1),0))))),"")</f>
        <v/>
      </c>
      <c r="M15" s="189" t="n"/>
      <c r="N15" s="189" t="n"/>
      <c r="O15" s="190">
        <f>IF(A15="","",M15*$D15+IF(OR($F15="Exempt",$E15="Sub"),0,N15*$D15*1.5))</f>
        <v/>
      </c>
      <c r="P15" s="188">
        <f>IFERROR(IF(A15="","",MAX(0,(INDEX(Personnel!$G$5:$G$19,MATCH($A15,Personnel!$A$5:$A$19,0))/12)*((MIN(EOMONTH(EDATE(Dashboard!$C$5,2),0),IF(INDEX(Personnel!$K$5:$K$19,MATCH($A15,Personnel!$A$5:$A$19,0))="",EOMONTH(EDATE(Dashboard!$C$5,2),0),INDEX(Personnel!$K$5:$K$19,MATCH($A15,Personnel!$A$5:$A$19,0))))-MAX(DATE(YEAR(EDATE(Dashboard!$C$5,2)),MONTH(EDATE(Dashboard!$C$5,2)),1),INDEX(Personnel!$J$5:$J$19,MATCH($A15,Personnel!$A$5:$A$19,0)))+1)/DAY(EOMONTH(EDATE(Dashboard!$C$5,2),0))))),"")</f>
        <v/>
      </c>
      <c r="Q15" s="189" t="n"/>
      <c r="R15" s="189" t="n"/>
      <c r="S15" s="190">
        <f>IF(A15="","",Q15*$D15+IF(OR($F15="Exempt",$E15="Sub"),0,R15*$D15*1.5))</f>
        <v/>
      </c>
      <c r="T15" s="191">
        <f>IFERROR(IF(A15="","",MAX(0,(INDEX(Personnel!$G$5:$G$19,MATCH($A15,Personnel!$A$5:$A$19,0))/12)*((MIN(EOMONTH(EDATE(Dashboard!$C$5,3),0),IF(INDEX(Personnel!$K$5:$K$19,MATCH($A15,Personnel!$A$5:$A$19,0))="",EOMONTH(EDATE(Dashboard!$C$5,3),0),INDEX(Personnel!$K$5:$K$19,MATCH($A15,Personnel!$A$5:$A$19,0))))-MAX(DATE(YEAR(EDATE(Dashboard!$C$5,3)),MONTH(EDATE(Dashboard!$C$5,3)),1),INDEX(Personnel!$J$5:$J$19,MATCH($A15,Personnel!$A$5:$A$19,0)))+1)/DAY(EOMONTH(EDATE(Dashboard!$C$5,3),0))))),"")</f>
        <v/>
      </c>
      <c r="U15" s="192" t="n"/>
      <c r="V15" s="192" t="n"/>
      <c r="W15" s="193">
        <f>IF(A15="","",U15*$D15+IF(OR($F15="Exempt",$E15="Sub"),0,V15*$D15*1.5))</f>
        <v/>
      </c>
      <c r="X15" s="191">
        <f>IFERROR(IF(A15="","",MAX(0,(INDEX(Personnel!$G$5:$G$19,MATCH($A15,Personnel!$A$5:$A$19,0))/12)*((MIN(EOMONTH(EDATE(Dashboard!$C$5,4),0),IF(INDEX(Personnel!$K$5:$K$19,MATCH($A15,Personnel!$A$5:$A$19,0))="",EOMONTH(EDATE(Dashboard!$C$5,4),0),INDEX(Personnel!$K$5:$K$19,MATCH($A15,Personnel!$A$5:$A$19,0))))-MAX(DATE(YEAR(EDATE(Dashboard!$C$5,4)),MONTH(EDATE(Dashboard!$C$5,4)),1),INDEX(Personnel!$J$5:$J$19,MATCH($A15,Personnel!$A$5:$A$19,0)))+1)/DAY(EOMONTH(EDATE(Dashboard!$C$5,4),0))))),"")</f>
        <v/>
      </c>
      <c r="Y15" s="192" t="n"/>
      <c r="Z15" s="192" t="n"/>
      <c r="AA15" s="193">
        <f>IF(A15="","",Y15*$D15+IF(OR($F15="Exempt",$E15="Sub"),0,Z15*$D15*1.5))</f>
        <v/>
      </c>
      <c r="AB15" s="191">
        <f>IFERROR(IF(A15="","",MAX(0,(INDEX(Personnel!$G$5:$G$19,MATCH($A15,Personnel!$A$5:$A$19,0))/12)*((MIN(EOMONTH(EDATE(Dashboard!$C$5,5),0),IF(INDEX(Personnel!$K$5:$K$19,MATCH($A15,Personnel!$A$5:$A$19,0))="",EOMONTH(EDATE(Dashboard!$C$5,5),0),INDEX(Personnel!$K$5:$K$19,MATCH($A15,Personnel!$A$5:$A$19,0))))-MAX(DATE(YEAR(EDATE(Dashboard!$C$5,5)),MONTH(EDATE(Dashboard!$C$5,5)),1),INDEX(Personnel!$J$5:$J$19,MATCH($A15,Personnel!$A$5:$A$19,0)))+1)/DAY(EOMONTH(EDATE(Dashboard!$C$5,5),0))))),"")</f>
        <v/>
      </c>
      <c r="AC15" s="192" t="n"/>
      <c r="AD15" s="192" t="n"/>
      <c r="AE15" s="193">
        <f>IF(A15="","",AC15*$D15+IF(OR($F15="Exempt",$E15="Sub"),0,AD15*$D15*1.5))</f>
        <v/>
      </c>
      <c r="AF15" s="194">
        <f>IFERROR(IF(A15="","",MAX(0,(INDEX(Personnel!$G$5:$G$19,MATCH($A15,Personnel!$A$5:$A$19,0))/12)*((MIN(EOMONTH(EDATE(Dashboard!$C$5,6),0),IF(INDEX(Personnel!$K$5:$K$19,MATCH($A15,Personnel!$A$5:$A$19,0))="",EOMONTH(EDATE(Dashboard!$C$5,6),0),INDEX(Personnel!$K$5:$K$19,MATCH($A15,Personnel!$A$5:$A$19,0))))-MAX(DATE(YEAR(EDATE(Dashboard!$C$5,6)),MONTH(EDATE(Dashboard!$C$5,6)),1),INDEX(Personnel!$J$5:$J$19,MATCH($A15,Personnel!$A$5:$A$19,0)))+1)/DAY(EOMONTH(EDATE(Dashboard!$C$5,6),0))))),"")</f>
        <v/>
      </c>
      <c r="AG15" s="195" t="n"/>
      <c r="AH15" s="195" t="n"/>
      <c r="AI15" s="196">
        <f>IF(A15="","",AG15*$D15+IF(OR($F15="Exempt",$E15="Sub"),0,AH15*$D15*1.5))</f>
        <v/>
      </c>
      <c r="AJ15" s="194">
        <f>IFERROR(IF(A15="","",MAX(0,(INDEX(Personnel!$G$5:$G$19,MATCH($A15,Personnel!$A$5:$A$19,0))/12)*((MIN(EOMONTH(EDATE(Dashboard!$C$5,7),0),IF(INDEX(Personnel!$K$5:$K$19,MATCH($A15,Personnel!$A$5:$A$19,0))="",EOMONTH(EDATE(Dashboard!$C$5,7),0),INDEX(Personnel!$K$5:$K$19,MATCH($A15,Personnel!$A$5:$A$19,0))))-MAX(DATE(YEAR(EDATE(Dashboard!$C$5,7)),MONTH(EDATE(Dashboard!$C$5,7)),1),INDEX(Personnel!$J$5:$J$19,MATCH($A15,Personnel!$A$5:$A$19,0)))+1)/DAY(EOMONTH(EDATE(Dashboard!$C$5,7),0))))),"")</f>
        <v/>
      </c>
      <c r="AK15" s="195" t="n"/>
      <c r="AL15" s="195" t="n"/>
      <c r="AM15" s="196">
        <f>IF(A15="","",AK15*$D15+IF(OR($F15="Exempt",$E15="Sub"),0,AL15*$D15*1.5))</f>
        <v/>
      </c>
      <c r="AN15" s="194">
        <f>IFERROR(IF(A15="","",MAX(0,(INDEX(Personnel!$G$5:$G$19,MATCH($A15,Personnel!$A$5:$A$19,0))/12)*((MIN(EOMONTH(EDATE(Dashboard!$C$5,8),0),IF(INDEX(Personnel!$K$5:$K$19,MATCH($A15,Personnel!$A$5:$A$19,0))="",EOMONTH(EDATE(Dashboard!$C$5,8),0),INDEX(Personnel!$K$5:$K$19,MATCH($A15,Personnel!$A$5:$A$19,0))))-MAX(DATE(YEAR(EDATE(Dashboard!$C$5,8)),MONTH(EDATE(Dashboard!$C$5,8)),1),INDEX(Personnel!$J$5:$J$19,MATCH($A15,Personnel!$A$5:$A$19,0)))+1)/DAY(EOMONTH(EDATE(Dashboard!$C$5,8),0))))),"")</f>
        <v/>
      </c>
      <c r="AO15" s="195" t="n"/>
      <c r="AP15" s="195" t="n"/>
      <c r="AQ15" s="196">
        <f>IF(A15="","",AO15*$D15+IF(OR($F15="Exempt",$E15="Sub"),0,AP15*$D15*1.5))</f>
        <v/>
      </c>
      <c r="AR15" s="197">
        <f>IFERROR(IF(A15="","",MAX(0,(INDEX(Personnel!$G$5:$G$19,MATCH($A15,Personnel!$A$5:$A$19,0))/12)*((MIN(EOMONTH(EDATE(Dashboard!$C$5,9),0),IF(INDEX(Personnel!$K$5:$K$19,MATCH($A15,Personnel!$A$5:$A$19,0))="",EOMONTH(EDATE(Dashboard!$C$5,9),0),INDEX(Personnel!$K$5:$K$19,MATCH($A15,Personnel!$A$5:$A$19,0))))-MAX(DATE(YEAR(EDATE(Dashboard!$C$5,9)),MONTH(EDATE(Dashboard!$C$5,9)),1),INDEX(Personnel!$J$5:$J$19,MATCH($A15,Personnel!$A$5:$A$19,0)))+1)/DAY(EOMONTH(EDATE(Dashboard!$C$5,9),0))))),"")</f>
        <v/>
      </c>
      <c r="AS15" s="198" t="n"/>
      <c r="AT15" s="198" t="n"/>
      <c r="AU15" s="199">
        <f>IF(A15="","",AS15*$D15+IF(OR($F15="Exempt",$E15="Sub"),0,AT15*$D15*1.5))</f>
        <v/>
      </c>
      <c r="AV15" s="197">
        <f>IFERROR(IF(A15="","",MAX(0,(INDEX(Personnel!$G$5:$G$19,MATCH($A15,Personnel!$A$5:$A$19,0))/12)*((MIN(EOMONTH(EDATE(Dashboard!$C$5,10),0),IF(INDEX(Personnel!$K$5:$K$19,MATCH($A15,Personnel!$A$5:$A$19,0))="",EOMONTH(EDATE(Dashboard!$C$5,10),0),INDEX(Personnel!$K$5:$K$19,MATCH($A15,Personnel!$A$5:$A$19,0))))-MAX(DATE(YEAR(EDATE(Dashboard!$C$5,10)),MONTH(EDATE(Dashboard!$C$5,10)),1),INDEX(Personnel!$J$5:$J$19,MATCH($A15,Personnel!$A$5:$A$19,0)))+1)/DAY(EOMONTH(EDATE(Dashboard!$C$5,10),0))))),"")</f>
        <v/>
      </c>
      <c r="AW15" s="198" t="n"/>
      <c r="AX15" s="198" t="n"/>
      <c r="AY15" s="199">
        <f>IF(A15="","",AW15*$D15+IF(OR($F15="Exempt",$E15="Sub"),0,AX15*$D15*1.5))</f>
        <v/>
      </c>
      <c r="AZ15" s="197">
        <f>IFERROR(IF(A15="","",MAX(0,(INDEX(Personnel!$G$5:$G$19,MATCH($A15,Personnel!$A$5:$A$19,0))/12)*((MIN(EOMONTH(EDATE(Dashboard!$C$5,11),0),IF(INDEX(Personnel!$K$5:$K$19,MATCH($A15,Personnel!$A$5:$A$19,0))="",EOMONTH(EDATE(Dashboard!$C$5,11),0),INDEX(Personnel!$K$5:$K$19,MATCH($A15,Personnel!$A$5:$A$19,0))))-MAX(DATE(YEAR(EDATE(Dashboard!$C$5,11)),MONTH(EDATE(Dashboard!$C$5,11)),1),INDEX(Personnel!$J$5:$J$19,MATCH($A15,Personnel!$A$5:$A$19,0)))+1)/DAY(EOMONTH(EDATE(Dashboard!$C$5,11),0))))),"")</f>
        <v/>
      </c>
      <c r="BA15" s="198" t="n"/>
      <c r="BB15" s="198" t="n"/>
      <c r="BC15" s="199">
        <f>IF(A15="","",BA15*$D15+IF(OR($F15="Exempt",$E15="Sub"),0,BB15*$D15*1.5))</f>
        <v/>
      </c>
      <c r="BD15" s="186">
        <f>IF(A15="","",SUM(H15,L15,P15,T15,X15,AB15,AF15,AJ15,AN15,AR15,AV15,AZ15))</f>
        <v/>
      </c>
      <c r="BE15" s="186">
        <f>IF(A15="","",SUM(I15,J15,M15,N15,Q15,R15,U15,V15,Y15,Z15,AC15,AD15,AG15,AH15,AK15,AL15,AO15,AP15,AS15,AT15,AW15,AX15,BA15,BB15))</f>
        <v/>
      </c>
      <c r="BF15" s="200">
        <f>IF(A15="","",BD15*$D15)</f>
        <v/>
      </c>
      <c r="BG15" s="200">
        <f>IF(A15="","",SUM(K15,O15,S15,W15,AA15,AE15,AI15,AM15,AQ15,AU15,AY15,BC15))</f>
        <v/>
      </c>
    </row>
    <row r="16" ht="15" customHeight="1" s="109">
      <c r="A16" s="128" t="n"/>
      <c r="B16" s="183" t="n"/>
      <c r="C16" s="183" t="n"/>
      <c r="D16" s="183" t="n"/>
      <c r="E16" s="128" t="n"/>
      <c r="F16" s="183" t="n"/>
      <c r="G16" s="128" t="n"/>
      <c r="H16" s="188">
        <f>IFERROR(IF(A16="","",MAX(0,(INDEX(Personnel!$G$5:$G$19,MATCH($A16,Personnel!$A$5:$A$19,0))/12)*((MIN(EOMONTH(EDATE(Dashboard!$C$5,0),0),IF(INDEX(Personnel!$K$5:$K$19,MATCH($A16,Personnel!$A$5:$A$19,0))="",EOMONTH(EDATE(Dashboard!$C$5,0),0),INDEX(Personnel!$K$5:$K$19,MATCH($A16,Personnel!$A$5:$A$19,0))))-MAX(DATE(YEAR(EDATE(Dashboard!$C$5,0)),MONTH(EDATE(Dashboard!$C$5,0)),1),INDEX(Personnel!$J$5:$J$19,MATCH($A16,Personnel!$A$5:$A$19,0)))+1)/DAY(EOMONTH(EDATE(Dashboard!$C$5,0),0))))),"")</f>
        <v/>
      </c>
      <c r="I16" s="189" t="n"/>
      <c r="J16" s="189" t="n"/>
      <c r="K16" s="190">
        <f>IF(A16="","",I16*$D16+IF(OR($F16="Exempt",$E16="Sub"),0,J16*$D16*1.5))</f>
        <v/>
      </c>
      <c r="L16" s="188">
        <f>IFERROR(IF(A16="","",MAX(0,(INDEX(Personnel!$G$5:$G$19,MATCH($A16,Personnel!$A$5:$A$19,0))/12)*((MIN(EOMONTH(EDATE(Dashboard!$C$5,1),0),IF(INDEX(Personnel!$K$5:$K$19,MATCH($A16,Personnel!$A$5:$A$19,0))="",EOMONTH(EDATE(Dashboard!$C$5,1),0),INDEX(Personnel!$K$5:$K$19,MATCH($A16,Personnel!$A$5:$A$19,0))))-MAX(DATE(YEAR(EDATE(Dashboard!$C$5,1)),MONTH(EDATE(Dashboard!$C$5,1)),1),INDEX(Personnel!$J$5:$J$19,MATCH($A16,Personnel!$A$5:$A$19,0)))+1)/DAY(EOMONTH(EDATE(Dashboard!$C$5,1),0))))),"")</f>
        <v/>
      </c>
      <c r="M16" s="189" t="n"/>
      <c r="N16" s="189" t="n"/>
      <c r="O16" s="190">
        <f>IF(A16="","",M16*$D16+IF(OR($F16="Exempt",$E16="Sub"),0,N16*$D16*1.5))</f>
        <v/>
      </c>
      <c r="P16" s="188">
        <f>IFERROR(IF(A16="","",MAX(0,(INDEX(Personnel!$G$5:$G$19,MATCH($A16,Personnel!$A$5:$A$19,0))/12)*((MIN(EOMONTH(EDATE(Dashboard!$C$5,2),0),IF(INDEX(Personnel!$K$5:$K$19,MATCH($A16,Personnel!$A$5:$A$19,0))="",EOMONTH(EDATE(Dashboard!$C$5,2),0),INDEX(Personnel!$K$5:$K$19,MATCH($A16,Personnel!$A$5:$A$19,0))))-MAX(DATE(YEAR(EDATE(Dashboard!$C$5,2)),MONTH(EDATE(Dashboard!$C$5,2)),1),INDEX(Personnel!$J$5:$J$19,MATCH($A16,Personnel!$A$5:$A$19,0)))+1)/DAY(EOMONTH(EDATE(Dashboard!$C$5,2),0))))),"")</f>
        <v/>
      </c>
      <c r="Q16" s="189" t="n"/>
      <c r="R16" s="189" t="n"/>
      <c r="S16" s="190">
        <f>IF(A16="","",Q16*$D16+IF(OR($F16="Exempt",$E16="Sub"),0,R16*$D16*1.5))</f>
        <v/>
      </c>
      <c r="T16" s="191">
        <f>IFERROR(IF(A16="","",MAX(0,(INDEX(Personnel!$G$5:$G$19,MATCH($A16,Personnel!$A$5:$A$19,0))/12)*((MIN(EOMONTH(EDATE(Dashboard!$C$5,3),0),IF(INDEX(Personnel!$K$5:$K$19,MATCH($A16,Personnel!$A$5:$A$19,0))="",EOMONTH(EDATE(Dashboard!$C$5,3),0),INDEX(Personnel!$K$5:$K$19,MATCH($A16,Personnel!$A$5:$A$19,0))))-MAX(DATE(YEAR(EDATE(Dashboard!$C$5,3)),MONTH(EDATE(Dashboard!$C$5,3)),1),INDEX(Personnel!$J$5:$J$19,MATCH($A16,Personnel!$A$5:$A$19,0)))+1)/DAY(EOMONTH(EDATE(Dashboard!$C$5,3),0))))),"")</f>
        <v/>
      </c>
      <c r="U16" s="192" t="n"/>
      <c r="V16" s="192" t="n"/>
      <c r="W16" s="193">
        <f>IF(A16="","",U16*$D16+IF(OR($F16="Exempt",$E16="Sub"),0,V16*$D16*1.5))</f>
        <v/>
      </c>
      <c r="X16" s="191">
        <f>IFERROR(IF(A16="","",MAX(0,(INDEX(Personnel!$G$5:$G$19,MATCH($A16,Personnel!$A$5:$A$19,0))/12)*((MIN(EOMONTH(EDATE(Dashboard!$C$5,4),0),IF(INDEX(Personnel!$K$5:$K$19,MATCH($A16,Personnel!$A$5:$A$19,0))="",EOMONTH(EDATE(Dashboard!$C$5,4),0),INDEX(Personnel!$K$5:$K$19,MATCH($A16,Personnel!$A$5:$A$19,0))))-MAX(DATE(YEAR(EDATE(Dashboard!$C$5,4)),MONTH(EDATE(Dashboard!$C$5,4)),1),INDEX(Personnel!$J$5:$J$19,MATCH($A16,Personnel!$A$5:$A$19,0)))+1)/DAY(EOMONTH(EDATE(Dashboard!$C$5,4),0))))),"")</f>
        <v/>
      </c>
      <c r="Y16" s="192" t="n"/>
      <c r="Z16" s="192" t="n"/>
      <c r="AA16" s="193">
        <f>IF(A16="","",Y16*$D16+IF(OR($F16="Exempt",$E16="Sub"),0,Z16*$D16*1.5))</f>
        <v/>
      </c>
      <c r="AB16" s="191">
        <f>IFERROR(IF(A16="","",MAX(0,(INDEX(Personnel!$G$5:$G$19,MATCH($A16,Personnel!$A$5:$A$19,0))/12)*((MIN(EOMONTH(EDATE(Dashboard!$C$5,5),0),IF(INDEX(Personnel!$K$5:$K$19,MATCH($A16,Personnel!$A$5:$A$19,0))="",EOMONTH(EDATE(Dashboard!$C$5,5),0),INDEX(Personnel!$K$5:$K$19,MATCH($A16,Personnel!$A$5:$A$19,0))))-MAX(DATE(YEAR(EDATE(Dashboard!$C$5,5)),MONTH(EDATE(Dashboard!$C$5,5)),1),INDEX(Personnel!$J$5:$J$19,MATCH($A16,Personnel!$A$5:$A$19,0)))+1)/DAY(EOMONTH(EDATE(Dashboard!$C$5,5),0))))),"")</f>
        <v/>
      </c>
      <c r="AC16" s="192" t="n"/>
      <c r="AD16" s="192" t="n"/>
      <c r="AE16" s="193">
        <f>IF(A16="","",AC16*$D16+IF(OR($F16="Exempt",$E16="Sub"),0,AD16*$D16*1.5))</f>
        <v/>
      </c>
      <c r="AF16" s="194">
        <f>IFERROR(IF(A16="","",MAX(0,(INDEX(Personnel!$G$5:$G$19,MATCH($A16,Personnel!$A$5:$A$19,0))/12)*((MIN(EOMONTH(EDATE(Dashboard!$C$5,6),0),IF(INDEX(Personnel!$K$5:$K$19,MATCH($A16,Personnel!$A$5:$A$19,0))="",EOMONTH(EDATE(Dashboard!$C$5,6),0),INDEX(Personnel!$K$5:$K$19,MATCH($A16,Personnel!$A$5:$A$19,0))))-MAX(DATE(YEAR(EDATE(Dashboard!$C$5,6)),MONTH(EDATE(Dashboard!$C$5,6)),1),INDEX(Personnel!$J$5:$J$19,MATCH($A16,Personnel!$A$5:$A$19,0)))+1)/DAY(EOMONTH(EDATE(Dashboard!$C$5,6),0))))),"")</f>
        <v/>
      </c>
      <c r="AG16" s="195" t="n"/>
      <c r="AH16" s="195" t="n"/>
      <c r="AI16" s="196">
        <f>IF(A16="","",AG16*$D16+IF(OR($F16="Exempt",$E16="Sub"),0,AH16*$D16*1.5))</f>
        <v/>
      </c>
      <c r="AJ16" s="194">
        <f>IFERROR(IF(A16="","",MAX(0,(INDEX(Personnel!$G$5:$G$19,MATCH($A16,Personnel!$A$5:$A$19,0))/12)*((MIN(EOMONTH(EDATE(Dashboard!$C$5,7),0),IF(INDEX(Personnel!$K$5:$K$19,MATCH($A16,Personnel!$A$5:$A$19,0))="",EOMONTH(EDATE(Dashboard!$C$5,7),0),INDEX(Personnel!$K$5:$K$19,MATCH($A16,Personnel!$A$5:$A$19,0))))-MAX(DATE(YEAR(EDATE(Dashboard!$C$5,7)),MONTH(EDATE(Dashboard!$C$5,7)),1),INDEX(Personnel!$J$5:$J$19,MATCH($A16,Personnel!$A$5:$A$19,0)))+1)/DAY(EOMONTH(EDATE(Dashboard!$C$5,7),0))))),"")</f>
        <v/>
      </c>
      <c r="AK16" s="195" t="n"/>
      <c r="AL16" s="195" t="n"/>
      <c r="AM16" s="196">
        <f>IF(A16="","",AK16*$D16+IF(OR($F16="Exempt",$E16="Sub"),0,AL16*$D16*1.5))</f>
        <v/>
      </c>
      <c r="AN16" s="194">
        <f>IFERROR(IF(A16="","",MAX(0,(INDEX(Personnel!$G$5:$G$19,MATCH($A16,Personnel!$A$5:$A$19,0))/12)*((MIN(EOMONTH(EDATE(Dashboard!$C$5,8),0),IF(INDEX(Personnel!$K$5:$K$19,MATCH($A16,Personnel!$A$5:$A$19,0))="",EOMONTH(EDATE(Dashboard!$C$5,8),0),INDEX(Personnel!$K$5:$K$19,MATCH($A16,Personnel!$A$5:$A$19,0))))-MAX(DATE(YEAR(EDATE(Dashboard!$C$5,8)),MONTH(EDATE(Dashboard!$C$5,8)),1),INDEX(Personnel!$J$5:$J$19,MATCH($A16,Personnel!$A$5:$A$19,0)))+1)/DAY(EOMONTH(EDATE(Dashboard!$C$5,8),0))))),"")</f>
        <v/>
      </c>
      <c r="AO16" s="195" t="n"/>
      <c r="AP16" s="195" t="n"/>
      <c r="AQ16" s="196">
        <f>IF(A16="","",AO16*$D16+IF(OR($F16="Exempt",$E16="Sub"),0,AP16*$D16*1.5))</f>
        <v/>
      </c>
      <c r="AR16" s="197">
        <f>IFERROR(IF(A16="","",MAX(0,(INDEX(Personnel!$G$5:$G$19,MATCH($A16,Personnel!$A$5:$A$19,0))/12)*((MIN(EOMONTH(EDATE(Dashboard!$C$5,9),0),IF(INDEX(Personnel!$K$5:$K$19,MATCH($A16,Personnel!$A$5:$A$19,0))="",EOMONTH(EDATE(Dashboard!$C$5,9),0),INDEX(Personnel!$K$5:$K$19,MATCH($A16,Personnel!$A$5:$A$19,0))))-MAX(DATE(YEAR(EDATE(Dashboard!$C$5,9)),MONTH(EDATE(Dashboard!$C$5,9)),1),INDEX(Personnel!$J$5:$J$19,MATCH($A16,Personnel!$A$5:$A$19,0)))+1)/DAY(EOMONTH(EDATE(Dashboard!$C$5,9),0))))),"")</f>
        <v/>
      </c>
      <c r="AS16" s="198" t="n"/>
      <c r="AT16" s="198" t="n"/>
      <c r="AU16" s="199">
        <f>IF(A16="","",AS16*$D16+IF(OR($F16="Exempt",$E16="Sub"),0,AT16*$D16*1.5))</f>
        <v/>
      </c>
      <c r="AV16" s="197">
        <f>IFERROR(IF(A16="","",MAX(0,(INDEX(Personnel!$G$5:$G$19,MATCH($A16,Personnel!$A$5:$A$19,0))/12)*((MIN(EOMONTH(EDATE(Dashboard!$C$5,10),0),IF(INDEX(Personnel!$K$5:$K$19,MATCH($A16,Personnel!$A$5:$A$19,0))="",EOMONTH(EDATE(Dashboard!$C$5,10),0),INDEX(Personnel!$K$5:$K$19,MATCH($A16,Personnel!$A$5:$A$19,0))))-MAX(DATE(YEAR(EDATE(Dashboard!$C$5,10)),MONTH(EDATE(Dashboard!$C$5,10)),1),INDEX(Personnel!$J$5:$J$19,MATCH($A16,Personnel!$A$5:$A$19,0)))+1)/DAY(EOMONTH(EDATE(Dashboard!$C$5,10),0))))),"")</f>
        <v/>
      </c>
      <c r="AW16" s="198" t="n"/>
      <c r="AX16" s="198" t="n"/>
      <c r="AY16" s="199">
        <f>IF(A16="","",AW16*$D16+IF(OR($F16="Exempt",$E16="Sub"),0,AX16*$D16*1.5))</f>
        <v/>
      </c>
      <c r="AZ16" s="197">
        <f>IFERROR(IF(A16="","",MAX(0,(INDEX(Personnel!$G$5:$G$19,MATCH($A16,Personnel!$A$5:$A$19,0))/12)*((MIN(EOMONTH(EDATE(Dashboard!$C$5,11),0),IF(INDEX(Personnel!$K$5:$K$19,MATCH($A16,Personnel!$A$5:$A$19,0))="",EOMONTH(EDATE(Dashboard!$C$5,11),0),INDEX(Personnel!$K$5:$K$19,MATCH($A16,Personnel!$A$5:$A$19,0))))-MAX(DATE(YEAR(EDATE(Dashboard!$C$5,11)),MONTH(EDATE(Dashboard!$C$5,11)),1),INDEX(Personnel!$J$5:$J$19,MATCH($A16,Personnel!$A$5:$A$19,0)))+1)/DAY(EOMONTH(EDATE(Dashboard!$C$5,11),0))))),"")</f>
        <v/>
      </c>
      <c r="BA16" s="198" t="n"/>
      <c r="BB16" s="198" t="n"/>
      <c r="BC16" s="199">
        <f>IF(A16="","",BA16*$D16+IF(OR($F16="Exempt",$E16="Sub"),0,BB16*$D16*1.5))</f>
        <v/>
      </c>
      <c r="BD16" s="186">
        <f>IF(A16="","",SUM(H16,L16,P16,T16,X16,AB16,AF16,AJ16,AN16,AR16,AV16,AZ16))</f>
        <v/>
      </c>
      <c r="BE16" s="186">
        <f>IF(A16="","",SUM(I16,J16,M16,N16,Q16,R16,U16,V16,Y16,Z16,AC16,AD16,AG16,AH16,AK16,AL16,AO16,AP16,AS16,AT16,AW16,AX16,BA16,BB16))</f>
        <v/>
      </c>
      <c r="BF16" s="200">
        <f>IF(A16="","",BD16*$D16)</f>
        <v/>
      </c>
      <c r="BG16" s="200">
        <f>IF(A16="","",SUM(K16,O16,S16,W16,AA16,AE16,AI16,AM16,AQ16,AU16,AY16,BC16))</f>
        <v/>
      </c>
    </row>
    <row r="17" ht="15" customHeight="1" s="109">
      <c r="A17" s="128" t="n"/>
      <c r="B17" s="183" t="n"/>
      <c r="C17" s="183" t="n"/>
      <c r="D17" s="183" t="n"/>
      <c r="E17" s="128" t="n"/>
      <c r="F17" s="183" t="n"/>
      <c r="G17" s="128" t="n"/>
      <c r="H17" s="188">
        <f>IFERROR(IF(A17="","",MAX(0,(INDEX(Personnel!$G$5:$G$19,MATCH($A17,Personnel!$A$5:$A$19,0))/12)*((MIN(EOMONTH(EDATE(Dashboard!$C$5,0),0),IF(INDEX(Personnel!$K$5:$K$19,MATCH($A17,Personnel!$A$5:$A$19,0))="",EOMONTH(EDATE(Dashboard!$C$5,0),0),INDEX(Personnel!$K$5:$K$19,MATCH($A17,Personnel!$A$5:$A$19,0))))-MAX(DATE(YEAR(EDATE(Dashboard!$C$5,0)),MONTH(EDATE(Dashboard!$C$5,0)),1),INDEX(Personnel!$J$5:$J$19,MATCH($A17,Personnel!$A$5:$A$19,0)))+1)/DAY(EOMONTH(EDATE(Dashboard!$C$5,0),0))))),"")</f>
        <v/>
      </c>
      <c r="I17" s="189" t="n"/>
      <c r="J17" s="189" t="n"/>
      <c r="K17" s="190">
        <f>IF(A17="","",I17*$D17+IF(OR($F17="Exempt",$E17="Sub"),0,J17*$D17*1.5))</f>
        <v/>
      </c>
      <c r="L17" s="188">
        <f>IFERROR(IF(A17="","",MAX(0,(INDEX(Personnel!$G$5:$G$19,MATCH($A17,Personnel!$A$5:$A$19,0))/12)*((MIN(EOMONTH(EDATE(Dashboard!$C$5,1),0),IF(INDEX(Personnel!$K$5:$K$19,MATCH($A17,Personnel!$A$5:$A$19,0))="",EOMONTH(EDATE(Dashboard!$C$5,1),0),INDEX(Personnel!$K$5:$K$19,MATCH($A17,Personnel!$A$5:$A$19,0))))-MAX(DATE(YEAR(EDATE(Dashboard!$C$5,1)),MONTH(EDATE(Dashboard!$C$5,1)),1),INDEX(Personnel!$J$5:$J$19,MATCH($A17,Personnel!$A$5:$A$19,0)))+1)/DAY(EOMONTH(EDATE(Dashboard!$C$5,1),0))))),"")</f>
        <v/>
      </c>
      <c r="M17" s="189" t="n"/>
      <c r="N17" s="189" t="n"/>
      <c r="O17" s="190">
        <f>IF(A17="","",M17*$D17+IF(OR($F17="Exempt",$E17="Sub"),0,N17*$D17*1.5))</f>
        <v/>
      </c>
      <c r="P17" s="188">
        <f>IFERROR(IF(A17="","",MAX(0,(INDEX(Personnel!$G$5:$G$19,MATCH($A17,Personnel!$A$5:$A$19,0))/12)*((MIN(EOMONTH(EDATE(Dashboard!$C$5,2),0),IF(INDEX(Personnel!$K$5:$K$19,MATCH($A17,Personnel!$A$5:$A$19,0))="",EOMONTH(EDATE(Dashboard!$C$5,2),0),INDEX(Personnel!$K$5:$K$19,MATCH($A17,Personnel!$A$5:$A$19,0))))-MAX(DATE(YEAR(EDATE(Dashboard!$C$5,2)),MONTH(EDATE(Dashboard!$C$5,2)),1),INDEX(Personnel!$J$5:$J$19,MATCH($A17,Personnel!$A$5:$A$19,0)))+1)/DAY(EOMONTH(EDATE(Dashboard!$C$5,2),0))))),"")</f>
        <v/>
      </c>
      <c r="Q17" s="189" t="n"/>
      <c r="R17" s="189" t="n"/>
      <c r="S17" s="190">
        <f>IF(A17="","",Q17*$D17+IF(OR($F17="Exempt",$E17="Sub"),0,R17*$D17*1.5))</f>
        <v/>
      </c>
      <c r="T17" s="191">
        <f>IFERROR(IF(A17="","",MAX(0,(INDEX(Personnel!$G$5:$G$19,MATCH($A17,Personnel!$A$5:$A$19,0))/12)*((MIN(EOMONTH(EDATE(Dashboard!$C$5,3),0),IF(INDEX(Personnel!$K$5:$K$19,MATCH($A17,Personnel!$A$5:$A$19,0))="",EOMONTH(EDATE(Dashboard!$C$5,3),0),INDEX(Personnel!$K$5:$K$19,MATCH($A17,Personnel!$A$5:$A$19,0))))-MAX(DATE(YEAR(EDATE(Dashboard!$C$5,3)),MONTH(EDATE(Dashboard!$C$5,3)),1),INDEX(Personnel!$J$5:$J$19,MATCH($A17,Personnel!$A$5:$A$19,0)))+1)/DAY(EOMONTH(EDATE(Dashboard!$C$5,3),0))))),"")</f>
        <v/>
      </c>
      <c r="U17" s="192" t="n"/>
      <c r="V17" s="192" t="n"/>
      <c r="W17" s="193">
        <f>IF(A17="","",U17*$D17+IF(OR($F17="Exempt",$E17="Sub"),0,V17*$D17*1.5))</f>
        <v/>
      </c>
      <c r="X17" s="191">
        <f>IFERROR(IF(A17="","",MAX(0,(INDEX(Personnel!$G$5:$G$19,MATCH($A17,Personnel!$A$5:$A$19,0))/12)*((MIN(EOMONTH(EDATE(Dashboard!$C$5,4),0),IF(INDEX(Personnel!$K$5:$K$19,MATCH($A17,Personnel!$A$5:$A$19,0))="",EOMONTH(EDATE(Dashboard!$C$5,4),0),INDEX(Personnel!$K$5:$K$19,MATCH($A17,Personnel!$A$5:$A$19,0))))-MAX(DATE(YEAR(EDATE(Dashboard!$C$5,4)),MONTH(EDATE(Dashboard!$C$5,4)),1),INDEX(Personnel!$J$5:$J$19,MATCH($A17,Personnel!$A$5:$A$19,0)))+1)/DAY(EOMONTH(EDATE(Dashboard!$C$5,4),0))))),"")</f>
        <v/>
      </c>
      <c r="Y17" s="192" t="n"/>
      <c r="Z17" s="192" t="n"/>
      <c r="AA17" s="193">
        <f>IF(A17="","",Y17*$D17+IF(OR($F17="Exempt",$E17="Sub"),0,Z17*$D17*1.5))</f>
        <v/>
      </c>
      <c r="AB17" s="191">
        <f>IFERROR(IF(A17="","",MAX(0,(INDEX(Personnel!$G$5:$G$19,MATCH($A17,Personnel!$A$5:$A$19,0))/12)*((MIN(EOMONTH(EDATE(Dashboard!$C$5,5),0),IF(INDEX(Personnel!$K$5:$K$19,MATCH($A17,Personnel!$A$5:$A$19,0))="",EOMONTH(EDATE(Dashboard!$C$5,5),0),INDEX(Personnel!$K$5:$K$19,MATCH($A17,Personnel!$A$5:$A$19,0))))-MAX(DATE(YEAR(EDATE(Dashboard!$C$5,5)),MONTH(EDATE(Dashboard!$C$5,5)),1),INDEX(Personnel!$J$5:$J$19,MATCH($A17,Personnel!$A$5:$A$19,0)))+1)/DAY(EOMONTH(EDATE(Dashboard!$C$5,5),0))))),"")</f>
        <v/>
      </c>
      <c r="AC17" s="192" t="n"/>
      <c r="AD17" s="192" t="n"/>
      <c r="AE17" s="193">
        <f>IF(A17="","",AC17*$D17+IF(OR($F17="Exempt",$E17="Sub"),0,AD17*$D17*1.5))</f>
        <v/>
      </c>
      <c r="AF17" s="194">
        <f>IFERROR(IF(A17="","",MAX(0,(INDEX(Personnel!$G$5:$G$19,MATCH($A17,Personnel!$A$5:$A$19,0))/12)*((MIN(EOMONTH(EDATE(Dashboard!$C$5,6),0),IF(INDEX(Personnel!$K$5:$K$19,MATCH($A17,Personnel!$A$5:$A$19,0))="",EOMONTH(EDATE(Dashboard!$C$5,6),0),INDEX(Personnel!$K$5:$K$19,MATCH($A17,Personnel!$A$5:$A$19,0))))-MAX(DATE(YEAR(EDATE(Dashboard!$C$5,6)),MONTH(EDATE(Dashboard!$C$5,6)),1),INDEX(Personnel!$J$5:$J$19,MATCH($A17,Personnel!$A$5:$A$19,0)))+1)/DAY(EOMONTH(EDATE(Dashboard!$C$5,6),0))))),"")</f>
        <v/>
      </c>
      <c r="AG17" s="195" t="n"/>
      <c r="AH17" s="195" t="n"/>
      <c r="AI17" s="196">
        <f>IF(A17="","",AG17*$D17+IF(OR($F17="Exempt",$E17="Sub"),0,AH17*$D17*1.5))</f>
        <v/>
      </c>
      <c r="AJ17" s="194">
        <f>IFERROR(IF(A17="","",MAX(0,(INDEX(Personnel!$G$5:$G$19,MATCH($A17,Personnel!$A$5:$A$19,0))/12)*((MIN(EOMONTH(EDATE(Dashboard!$C$5,7),0),IF(INDEX(Personnel!$K$5:$K$19,MATCH($A17,Personnel!$A$5:$A$19,0))="",EOMONTH(EDATE(Dashboard!$C$5,7),0),INDEX(Personnel!$K$5:$K$19,MATCH($A17,Personnel!$A$5:$A$19,0))))-MAX(DATE(YEAR(EDATE(Dashboard!$C$5,7)),MONTH(EDATE(Dashboard!$C$5,7)),1),INDEX(Personnel!$J$5:$J$19,MATCH($A17,Personnel!$A$5:$A$19,0)))+1)/DAY(EOMONTH(EDATE(Dashboard!$C$5,7),0))))),"")</f>
        <v/>
      </c>
      <c r="AK17" s="195" t="n"/>
      <c r="AL17" s="195" t="n"/>
      <c r="AM17" s="196">
        <f>IF(A17="","",AK17*$D17+IF(OR($F17="Exempt",$E17="Sub"),0,AL17*$D17*1.5))</f>
        <v/>
      </c>
      <c r="AN17" s="194">
        <f>IFERROR(IF(A17="","",MAX(0,(INDEX(Personnel!$G$5:$G$19,MATCH($A17,Personnel!$A$5:$A$19,0))/12)*((MIN(EOMONTH(EDATE(Dashboard!$C$5,8),0),IF(INDEX(Personnel!$K$5:$K$19,MATCH($A17,Personnel!$A$5:$A$19,0))="",EOMONTH(EDATE(Dashboard!$C$5,8),0),INDEX(Personnel!$K$5:$K$19,MATCH($A17,Personnel!$A$5:$A$19,0))))-MAX(DATE(YEAR(EDATE(Dashboard!$C$5,8)),MONTH(EDATE(Dashboard!$C$5,8)),1),INDEX(Personnel!$J$5:$J$19,MATCH($A17,Personnel!$A$5:$A$19,0)))+1)/DAY(EOMONTH(EDATE(Dashboard!$C$5,8),0))))),"")</f>
        <v/>
      </c>
      <c r="AO17" s="195" t="n"/>
      <c r="AP17" s="195" t="n"/>
      <c r="AQ17" s="196">
        <f>IF(A17="","",AO17*$D17+IF(OR($F17="Exempt",$E17="Sub"),0,AP17*$D17*1.5))</f>
        <v/>
      </c>
      <c r="AR17" s="197">
        <f>IFERROR(IF(A17="","",MAX(0,(INDEX(Personnel!$G$5:$G$19,MATCH($A17,Personnel!$A$5:$A$19,0))/12)*((MIN(EOMONTH(EDATE(Dashboard!$C$5,9),0),IF(INDEX(Personnel!$K$5:$K$19,MATCH($A17,Personnel!$A$5:$A$19,0))="",EOMONTH(EDATE(Dashboard!$C$5,9),0),INDEX(Personnel!$K$5:$K$19,MATCH($A17,Personnel!$A$5:$A$19,0))))-MAX(DATE(YEAR(EDATE(Dashboard!$C$5,9)),MONTH(EDATE(Dashboard!$C$5,9)),1),INDEX(Personnel!$J$5:$J$19,MATCH($A17,Personnel!$A$5:$A$19,0)))+1)/DAY(EOMONTH(EDATE(Dashboard!$C$5,9),0))))),"")</f>
        <v/>
      </c>
      <c r="AS17" s="198" t="n"/>
      <c r="AT17" s="198" t="n"/>
      <c r="AU17" s="199">
        <f>IF(A17="","",AS17*$D17+IF(OR($F17="Exempt",$E17="Sub"),0,AT17*$D17*1.5))</f>
        <v/>
      </c>
      <c r="AV17" s="197">
        <f>IFERROR(IF(A17="","",MAX(0,(INDEX(Personnel!$G$5:$G$19,MATCH($A17,Personnel!$A$5:$A$19,0))/12)*((MIN(EOMONTH(EDATE(Dashboard!$C$5,10),0),IF(INDEX(Personnel!$K$5:$K$19,MATCH($A17,Personnel!$A$5:$A$19,0))="",EOMONTH(EDATE(Dashboard!$C$5,10),0),INDEX(Personnel!$K$5:$K$19,MATCH($A17,Personnel!$A$5:$A$19,0))))-MAX(DATE(YEAR(EDATE(Dashboard!$C$5,10)),MONTH(EDATE(Dashboard!$C$5,10)),1),INDEX(Personnel!$J$5:$J$19,MATCH($A17,Personnel!$A$5:$A$19,0)))+1)/DAY(EOMONTH(EDATE(Dashboard!$C$5,10),0))))),"")</f>
        <v/>
      </c>
      <c r="AW17" s="198" t="n"/>
      <c r="AX17" s="198" t="n"/>
      <c r="AY17" s="199">
        <f>IF(A17="","",AW17*$D17+IF(OR($F17="Exempt",$E17="Sub"),0,AX17*$D17*1.5))</f>
        <v/>
      </c>
      <c r="AZ17" s="197">
        <f>IFERROR(IF(A17="","",MAX(0,(INDEX(Personnel!$G$5:$G$19,MATCH($A17,Personnel!$A$5:$A$19,0))/12)*((MIN(EOMONTH(EDATE(Dashboard!$C$5,11),0),IF(INDEX(Personnel!$K$5:$K$19,MATCH($A17,Personnel!$A$5:$A$19,0))="",EOMONTH(EDATE(Dashboard!$C$5,11),0),INDEX(Personnel!$K$5:$K$19,MATCH($A17,Personnel!$A$5:$A$19,0))))-MAX(DATE(YEAR(EDATE(Dashboard!$C$5,11)),MONTH(EDATE(Dashboard!$C$5,11)),1),INDEX(Personnel!$J$5:$J$19,MATCH($A17,Personnel!$A$5:$A$19,0)))+1)/DAY(EOMONTH(EDATE(Dashboard!$C$5,11),0))))),"")</f>
        <v/>
      </c>
      <c r="BA17" s="198" t="n"/>
      <c r="BB17" s="198" t="n"/>
      <c r="BC17" s="199">
        <f>IF(A17="","",BA17*$D17+IF(OR($F17="Exempt",$E17="Sub"),0,BB17*$D17*1.5))</f>
        <v/>
      </c>
      <c r="BD17" s="186">
        <f>IF(A17="","",SUM(H17,L17,P17,T17,X17,AB17,AF17,AJ17,AN17,AR17,AV17,AZ17))</f>
        <v/>
      </c>
      <c r="BE17" s="186">
        <f>IF(A17="","",SUM(I17,J17,M17,N17,Q17,R17,U17,V17,Y17,Z17,AC17,AD17,AG17,AH17,AK17,AL17,AO17,AP17,AS17,AT17,AW17,AX17,BA17,BB17))</f>
        <v/>
      </c>
      <c r="BF17" s="200">
        <f>IF(A17="","",BD17*$D17)</f>
        <v/>
      </c>
      <c r="BG17" s="200">
        <f>IF(A17="","",SUM(K17,O17,S17,W17,AA17,AE17,AI17,AM17,AQ17,AU17,AY17,BC17))</f>
        <v/>
      </c>
    </row>
    <row r="18" ht="15" customHeight="1" s="109">
      <c r="A18" s="128" t="n"/>
      <c r="B18" s="183" t="n"/>
      <c r="C18" s="183" t="n"/>
      <c r="D18" s="183" t="n"/>
      <c r="E18" s="128" t="n"/>
      <c r="F18" s="183" t="n"/>
      <c r="G18" s="128" t="n"/>
      <c r="H18" s="188">
        <f>IFERROR(IF(A18="","",MAX(0,(INDEX(Personnel!$G$5:$G$19,MATCH($A18,Personnel!$A$5:$A$19,0))/12)*((MIN(EOMONTH(EDATE(Dashboard!$C$5,0),0),IF(INDEX(Personnel!$K$5:$K$19,MATCH($A18,Personnel!$A$5:$A$19,0))="",EOMONTH(EDATE(Dashboard!$C$5,0),0),INDEX(Personnel!$K$5:$K$19,MATCH($A18,Personnel!$A$5:$A$19,0))))-MAX(DATE(YEAR(EDATE(Dashboard!$C$5,0)),MONTH(EDATE(Dashboard!$C$5,0)),1),INDEX(Personnel!$J$5:$J$19,MATCH($A18,Personnel!$A$5:$A$19,0)))+1)/DAY(EOMONTH(EDATE(Dashboard!$C$5,0),0))))),"")</f>
        <v/>
      </c>
      <c r="I18" s="189" t="n"/>
      <c r="J18" s="189" t="n"/>
      <c r="K18" s="190">
        <f>IF(A18="","",I18*$D18+IF(OR($F18="Exempt",$E18="Sub"),0,J18*$D18*1.5))</f>
        <v/>
      </c>
      <c r="L18" s="188">
        <f>IFERROR(IF(A18="","",MAX(0,(INDEX(Personnel!$G$5:$G$19,MATCH($A18,Personnel!$A$5:$A$19,0))/12)*((MIN(EOMONTH(EDATE(Dashboard!$C$5,1),0),IF(INDEX(Personnel!$K$5:$K$19,MATCH($A18,Personnel!$A$5:$A$19,0))="",EOMONTH(EDATE(Dashboard!$C$5,1),0),INDEX(Personnel!$K$5:$K$19,MATCH($A18,Personnel!$A$5:$A$19,0))))-MAX(DATE(YEAR(EDATE(Dashboard!$C$5,1)),MONTH(EDATE(Dashboard!$C$5,1)),1),INDEX(Personnel!$J$5:$J$19,MATCH($A18,Personnel!$A$5:$A$19,0)))+1)/DAY(EOMONTH(EDATE(Dashboard!$C$5,1),0))))),"")</f>
        <v/>
      </c>
      <c r="M18" s="189" t="n"/>
      <c r="N18" s="189" t="n"/>
      <c r="O18" s="190">
        <f>IF(A18="","",M18*$D18+IF(OR($F18="Exempt",$E18="Sub"),0,N18*$D18*1.5))</f>
        <v/>
      </c>
      <c r="P18" s="188">
        <f>IFERROR(IF(A18="","",MAX(0,(INDEX(Personnel!$G$5:$G$19,MATCH($A18,Personnel!$A$5:$A$19,0))/12)*((MIN(EOMONTH(EDATE(Dashboard!$C$5,2),0),IF(INDEX(Personnel!$K$5:$K$19,MATCH($A18,Personnel!$A$5:$A$19,0))="",EOMONTH(EDATE(Dashboard!$C$5,2),0),INDEX(Personnel!$K$5:$K$19,MATCH($A18,Personnel!$A$5:$A$19,0))))-MAX(DATE(YEAR(EDATE(Dashboard!$C$5,2)),MONTH(EDATE(Dashboard!$C$5,2)),1),INDEX(Personnel!$J$5:$J$19,MATCH($A18,Personnel!$A$5:$A$19,0)))+1)/DAY(EOMONTH(EDATE(Dashboard!$C$5,2),0))))),"")</f>
        <v/>
      </c>
      <c r="Q18" s="189" t="n"/>
      <c r="R18" s="189" t="n"/>
      <c r="S18" s="190">
        <f>IF(A18="","",Q18*$D18+IF(OR($F18="Exempt",$E18="Sub"),0,R18*$D18*1.5))</f>
        <v/>
      </c>
      <c r="T18" s="191">
        <f>IFERROR(IF(A18="","",MAX(0,(INDEX(Personnel!$G$5:$G$19,MATCH($A18,Personnel!$A$5:$A$19,0))/12)*((MIN(EOMONTH(EDATE(Dashboard!$C$5,3),0),IF(INDEX(Personnel!$K$5:$K$19,MATCH($A18,Personnel!$A$5:$A$19,0))="",EOMONTH(EDATE(Dashboard!$C$5,3),0),INDEX(Personnel!$K$5:$K$19,MATCH($A18,Personnel!$A$5:$A$19,0))))-MAX(DATE(YEAR(EDATE(Dashboard!$C$5,3)),MONTH(EDATE(Dashboard!$C$5,3)),1),INDEX(Personnel!$J$5:$J$19,MATCH($A18,Personnel!$A$5:$A$19,0)))+1)/DAY(EOMONTH(EDATE(Dashboard!$C$5,3),0))))),"")</f>
        <v/>
      </c>
      <c r="U18" s="192" t="n"/>
      <c r="V18" s="192" t="n"/>
      <c r="W18" s="193">
        <f>IF(A18="","",U18*$D18+IF(OR($F18="Exempt",$E18="Sub"),0,V18*$D18*1.5))</f>
        <v/>
      </c>
      <c r="X18" s="191">
        <f>IFERROR(IF(A18="","",MAX(0,(INDEX(Personnel!$G$5:$G$19,MATCH($A18,Personnel!$A$5:$A$19,0))/12)*((MIN(EOMONTH(EDATE(Dashboard!$C$5,4),0),IF(INDEX(Personnel!$K$5:$K$19,MATCH($A18,Personnel!$A$5:$A$19,0))="",EOMONTH(EDATE(Dashboard!$C$5,4),0),INDEX(Personnel!$K$5:$K$19,MATCH($A18,Personnel!$A$5:$A$19,0))))-MAX(DATE(YEAR(EDATE(Dashboard!$C$5,4)),MONTH(EDATE(Dashboard!$C$5,4)),1),INDEX(Personnel!$J$5:$J$19,MATCH($A18,Personnel!$A$5:$A$19,0)))+1)/DAY(EOMONTH(EDATE(Dashboard!$C$5,4),0))))),"")</f>
        <v/>
      </c>
      <c r="Y18" s="192" t="n"/>
      <c r="Z18" s="192" t="n"/>
      <c r="AA18" s="193">
        <f>IF(A18="","",Y18*$D18+IF(OR($F18="Exempt",$E18="Sub"),0,Z18*$D18*1.5))</f>
        <v/>
      </c>
      <c r="AB18" s="191">
        <f>IFERROR(IF(A18="","",MAX(0,(INDEX(Personnel!$G$5:$G$19,MATCH($A18,Personnel!$A$5:$A$19,0))/12)*((MIN(EOMONTH(EDATE(Dashboard!$C$5,5),0),IF(INDEX(Personnel!$K$5:$K$19,MATCH($A18,Personnel!$A$5:$A$19,0))="",EOMONTH(EDATE(Dashboard!$C$5,5),0),INDEX(Personnel!$K$5:$K$19,MATCH($A18,Personnel!$A$5:$A$19,0))))-MAX(DATE(YEAR(EDATE(Dashboard!$C$5,5)),MONTH(EDATE(Dashboard!$C$5,5)),1),INDEX(Personnel!$J$5:$J$19,MATCH($A18,Personnel!$A$5:$A$19,0)))+1)/DAY(EOMONTH(EDATE(Dashboard!$C$5,5),0))))),"")</f>
        <v/>
      </c>
      <c r="AC18" s="192" t="n"/>
      <c r="AD18" s="192" t="n"/>
      <c r="AE18" s="193">
        <f>IF(A18="","",AC18*$D18+IF(OR($F18="Exempt",$E18="Sub"),0,AD18*$D18*1.5))</f>
        <v/>
      </c>
      <c r="AF18" s="194">
        <f>IFERROR(IF(A18="","",MAX(0,(INDEX(Personnel!$G$5:$G$19,MATCH($A18,Personnel!$A$5:$A$19,0))/12)*((MIN(EOMONTH(EDATE(Dashboard!$C$5,6),0),IF(INDEX(Personnel!$K$5:$K$19,MATCH($A18,Personnel!$A$5:$A$19,0))="",EOMONTH(EDATE(Dashboard!$C$5,6),0),INDEX(Personnel!$K$5:$K$19,MATCH($A18,Personnel!$A$5:$A$19,0))))-MAX(DATE(YEAR(EDATE(Dashboard!$C$5,6)),MONTH(EDATE(Dashboard!$C$5,6)),1),INDEX(Personnel!$J$5:$J$19,MATCH($A18,Personnel!$A$5:$A$19,0)))+1)/DAY(EOMONTH(EDATE(Dashboard!$C$5,6),0))))),"")</f>
        <v/>
      </c>
      <c r="AG18" s="195" t="n"/>
      <c r="AH18" s="195" t="n"/>
      <c r="AI18" s="196">
        <f>IF(A18="","",AG18*$D18+IF(OR($F18="Exempt",$E18="Sub"),0,AH18*$D18*1.5))</f>
        <v/>
      </c>
      <c r="AJ18" s="194">
        <f>IFERROR(IF(A18="","",MAX(0,(INDEX(Personnel!$G$5:$G$19,MATCH($A18,Personnel!$A$5:$A$19,0))/12)*((MIN(EOMONTH(EDATE(Dashboard!$C$5,7),0),IF(INDEX(Personnel!$K$5:$K$19,MATCH($A18,Personnel!$A$5:$A$19,0))="",EOMONTH(EDATE(Dashboard!$C$5,7),0),INDEX(Personnel!$K$5:$K$19,MATCH($A18,Personnel!$A$5:$A$19,0))))-MAX(DATE(YEAR(EDATE(Dashboard!$C$5,7)),MONTH(EDATE(Dashboard!$C$5,7)),1),INDEX(Personnel!$J$5:$J$19,MATCH($A18,Personnel!$A$5:$A$19,0)))+1)/DAY(EOMONTH(EDATE(Dashboard!$C$5,7),0))))),"")</f>
        <v/>
      </c>
      <c r="AK18" s="195" t="n"/>
      <c r="AL18" s="195" t="n"/>
      <c r="AM18" s="196">
        <f>IF(A18="","",AK18*$D18+IF(OR($F18="Exempt",$E18="Sub"),0,AL18*$D18*1.5))</f>
        <v/>
      </c>
      <c r="AN18" s="194">
        <f>IFERROR(IF(A18="","",MAX(0,(INDEX(Personnel!$G$5:$G$19,MATCH($A18,Personnel!$A$5:$A$19,0))/12)*((MIN(EOMONTH(EDATE(Dashboard!$C$5,8),0),IF(INDEX(Personnel!$K$5:$K$19,MATCH($A18,Personnel!$A$5:$A$19,0))="",EOMONTH(EDATE(Dashboard!$C$5,8),0),INDEX(Personnel!$K$5:$K$19,MATCH($A18,Personnel!$A$5:$A$19,0))))-MAX(DATE(YEAR(EDATE(Dashboard!$C$5,8)),MONTH(EDATE(Dashboard!$C$5,8)),1),INDEX(Personnel!$J$5:$J$19,MATCH($A18,Personnel!$A$5:$A$19,0)))+1)/DAY(EOMONTH(EDATE(Dashboard!$C$5,8),0))))),"")</f>
        <v/>
      </c>
      <c r="AO18" s="195" t="n"/>
      <c r="AP18" s="195" t="n"/>
      <c r="AQ18" s="196">
        <f>IF(A18="","",AO18*$D18+IF(OR($F18="Exempt",$E18="Sub"),0,AP18*$D18*1.5))</f>
        <v/>
      </c>
      <c r="AR18" s="197">
        <f>IFERROR(IF(A18="","",MAX(0,(INDEX(Personnel!$G$5:$G$19,MATCH($A18,Personnel!$A$5:$A$19,0))/12)*((MIN(EOMONTH(EDATE(Dashboard!$C$5,9),0),IF(INDEX(Personnel!$K$5:$K$19,MATCH($A18,Personnel!$A$5:$A$19,0))="",EOMONTH(EDATE(Dashboard!$C$5,9),0),INDEX(Personnel!$K$5:$K$19,MATCH($A18,Personnel!$A$5:$A$19,0))))-MAX(DATE(YEAR(EDATE(Dashboard!$C$5,9)),MONTH(EDATE(Dashboard!$C$5,9)),1),INDEX(Personnel!$J$5:$J$19,MATCH($A18,Personnel!$A$5:$A$19,0)))+1)/DAY(EOMONTH(EDATE(Dashboard!$C$5,9),0))))),"")</f>
        <v/>
      </c>
      <c r="AS18" s="198" t="n"/>
      <c r="AT18" s="198" t="n"/>
      <c r="AU18" s="199">
        <f>IF(A18="","",AS18*$D18+IF(OR($F18="Exempt",$E18="Sub"),0,AT18*$D18*1.5))</f>
        <v/>
      </c>
      <c r="AV18" s="197">
        <f>IFERROR(IF(A18="","",MAX(0,(INDEX(Personnel!$G$5:$G$19,MATCH($A18,Personnel!$A$5:$A$19,0))/12)*((MIN(EOMONTH(EDATE(Dashboard!$C$5,10),0),IF(INDEX(Personnel!$K$5:$K$19,MATCH($A18,Personnel!$A$5:$A$19,0))="",EOMONTH(EDATE(Dashboard!$C$5,10),0),INDEX(Personnel!$K$5:$K$19,MATCH($A18,Personnel!$A$5:$A$19,0))))-MAX(DATE(YEAR(EDATE(Dashboard!$C$5,10)),MONTH(EDATE(Dashboard!$C$5,10)),1),INDEX(Personnel!$J$5:$J$19,MATCH($A18,Personnel!$A$5:$A$19,0)))+1)/DAY(EOMONTH(EDATE(Dashboard!$C$5,10),0))))),"")</f>
        <v/>
      </c>
      <c r="AW18" s="198" t="n"/>
      <c r="AX18" s="198" t="n"/>
      <c r="AY18" s="199">
        <f>IF(A18="","",AW18*$D18+IF(OR($F18="Exempt",$E18="Sub"),0,AX18*$D18*1.5))</f>
        <v/>
      </c>
      <c r="AZ18" s="197">
        <f>IFERROR(IF(A18="","",MAX(0,(INDEX(Personnel!$G$5:$G$19,MATCH($A18,Personnel!$A$5:$A$19,0))/12)*((MIN(EOMONTH(EDATE(Dashboard!$C$5,11),0),IF(INDEX(Personnel!$K$5:$K$19,MATCH($A18,Personnel!$A$5:$A$19,0))="",EOMONTH(EDATE(Dashboard!$C$5,11),0),INDEX(Personnel!$K$5:$K$19,MATCH($A18,Personnel!$A$5:$A$19,0))))-MAX(DATE(YEAR(EDATE(Dashboard!$C$5,11)),MONTH(EDATE(Dashboard!$C$5,11)),1),INDEX(Personnel!$J$5:$J$19,MATCH($A18,Personnel!$A$5:$A$19,0)))+1)/DAY(EOMONTH(EDATE(Dashboard!$C$5,11),0))))),"")</f>
        <v/>
      </c>
      <c r="BA18" s="198" t="n"/>
      <c r="BB18" s="198" t="n"/>
      <c r="BC18" s="199">
        <f>IF(A18="","",BA18*$D18+IF(OR($F18="Exempt",$E18="Sub"),0,BB18*$D18*1.5))</f>
        <v/>
      </c>
      <c r="BD18" s="186">
        <f>IF(A18="","",SUM(H18,L18,P18,T18,X18,AB18,AF18,AJ18,AN18,AR18,AV18,AZ18))</f>
        <v/>
      </c>
      <c r="BE18" s="186">
        <f>IF(A18="","",SUM(I18,J18,M18,N18,Q18,R18,U18,V18,Y18,Z18,AC18,AD18,AG18,AH18,AK18,AL18,AO18,AP18,AS18,AT18,AW18,AX18,BA18,BB18))</f>
        <v/>
      </c>
      <c r="BF18" s="200">
        <f>IF(A18="","",BD18*$D18)</f>
        <v/>
      </c>
      <c r="BG18" s="200">
        <f>IF(A18="","",SUM(K18,O18,S18,W18,AA18,AE18,AI18,AM18,AQ18,AU18,AY18,BC18))</f>
        <v/>
      </c>
    </row>
    <row r="19" ht="15" customHeight="1" s="109">
      <c r="A19" s="128" t="n"/>
      <c r="B19" s="183" t="n"/>
      <c r="C19" s="183" t="n"/>
      <c r="D19" s="183" t="n"/>
      <c r="E19" s="128" t="n"/>
      <c r="F19" s="183" t="n"/>
      <c r="G19" s="128" t="n"/>
      <c r="H19" s="188">
        <f>IFERROR(IF(A19="","",MAX(0,(INDEX(Personnel!$G$5:$G$19,MATCH($A19,Personnel!$A$5:$A$19,0))/12)*((MIN(EOMONTH(EDATE(Dashboard!$C$5,0),0),IF(INDEX(Personnel!$K$5:$K$19,MATCH($A19,Personnel!$A$5:$A$19,0))="",EOMONTH(EDATE(Dashboard!$C$5,0),0),INDEX(Personnel!$K$5:$K$19,MATCH($A19,Personnel!$A$5:$A$19,0))))-MAX(DATE(YEAR(EDATE(Dashboard!$C$5,0)),MONTH(EDATE(Dashboard!$C$5,0)),1),INDEX(Personnel!$J$5:$J$19,MATCH($A19,Personnel!$A$5:$A$19,0)))+1)/DAY(EOMONTH(EDATE(Dashboard!$C$5,0),0))))),"")</f>
        <v/>
      </c>
      <c r="I19" s="189" t="n"/>
      <c r="J19" s="189" t="n"/>
      <c r="K19" s="190">
        <f>IF(A19="","",I19*$D19+IF(OR($F19="Exempt",$E19="Sub"),0,J19*$D19*1.5))</f>
        <v/>
      </c>
      <c r="L19" s="188">
        <f>IFERROR(IF(A19="","",MAX(0,(INDEX(Personnel!$G$5:$G$19,MATCH($A19,Personnel!$A$5:$A$19,0))/12)*((MIN(EOMONTH(EDATE(Dashboard!$C$5,1),0),IF(INDEX(Personnel!$K$5:$K$19,MATCH($A19,Personnel!$A$5:$A$19,0))="",EOMONTH(EDATE(Dashboard!$C$5,1),0),INDEX(Personnel!$K$5:$K$19,MATCH($A19,Personnel!$A$5:$A$19,0))))-MAX(DATE(YEAR(EDATE(Dashboard!$C$5,1)),MONTH(EDATE(Dashboard!$C$5,1)),1),INDEX(Personnel!$J$5:$J$19,MATCH($A19,Personnel!$A$5:$A$19,0)))+1)/DAY(EOMONTH(EDATE(Dashboard!$C$5,1),0))))),"")</f>
        <v/>
      </c>
      <c r="M19" s="189" t="n"/>
      <c r="N19" s="189" t="n"/>
      <c r="O19" s="190">
        <f>IF(A19="","",M19*$D19+IF(OR($F19="Exempt",$E19="Sub"),0,N19*$D19*1.5))</f>
        <v/>
      </c>
      <c r="P19" s="188">
        <f>IFERROR(IF(A19="","",MAX(0,(INDEX(Personnel!$G$5:$G$19,MATCH($A19,Personnel!$A$5:$A$19,0))/12)*((MIN(EOMONTH(EDATE(Dashboard!$C$5,2),0),IF(INDEX(Personnel!$K$5:$K$19,MATCH($A19,Personnel!$A$5:$A$19,0))="",EOMONTH(EDATE(Dashboard!$C$5,2),0),INDEX(Personnel!$K$5:$K$19,MATCH($A19,Personnel!$A$5:$A$19,0))))-MAX(DATE(YEAR(EDATE(Dashboard!$C$5,2)),MONTH(EDATE(Dashboard!$C$5,2)),1),INDEX(Personnel!$J$5:$J$19,MATCH($A19,Personnel!$A$5:$A$19,0)))+1)/DAY(EOMONTH(EDATE(Dashboard!$C$5,2),0))))),"")</f>
        <v/>
      </c>
      <c r="Q19" s="189" t="n"/>
      <c r="R19" s="189" t="n"/>
      <c r="S19" s="190">
        <f>IF(A19="","",Q19*$D19+IF(OR($F19="Exempt",$E19="Sub"),0,R19*$D19*1.5))</f>
        <v/>
      </c>
      <c r="T19" s="191">
        <f>IFERROR(IF(A19="","",MAX(0,(INDEX(Personnel!$G$5:$G$19,MATCH($A19,Personnel!$A$5:$A$19,0))/12)*((MIN(EOMONTH(EDATE(Dashboard!$C$5,3),0),IF(INDEX(Personnel!$K$5:$K$19,MATCH($A19,Personnel!$A$5:$A$19,0))="",EOMONTH(EDATE(Dashboard!$C$5,3),0),INDEX(Personnel!$K$5:$K$19,MATCH($A19,Personnel!$A$5:$A$19,0))))-MAX(DATE(YEAR(EDATE(Dashboard!$C$5,3)),MONTH(EDATE(Dashboard!$C$5,3)),1),INDEX(Personnel!$J$5:$J$19,MATCH($A19,Personnel!$A$5:$A$19,0)))+1)/DAY(EOMONTH(EDATE(Dashboard!$C$5,3),0))))),"")</f>
        <v/>
      </c>
      <c r="U19" s="192" t="n"/>
      <c r="V19" s="192" t="n"/>
      <c r="W19" s="193">
        <f>IF(A19="","",U19*$D19+IF(OR($F19="Exempt",$E19="Sub"),0,V19*$D19*1.5))</f>
        <v/>
      </c>
      <c r="X19" s="191">
        <f>IFERROR(IF(A19="","",MAX(0,(INDEX(Personnel!$G$5:$G$19,MATCH($A19,Personnel!$A$5:$A$19,0))/12)*((MIN(EOMONTH(EDATE(Dashboard!$C$5,4),0),IF(INDEX(Personnel!$K$5:$K$19,MATCH($A19,Personnel!$A$5:$A$19,0))="",EOMONTH(EDATE(Dashboard!$C$5,4),0),INDEX(Personnel!$K$5:$K$19,MATCH($A19,Personnel!$A$5:$A$19,0))))-MAX(DATE(YEAR(EDATE(Dashboard!$C$5,4)),MONTH(EDATE(Dashboard!$C$5,4)),1),INDEX(Personnel!$J$5:$J$19,MATCH($A19,Personnel!$A$5:$A$19,0)))+1)/DAY(EOMONTH(EDATE(Dashboard!$C$5,4),0))))),"")</f>
        <v/>
      </c>
      <c r="Y19" s="192" t="n"/>
      <c r="Z19" s="192" t="n"/>
      <c r="AA19" s="193">
        <f>IF(A19="","",Y19*$D19+IF(OR($F19="Exempt",$E19="Sub"),0,Z19*$D19*1.5))</f>
        <v/>
      </c>
      <c r="AB19" s="191">
        <f>IFERROR(IF(A19="","",MAX(0,(INDEX(Personnel!$G$5:$G$19,MATCH($A19,Personnel!$A$5:$A$19,0))/12)*((MIN(EOMONTH(EDATE(Dashboard!$C$5,5),0),IF(INDEX(Personnel!$K$5:$K$19,MATCH($A19,Personnel!$A$5:$A$19,0))="",EOMONTH(EDATE(Dashboard!$C$5,5),0),INDEX(Personnel!$K$5:$K$19,MATCH($A19,Personnel!$A$5:$A$19,0))))-MAX(DATE(YEAR(EDATE(Dashboard!$C$5,5)),MONTH(EDATE(Dashboard!$C$5,5)),1),INDEX(Personnel!$J$5:$J$19,MATCH($A19,Personnel!$A$5:$A$19,0)))+1)/DAY(EOMONTH(EDATE(Dashboard!$C$5,5),0))))),"")</f>
        <v/>
      </c>
      <c r="AC19" s="192" t="n"/>
      <c r="AD19" s="192" t="n"/>
      <c r="AE19" s="193">
        <f>IF(A19="","",AC19*$D19+IF(OR($F19="Exempt",$E19="Sub"),0,AD19*$D19*1.5))</f>
        <v/>
      </c>
      <c r="AF19" s="194">
        <f>IFERROR(IF(A19="","",MAX(0,(INDEX(Personnel!$G$5:$G$19,MATCH($A19,Personnel!$A$5:$A$19,0))/12)*((MIN(EOMONTH(EDATE(Dashboard!$C$5,6),0),IF(INDEX(Personnel!$K$5:$K$19,MATCH($A19,Personnel!$A$5:$A$19,0))="",EOMONTH(EDATE(Dashboard!$C$5,6),0),INDEX(Personnel!$K$5:$K$19,MATCH($A19,Personnel!$A$5:$A$19,0))))-MAX(DATE(YEAR(EDATE(Dashboard!$C$5,6)),MONTH(EDATE(Dashboard!$C$5,6)),1),INDEX(Personnel!$J$5:$J$19,MATCH($A19,Personnel!$A$5:$A$19,0)))+1)/DAY(EOMONTH(EDATE(Dashboard!$C$5,6),0))))),"")</f>
        <v/>
      </c>
      <c r="AG19" s="195" t="n"/>
      <c r="AH19" s="195" t="n"/>
      <c r="AI19" s="196">
        <f>IF(A19="","",AG19*$D19+IF(OR($F19="Exempt",$E19="Sub"),0,AH19*$D19*1.5))</f>
        <v/>
      </c>
      <c r="AJ19" s="194">
        <f>IFERROR(IF(A19="","",MAX(0,(INDEX(Personnel!$G$5:$G$19,MATCH($A19,Personnel!$A$5:$A$19,0))/12)*((MIN(EOMONTH(EDATE(Dashboard!$C$5,7),0),IF(INDEX(Personnel!$K$5:$K$19,MATCH($A19,Personnel!$A$5:$A$19,0))="",EOMONTH(EDATE(Dashboard!$C$5,7),0),INDEX(Personnel!$K$5:$K$19,MATCH($A19,Personnel!$A$5:$A$19,0))))-MAX(DATE(YEAR(EDATE(Dashboard!$C$5,7)),MONTH(EDATE(Dashboard!$C$5,7)),1),INDEX(Personnel!$J$5:$J$19,MATCH($A19,Personnel!$A$5:$A$19,0)))+1)/DAY(EOMONTH(EDATE(Dashboard!$C$5,7),0))))),"")</f>
        <v/>
      </c>
      <c r="AK19" s="195" t="n"/>
      <c r="AL19" s="195" t="n"/>
      <c r="AM19" s="196">
        <f>IF(A19="","",AK19*$D19+IF(OR($F19="Exempt",$E19="Sub"),0,AL19*$D19*1.5))</f>
        <v/>
      </c>
      <c r="AN19" s="194">
        <f>IFERROR(IF(A19="","",MAX(0,(INDEX(Personnel!$G$5:$G$19,MATCH($A19,Personnel!$A$5:$A$19,0))/12)*((MIN(EOMONTH(EDATE(Dashboard!$C$5,8),0),IF(INDEX(Personnel!$K$5:$K$19,MATCH($A19,Personnel!$A$5:$A$19,0))="",EOMONTH(EDATE(Dashboard!$C$5,8),0),INDEX(Personnel!$K$5:$K$19,MATCH($A19,Personnel!$A$5:$A$19,0))))-MAX(DATE(YEAR(EDATE(Dashboard!$C$5,8)),MONTH(EDATE(Dashboard!$C$5,8)),1),INDEX(Personnel!$J$5:$J$19,MATCH($A19,Personnel!$A$5:$A$19,0)))+1)/DAY(EOMONTH(EDATE(Dashboard!$C$5,8),0))))),"")</f>
        <v/>
      </c>
      <c r="AO19" s="195" t="n"/>
      <c r="AP19" s="195" t="n"/>
      <c r="AQ19" s="196">
        <f>IF(A19="","",AO19*$D19+IF(OR($F19="Exempt",$E19="Sub"),0,AP19*$D19*1.5))</f>
        <v/>
      </c>
      <c r="AR19" s="197">
        <f>IFERROR(IF(A19="","",MAX(0,(INDEX(Personnel!$G$5:$G$19,MATCH($A19,Personnel!$A$5:$A$19,0))/12)*((MIN(EOMONTH(EDATE(Dashboard!$C$5,9),0),IF(INDEX(Personnel!$K$5:$K$19,MATCH($A19,Personnel!$A$5:$A$19,0))="",EOMONTH(EDATE(Dashboard!$C$5,9),0),INDEX(Personnel!$K$5:$K$19,MATCH($A19,Personnel!$A$5:$A$19,0))))-MAX(DATE(YEAR(EDATE(Dashboard!$C$5,9)),MONTH(EDATE(Dashboard!$C$5,9)),1),INDEX(Personnel!$J$5:$J$19,MATCH($A19,Personnel!$A$5:$A$19,0)))+1)/DAY(EOMONTH(EDATE(Dashboard!$C$5,9),0))))),"")</f>
        <v/>
      </c>
      <c r="AS19" s="198" t="n"/>
      <c r="AT19" s="198" t="n"/>
      <c r="AU19" s="199">
        <f>IF(A19="","",AS19*$D19+IF(OR($F19="Exempt",$E19="Sub"),0,AT19*$D19*1.5))</f>
        <v/>
      </c>
      <c r="AV19" s="197">
        <f>IFERROR(IF(A19="","",MAX(0,(INDEX(Personnel!$G$5:$G$19,MATCH($A19,Personnel!$A$5:$A$19,0))/12)*((MIN(EOMONTH(EDATE(Dashboard!$C$5,10),0),IF(INDEX(Personnel!$K$5:$K$19,MATCH($A19,Personnel!$A$5:$A$19,0))="",EOMONTH(EDATE(Dashboard!$C$5,10),0),INDEX(Personnel!$K$5:$K$19,MATCH($A19,Personnel!$A$5:$A$19,0))))-MAX(DATE(YEAR(EDATE(Dashboard!$C$5,10)),MONTH(EDATE(Dashboard!$C$5,10)),1),INDEX(Personnel!$J$5:$J$19,MATCH($A19,Personnel!$A$5:$A$19,0)))+1)/DAY(EOMONTH(EDATE(Dashboard!$C$5,10),0))))),"")</f>
        <v/>
      </c>
      <c r="AW19" s="198" t="n"/>
      <c r="AX19" s="198" t="n"/>
      <c r="AY19" s="199">
        <f>IF(A19="","",AW19*$D19+IF(OR($F19="Exempt",$E19="Sub"),0,AX19*$D19*1.5))</f>
        <v/>
      </c>
      <c r="AZ19" s="197">
        <f>IFERROR(IF(A19="","",MAX(0,(INDEX(Personnel!$G$5:$G$19,MATCH($A19,Personnel!$A$5:$A$19,0))/12)*((MIN(EOMONTH(EDATE(Dashboard!$C$5,11),0),IF(INDEX(Personnel!$K$5:$K$19,MATCH($A19,Personnel!$A$5:$A$19,0))="",EOMONTH(EDATE(Dashboard!$C$5,11),0),INDEX(Personnel!$K$5:$K$19,MATCH($A19,Personnel!$A$5:$A$19,0))))-MAX(DATE(YEAR(EDATE(Dashboard!$C$5,11)),MONTH(EDATE(Dashboard!$C$5,11)),1),INDEX(Personnel!$J$5:$J$19,MATCH($A19,Personnel!$A$5:$A$19,0)))+1)/DAY(EOMONTH(EDATE(Dashboard!$C$5,11),0))))),"")</f>
        <v/>
      </c>
      <c r="BA19" s="198" t="n"/>
      <c r="BB19" s="198" t="n"/>
      <c r="BC19" s="199">
        <f>IF(A19="","",BA19*$D19+IF(OR($F19="Exempt",$E19="Sub"),0,BB19*$D19*1.5))</f>
        <v/>
      </c>
      <c r="BD19" s="186">
        <f>IF(A19="","",SUM(H19,L19,P19,T19,X19,AB19,AF19,AJ19,AN19,AR19,AV19,AZ19))</f>
        <v/>
      </c>
      <c r="BE19" s="186">
        <f>IF(A19="","",SUM(I19,J19,M19,N19,Q19,R19,U19,V19,Y19,Z19,AC19,AD19,AG19,AH19,AK19,AL19,AO19,AP19,AS19,AT19,AW19,AX19,BA19,BB19))</f>
        <v/>
      </c>
      <c r="BF19" s="200">
        <f>IF(A19="","",BD19*$D19)</f>
        <v/>
      </c>
      <c r="BG19" s="200">
        <f>IF(A19="","",SUM(K19,O19,S19,W19,AA19,AE19,AI19,AM19,AQ19,AU19,AY19,BC19))</f>
        <v/>
      </c>
    </row>
    <row r="20" ht="15" customHeight="1" s="109">
      <c r="A20" s="128" t="n"/>
      <c r="B20" s="183" t="n"/>
      <c r="C20" s="183" t="n"/>
      <c r="D20" s="183" t="n"/>
      <c r="E20" s="128" t="n"/>
      <c r="F20" s="183" t="n"/>
      <c r="G20" s="128" t="n"/>
      <c r="H20" s="188">
        <f>IFERROR(IF(A20="","",MAX(0,(INDEX(Personnel!$G$5:$G$19,MATCH($A20,Personnel!$A$5:$A$19,0))/12)*((MIN(EOMONTH(EDATE(Dashboard!$C$5,0),0),IF(INDEX(Personnel!$K$5:$K$19,MATCH($A20,Personnel!$A$5:$A$19,0))="",EOMONTH(EDATE(Dashboard!$C$5,0),0),INDEX(Personnel!$K$5:$K$19,MATCH($A20,Personnel!$A$5:$A$19,0))))-MAX(DATE(YEAR(EDATE(Dashboard!$C$5,0)),MONTH(EDATE(Dashboard!$C$5,0)),1),INDEX(Personnel!$J$5:$J$19,MATCH($A20,Personnel!$A$5:$A$19,0)))+1)/DAY(EOMONTH(EDATE(Dashboard!$C$5,0),0))))),"")</f>
        <v/>
      </c>
      <c r="I20" s="189" t="n"/>
      <c r="J20" s="189" t="n"/>
      <c r="K20" s="190">
        <f>IF(A20="","",I20*$D20+IF(OR($F20="Exempt",$E20="Sub"),0,J20*$D20*1.5))</f>
        <v/>
      </c>
      <c r="L20" s="188">
        <f>IFERROR(IF(A20="","",MAX(0,(INDEX(Personnel!$G$5:$G$19,MATCH($A20,Personnel!$A$5:$A$19,0))/12)*((MIN(EOMONTH(EDATE(Dashboard!$C$5,1),0),IF(INDEX(Personnel!$K$5:$K$19,MATCH($A20,Personnel!$A$5:$A$19,0))="",EOMONTH(EDATE(Dashboard!$C$5,1),0),INDEX(Personnel!$K$5:$K$19,MATCH($A20,Personnel!$A$5:$A$19,0))))-MAX(DATE(YEAR(EDATE(Dashboard!$C$5,1)),MONTH(EDATE(Dashboard!$C$5,1)),1),INDEX(Personnel!$J$5:$J$19,MATCH($A20,Personnel!$A$5:$A$19,0)))+1)/DAY(EOMONTH(EDATE(Dashboard!$C$5,1),0))))),"")</f>
        <v/>
      </c>
      <c r="M20" s="189" t="n"/>
      <c r="N20" s="189" t="n"/>
      <c r="O20" s="190">
        <f>IF(A20="","",M20*$D20+IF(OR($F20="Exempt",$E20="Sub"),0,N20*$D20*1.5))</f>
        <v/>
      </c>
      <c r="P20" s="188">
        <f>IFERROR(IF(A20="","",MAX(0,(INDEX(Personnel!$G$5:$G$19,MATCH($A20,Personnel!$A$5:$A$19,0))/12)*((MIN(EOMONTH(EDATE(Dashboard!$C$5,2),0),IF(INDEX(Personnel!$K$5:$K$19,MATCH($A20,Personnel!$A$5:$A$19,0))="",EOMONTH(EDATE(Dashboard!$C$5,2),0),INDEX(Personnel!$K$5:$K$19,MATCH($A20,Personnel!$A$5:$A$19,0))))-MAX(DATE(YEAR(EDATE(Dashboard!$C$5,2)),MONTH(EDATE(Dashboard!$C$5,2)),1),INDEX(Personnel!$J$5:$J$19,MATCH($A20,Personnel!$A$5:$A$19,0)))+1)/DAY(EOMONTH(EDATE(Dashboard!$C$5,2),0))))),"")</f>
        <v/>
      </c>
      <c r="Q20" s="189" t="n"/>
      <c r="R20" s="189" t="n"/>
      <c r="S20" s="190">
        <f>IF(A20="","",Q20*$D20+IF(OR($F20="Exempt",$E20="Sub"),0,R20*$D20*1.5))</f>
        <v/>
      </c>
      <c r="T20" s="191">
        <f>IFERROR(IF(A20="","",MAX(0,(INDEX(Personnel!$G$5:$G$19,MATCH($A20,Personnel!$A$5:$A$19,0))/12)*((MIN(EOMONTH(EDATE(Dashboard!$C$5,3),0),IF(INDEX(Personnel!$K$5:$K$19,MATCH($A20,Personnel!$A$5:$A$19,0))="",EOMONTH(EDATE(Dashboard!$C$5,3),0),INDEX(Personnel!$K$5:$K$19,MATCH($A20,Personnel!$A$5:$A$19,0))))-MAX(DATE(YEAR(EDATE(Dashboard!$C$5,3)),MONTH(EDATE(Dashboard!$C$5,3)),1),INDEX(Personnel!$J$5:$J$19,MATCH($A20,Personnel!$A$5:$A$19,0)))+1)/DAY(EOMONTH(EDATE(Dashboard!$C$5,3),0))))),"")</f>
        <v/>
      </c>
      <c r="U20" s="192" t="n"/>
      <c r="V20" s="192" t="n"/>
      <c r="W20" s="193">
        <f>IF(A20="","",U20*$D20+IF(OR($F20="Exempt",$E20="Sub"),0,V20*$D20*1.5))</f>
        <v/>
      </c>
      <c r="X20" s="191">
        <f>IFERROR(IF(A20="","",MAX(0,(INDEX(Personnel!$G$5:$G$19,MATCH($A20,Personnel!$A$5:$A$19,0))/12)*((MIN(EOMONTH(EDATE(Dashboard!$C$5,4),0),IF(INDEX(Personnel!$K$5:$K$19,MATCH($A20,Personnel!$A$5:$A$19,0))="",EOMONTH(EDATE(Dashboard!$C$5,4),0),INDEX(Personnel!$K$5:$K$19,MATCH($A20,Personnel!$A$5:$A$19,0))))-MAX(DATE(YEAR(EDATE(Dashboard!$C$5,4)),MONTH(EDATE(Dashboard!$C$5,4)),1),INDEX(Personnel!$J$5:$J$19,MATCH($A20,Personnel!$A$5:$A$19,0)))+1)/DAY(EOMONTH(EDATE(Dashboard!$C$5,4),0))))),"")</f>
        <v/>
      </c>
      <c r="Y20" s="192" t="n"/>
      <c r="Z20" s="192" t="n"/>
      <c r="AA20" s="193">
        <f>IF(A20="","",Y20*$D20+IF(OR($F20="Exempt",$E20="Sub"),0,Z20*$D20*1.5))</f>
        <v/>
      </c>
      <c r="AB20" s="191">
        <f>IFERROR(IF(A20="","",MAX(0,(INDEX(Personnel!$G$5:$G$19,MATCH($A20,Personnel!$A$5:$A$19,0))/12)*((MIN(EOMONTH(EDATE(Dashboard!$C$5,5),0),IF(INDEX(Personnel!$K$5:$K$19,MATCH($A20,Personnel!$A$5:$A$19,0))="",EOMONTH(EDATE(Dashboard!$C$5,5),0),INDEX(Personnel!$K$5:$K$19,MATCH($A20,Personnel!$A$5:$A$19,0))))-MAX(DATE(YEAR(EDATE(Dashboard!$C$5,5)),MONTH(EDATE(Dashboard!$C$5,5)),1),INDEX(Personnel!$J$5:$J$19,MATCH($A20,Personnel!$A$5:$A$19,0)))+1)/DAY(EOMONTH(EDATE(Dashboard!$C$5,5),0))))),"")</f>
        <v/>
      </c>
      <c r="AC20" s="192" t="n"/>
      <c r="AD20" s="192" t="n"/>
      <c r="AE20" s="193">
        <f>IF(A20="","",AC20*$D20+IF(OR($F20="Exempt",$E20="Sub"),0,AD20*$D20*1.5))</f>
        <v/>
      </c>
      <c r="AF20" s="194">
        <f>IFERROR(IF(A20="","",MAX(0,(INDEX(Personnel!$G$5:$G$19,MATCH($A20,Personnel!$A$5:$A$19,0))/12)*((MIN(EOMONTH(EDATE(Dashboard!$C$5,6),0),IF(INDEX(Personnel!$K$5:$K$19,MATCH($A20,Personnel!$A$5:$A$19,0))="",EOMONTH(EDATE(Dashboard!$C$5,6),0),INDEX(Personnel!$K$5:$K$19,MATCH($A20,Personnel!$A$5:$A$19,0))))-MAX(DATE(YEAR(EDATE(Dashboard!$C$5,6)),MONTH(EDATE(Dashboard!$C$5,6)),1),INDEX(Personnel!$J$5:$J$19,MATCH($A20,Personnel!$A$5:$A$19,0)))+1)/DAY(EOMONTH(EDATE(Dashboard!$C$5,6),0))))),"")</f>
        <v/>
      </c>
      <c r="AG20" s="195" t="n"/>
      <c r="AH20" s="195" t="n"/>
      <c r="AI20" s="196">
        <f>IF(A20="","",AG20*$D20+IF(OR($F20="Exempt",$E20="Sub"),0,AH20*$D20*1.5))</f>
        <v/>
      </c>
      <c r="AJ20" s="194">
        <f>IFERROR(IF(A20="","",MAX(0,(INDEX(Personnel!$G$5:$G$19,MATCH($A20,Personnel!$A$5:$A$19,0))/12)*((MIN(EOMONTH(EDATE(Dashboard!$C$5,7),0),IF(INDEX(Personnel!$K$5:$K$19,MATCH($A20,Personnel!$A$5:$A$19,0))="",EOMONTH(EDATE(Dashboard!$C$5,7),0),INDEX(Personnel!$K$5:$K$19,MATCH($A20,Personnel!$A$5:$A$19,0))))-MAX(DATE(YEAR(EDATE(Dashboard!$C$5,7)),MONTH(EDATE(Dashboard!$C$5,7)),1),INDEX(Personnel!$J$5:$J$19,MATCH($A20,Personnel!$A$5:$A$19,0)))+1)/DAY(EOMONTH(EDATE(Dashboard!$C$5,7),0))))),"")</f>
        <v/>
      </c>
      <c r="AK20" s="195" t="n"/>
      <c r="AL20" s="195" t="n"/>
      <c r="AM20" s="196">
        <f>IF(A20="","",AK20*$D20+IF(OR($F20="Exempt",$E20="Sub"),0,AL20*$D20*1.5))</f>
        <v/>
      </c>
      <c r="AN20" s="194">
        <f>IFERROR(IF(A20="","",MAX(0,(INDEX(Personnel!$G$5:$G$19,MATCH($A20,Personnel!$A$5:$A$19,0))/12)*((MIN(EOMONTH(EDATE(Dashboard!$C$5,8),0),IF(INDEX(Personnel!$K$5:$K$19,MATCH($A20,Personnel!$A$5:$A$19,0))="",EOMONTH(EDATE(Dashboard!$C$5,8),0),INDEX(Personnel!$K$5:$K$19,MATCH($A20,Personnel!$A$5:$A$19,0))))-MAX(DATE(YEAR(EDATE(Dashboard!$C$5,8)),MONTH(EDATE(Dashboard!$C$5,8)),1),INDEX(Personnel!$J$5:$J$19,MATCH($A20,Personnel!$A$5:$A$19,0)))+1)/DAY(EOMONTH(EDATE(Dashboard!$C$5,8),0))))),"")</f>
        <v/>
      </c>
      <c r="AO20" s="195" t="n"/>
      <c r="AP20" s="195" t="n"/>
      <c r="AQ20" s="196">
        <f>IF(A20="","",AO20*$D20+IF(OR($F20="Exempt",$E20="Sub"),0,AP20*$D20*1.5))</f>
        <v/>
      </c>
      <c r="AR20" s="197">
        <f>IFERROR(IF(A20="","",MAX(0,(INDEX(Personnel!$G$5:$G$19,MATCH($A20,Personnel!$A$5:$A$19,0))/12)*((MIN(EOMONTH(EDATE(Dashboard!$C$5,9),0),IF(INDEX(Personnel!$K$5:$K$19,MATCH($A20,Personnel!$A$5:$A$19,0))="",EOMONTH(EDATE(Dashboard!$C$5,9),0),INDEX(Personnel!$K$5:$K$19,MATCH($A20,Personnel!$A$5:$A$19,0))))-MAX(DATE(YEAR(EDATE(Dashboard!$C$5,9)),MONTH(EDATE(Dashboard!$C$5,9)),1),INDEX(Personnel!$J$5:$J$19,MATCH($A20,Personnel!$A$5:$A$19,0)))+1)/DAY(EOMONTH(EDATE(Dashboard!$C$5,9),0))))),"")</f>
        <v/>
      </c>
      <c r="AS20" s="198" t="n"/>
      <c r="AT20" s="198" t="n"/>
      <c r="AU20" s="199">
        <f>IF(A20="","",AS20*$D20+IF(OR($F20="Exempt",$E20="Sub"),0,AT20*$D20*1.5))</f>
        <v/>
      </c>
      <c r="AV20" s="197">
        <f>IFERROR(IF(A20="","",MAX(0,(INDEX(Personnel!$G$5:$G$19,MATCH($A20,Personnel!$A$5:$A$19,0))/12)*((MIN(EOMONTH(EDATE(Dashboard!$C$5,10),0),IF(INDEX(Personnel!$K$5:$K$19,MATCH($A20,Personnel!$A$5:$A$19,0))="",EOMONTH(EDATE(Dashboard!$C$5,10),0),INDEX(Personnel!$K$5:$K$19,MATCH($A20,Personnel!$A$5:$A$19,0))))-MAX(DATE(YEAR(EDATE(Dashboard!$C$5,10)),MONTH(EDATE(Dashboard!$C$5,10)),1),INDEX(Personnel!$J$5:$J$19,MATCH($A20,Personnel!$A$5:$A$19,0)))+1)/DAY(EOMONTH(EDATE(Dashboard!$C$5,10),0))))),"")</f>
        <v/>
      </c>
      <c r="AW20" s="198" t="n"/>
      <c r="AX20" s="198" t="n"/>
      <c r="AY20" s="199">
        <f>IF(A20="","",AW20*$D20+IF(OR($F20="Exempt",$E20="Sub"),0,AX20*$D20*1.5))</f>
        <v/>
      </c>
      <c r="AZ20" s="197">
        <f>IFERROR(IF(A20="","",MAX(0,(INDEX(Personnel!$G$5:$G$19,MATCH($A20,Personnel!$A$5:$A$19,0))/12)*((MIN(EOMONTH(EDATE(Dashboard!$C$5,11),0),IF(INDEX(Personnel!$K$5:$K$19,MATCH($A20,Personnel!$A$5:$A$19,0))="",EOMONTH(EDATE(Dashboard!$C$5,11),0),INDEX(Personnel!$K$5:$K$19,MATCH($A20,Personnel!$A$5:$A$19,0))))-MAX(DATE(YEAR(EDATE(Dashboard!$C$5,11)),MONTH(EDATE(Dashboard!$C$5,11)),1),INDEX(Personnel!$J$5:$J$19,MATCH($A20,Personnel!$A$5:$A$19,0)))+1)/DAY(EOMONTH(EDATE(Dashboard!$C$5,11),0))))),"")</f>
        <v/>
      </c>
      <c r="BA20" s="198" t="n"/>
      <c r="BB20" s="198" t="n"/>
      <c r="BC20" s="199">
        <f>IF(A20="","",BA20*$D20+IF(OR($F20="Exempt",$E20="Sub"),0,BB20*$D20*1.5))</f>
        <v/>
      </c>
      <c r="BD20" s="186">
        <f>IF(A20="","",SUM(H20,L20,P20,T20,X20,AB20,AF20,AJ20,AN20,AR20,AV20,AZ20))</f>
        <v/>
      </c>
      <c r="BE20" s="186">
        <f>IF(A20="","",SUM(I20,J20,M20,N20,Q20,R20,U20,V20,Y20,Z20,AC20,AD20,AG20,AH20,AK20,AL20,AO20,AP20,AS20,AT20,AW20,AX20,BA20,BB20))</f>
        <v/>
      </c>
      <c r="BF20" s="200">
        <f>IF(A20="","",BD20*$D20)</f>
        <v/>
      </c>
      <c r="BG20" s="200">
        <f>IF(A20="","",SUM(K20,O20,S20,W20,AA20,AE20,AI20,AM20,AQ20,AU20,AY20,BC20))</f>
        <v/>
      </c>
    </row>
    <row r="21" ht="15" customHeight="1" s="109">
      <c r="A21" s="128" t="n"/>
      <c r="B21" s="183" t="n"/>
      <c r="C21" s="183" t="n"/>
      <c r="D21" s="183" t="n"/>
      <c r="E21" s="128" t="n"/>
      <c r="F21" s="183" t="n"/>
      <c r="G21" s="128" t="n"/>
      <c r="H21" s="188">
        <f>IFERROR(IF(A21="","",MAX(0,(INDEX(Personnel!$G$5:$G$19,MATCH($A21,Personnel!$A$5:$A$19,0))/12)*((MIN(EOMONTH(EDATE(Dashboard!$C$5,0),0),IF(INDEX(Personnel!$K$5:$K$19,MATCH($A21,Personnel!$A$5:$A$19,0))="",EOMONTH(EDATE(Dashboard!$C$5,0),0),INDEX(Personnel!$K$5:$K$19,MATCH($A21,Personnel!$A$5:$A$19,0))))-MAX(DATE(YEAR(EDATE(Dashboard!$C$5,0)),MONTH(EDATE(Dashboard!$C$5,0)),1),INDEX(Personnel!$J$5:$J$19,MATCH($A21,Personnel!$A$5:$A$19,0)))+1)/DAY(EOMONTH(EDATE(Dashboard!$C$5,0),0))))),"")</f>
        <v/>
      </c>
      <c r="I21" s="189" t="n"/>
      <c r="J21" s="189" t="n"/>
      <c r="K21" s="190">
        <f>IF(A21="","",I21*$D21+IF(OR($F21="Exempt",$E21="Sub"),0,J21*$D21*1.5))</f>
        <v/>
      </c>
      <c r="L21" s="188">
        <f>IFERROR(IF(A21="","",MAX(0,(INDEX(Personnel!$G$5:$G$19,MATCH($A21,Personnel!$A$5:$A$19,0))/12)*((MIN(EOMONTH(EDATE(Dashboard!$C$5,1),0),IF(INDEX(Personnel!$K$5:$K$19,MATCH($A21,Personnel!$A$5:$A$19,0))="",EOMONTH(EDATE(Dashboard!$C$5,1),0),INDEX(Personnel!$K$5:$K$19,MATCH($A21,Personnel!$A$5:$A$19,0))))-MAX(DATE(YEAR(EDATE(Dashboard!$C$5,1)),MONTH(EDATE(Dashboard!$C$5,1)),1),INDEX(Personnel!$J$5:$J$19,MATCH($A21,Personnel!$A$5:$A$19,0)))+1)/DAY(EOMONTH(EDATE(Dashboard!$C$5,1),0))))),"")</f>
        <v/>
      </c>
      <c r="M21" s="189" t="n"/>
      <c r="N21" s="189" t="n"/>
      <c r="O21" s="190">
        <f>IF(A21="","",M21*$D21+IF(OR($F21="Exempt",$E21="Sub"),0,N21*$D21*1.5))</f>
        <v/>
      </c>
      <c r="P21" s="188">
        <f>IFERROR(IF(A21="","",MAX(0,(INDEX(Personnel!$G$5:$G$19,MATCH($A21,Personnel!$A$5:$A$19,0))/12)*((MIN(EOMONTH(EDATE(Dashboard!$C$5,2),0),IF(INDEX(Personnel!$K$5:$K$19,MATCH($A21,Personnel!$A$5:$A$19,0))="",EOMONTH(EDATE(Dashboard!$C$5,2),0),INDEX(Personnel!$K$5:$K$19,MATCH($A21,Personnel!$A$5:$A$19,0))))-MAX(DATE(YEAR(EDATE(Dashboard!$C$5,2)),MONTH(EDATE(Dashboard!$C$5,2)),1),INDEX(Personnel!$J$5:$J$19,MATCH($A21,Personnel!$A$5:$A$19,0)))+1)/DAY(EOMONTH(EDATE(Dashboard!$C$5,2),0))))),"")</f>
        <v/>
      </c>
      <c r="Q21" s="189" t="n"/>
      <c r="R21" s="189" t="n"/>
      <c r="S21" s="190">
        <f>IF(A21="","",Q21*$D21+IF(OR($F21="Exempt",$E21="Sub"),0,R21*$D21*1.5))</f>
        <v/>
      </c>
      <c r="T21" s="191">
        <f>IFERROR(IF(A21="","",MAX(0,(INDEX(Personnel!$G$5:$G$19,MATCH($A21,Personnel!$A$5:$A$19,0))/12)*((MIN(EOMONTH(EDATE(Dashboard!$C$5,3),0),IF(INDEX(Personnel!$K$5:$K$19,MATCH($A21,Personnel!$A$5:$A$19,0))="",EOMONTH(EDATE(Dashboard!$C$5,3),0),INDEX(Personnel!$K$5:$K$19,MATCH($A21,Personnel!$A$5:$A$19,0))))-MAX(DATE(YEAR(EDATE(Dashboard!$C$5,3)),MONTH(EDATE(Dashboard!$C$5,3)),1),INDEX(Personnel!$J$5:$J$19,MATCH($A21,Personnel!$A$5:$A$19,0)))+1)/DAY(EOMONTH(EDATE(Dashboard!$C$5,3),0))))),"")</f>
        <v/>
      </c>
      <c r="U21" s="192" t="n"/>
      <c r="V21" s="192" t="n"/>
      <c r="W21" s="193">
        <f>IF(A21="","",U21*$D21+IF(OR($F21="Exempt",$E21="Sub"),0,V21*$D21*1.5))</f>
        <v/>
      </c>
      <c r="X21" s="191">
        <f>IFERROR(IF(A21="","",MAX(0,(INDEX(Personnel!$G$5:$G$19,MATCH($A21,Personnel!$A$5:$A$19,0))/12)*((MIN(EOMONTH(EDATE(Dashboard!$C$5,4),0),IF(INDEX(Personnel!$K$5:$K$19,MATCH($A21,Personnel!$A$5:$A$19,0))="",EOMONTH(EDATE(Dashboard!$C$5,4),0),INDEX(Personnel!$K$5:$K$19,MATCH($A21,Personnel!$A$5:$A$19,0))))-MAX(DATE(YEAR(EDATE(Dashboard!$C$5,4)),MONTH(EDATE(Dashboard!$C$5,4)),1),INDEX(Personnel!$J$5:$J$19,MATCH($A21,Personnel!$A$5:$A$19,0)))+1)/DAY(EOMONTH(EDATE(Dashboard!$C$5,4),0))))),"")</f>
        <v/>
      </c>
      <c r="Y21" s="192" t="n"/>
      <c r="Z21" s="192" t="n"/>
      <c r="AA21" s="193">
        <f>IF(A21="","",Y21*$D21+IF(OR($F21="Exempt",$E21="Sub"),0,Z21*$D21*1.5))</f>
        <v/>
      </c>
      <c r="AB21" s="191">
        <f>IFERROR(IF(A21="","",MAX(0,(INDEX(Personnel!$G$5:$G$19,MATCH($A21,Personnel!$A$5:$A$19,0))/12)*((MIN(EOMONTH(EDATE(Dashboard!$C$5,5),0),IF(INDEX(Personnel!$K$5:$K$19,MATCH($A21,Personnel!$A$5:$A$19,0))="",EOMONTH(EDATE(Dashboard!$C$5,5),0),INDEX(Personnel!$K$5:$K$19,MATCH($A21,Personnel!$A$5:$A$19,0))))-MAX(DATE(YEAR(EDATE(Dashboard!$C$5,5)),MONTH(EDATE(Dashboard!$C$5,5)),1),INDEX(Personnel!$J$5:$J$19,MATCH($A21,Personnel!$A$5:$A$19,0)))+1)/DAY(EOMONTH(EDATE(Dashboard!$C$5,5),0))))),"")</f>
        <v/>
      </c>
      <c r="AC21" s="192" t="n"/>
      <c r="AD21" s="192" t="n"/>
      <c r="AE21" s="193">
        <f>IF(A21="","",AC21*$D21+IF(OR($F21="Exempt",$E21="Sub"),0,AD21*$D21*1.5))</f>
        <v/>
      </c>
      <c r="AF21" s="194">
        <f>IFERROR(IF(A21="","",MAX(0,(INDEX(Personnel!$G$5:$G$19,MATCH($A21,Personnel!$A$5:$A$19,0))/12)*((MIN(EOMONTH(EDATE(Dashboard!$C$5,6),0),IF(INDEX(Personnel!$K$5:$K$19,MATCH($A21,Personnel!$A$5:$A$19,0))="",EOMONTH(EDATE(Dashboard!$C$5,6),0),INDEX(Personnel!$K$5:$K$19,MATCH($A21,Personnel!$A$5:$A$19,0))))-MAX(DATE(YEAR(EDATE(Dashboard!$C$5,6)),MONTH(EDATE(Dashboard!$C$5,6)),1),INDEX(Personnel!$J$5:$J$19,MATCH($A21,Personnel!$A$5:$A$19,0)))+1)/DAY(EOMONTH(EDATE(Dashboard!$C$5,6),0))))),"")</f>
        <v/>
      </c>
      <c r="AG21" s="195" t="n"/>
      <c r="AH21" s="195" t="n"/>
      <c r="AI21" s="196">
        <f>IF(A21="","",AG21*$D21+IF(OR($F21="Exempt",$E21="Sub"),0,AH21*$D21*1.5))</f>
        <v/>
      </c>
      <c r="AJ21" s="194">
        <f>IFERROR(IF(A21="","",MAX(0,(INDEX(Personnel!$G$5:$G$19,MATCH($A21,Personnel!$A$5:$A$19,0))/12)*((MIN(EOMONTH(EDATE(Dashboard!$C$5,7),0),IF(INDEX(Personnel!$K$5:$K$19,MATCH($A21,Personnel!$A$5:$A$19,0))="",EOMONTH(EDATE(Dashboard!$C$5,7),0),INDEX(Personnel!$K$5:$K$19,MATCH($A21,Personnel!$A$5:$A$19,0))))-MAX(DATE(YEAR(EDATE(Dashboard!$C$5,7)),MONTH(EDATE(Dashboard!$C$5,7)),1),INDEX(Personnel!$J$5:$J$19,MATCH($A21,Personnel!$A$5:$A$19,0)))+1)/DAY(EOMONTH(EDATE(Dashboard!$C$5,7),0))))),"")</f>
        <v/>
      </c>
      <c r="AK21" s="195" t="n"/>
      <c r="AL21" s="195" t="n"/>
      <c r="AM21" s="196">
        <f>IF(A21="","",AK21*$D21+IF(OR($F21="Exempt",$E21="Sub"),0,AL21*$D21*1.5))</f>
        <v/>
      </c>
      <c r="AN21" s="194">
        <f>IFERROR(IF(A21="","",MAX(0,(INDEX(Personnel!$G$5:$G$19,MATCH($A21,Personnel!$A$5:$A$19,0))/12)*((MIN(EOMONTH(EDATE(Dashboard!$C$5,8),0),IF(INDEX(Personnel!$K$5:$K$19,MATCH($A21,Personnel!$A$5:$A$19,0))="",EOMONTH(EDATE(Dashboard!$C$5,8),0),INDEX(Personnel!$K$5:$K$19,MATCH($A21,Personnel!$A$5:$A$19,0))))-MAX(DATE(YEAR(EDATE(Dashboard!$C$5,8)),MONTH(EDATE(Dashboard!$C$5,8)),1),INDEX(Personnel!$J$5:$J$19,MATCH($A21,Personnel!$A$5:$A$19,0)))+1)/DAY(EOMONTH(EDATE(Dashboard!$C$5,8),0))))),"")</f>
        <v/>
      </c>
      <c r="AO21" s="195" t="n"/>
      <c r="AP21" s="195" t="n"/>
      <c r="AQ21" s="196">
        <f>IF(A21="","",AO21*$D21+IF(OR($F21="Exempt",$E21="Sub"),0,AP21*$D21*1.5))</f>
        <v/>
      </c>
      <c r="AR21" s="197">
        <f>IFERROR(IF(A21="","",MAX(0,(INDEX(Personnel!$G$5:$G$19,MATCH($A21,Personnel!$A$5:$A$19,0))/12)*((MIN(EOMONTH(EDATE(Dashboard!$C$5,9),0),IF(INDEX(Personnel!$K$5:$K$19,MATCH($A21,Personnel!$A$5:$A$19,0))="",EOMONTH(EDATE(Dashboard!$C$5,9),0),INDEX(Personnel!$K$5:$K$19,MATCH($A21,Personnel!$A$5:$A$19,0))))-MAX(DATE(YEAR(EDATE(Dashboard!$C$5,9)),MONTH(EDATE(Dashboard!$C$5,9)),1),INDEX(Personnel!$J$5:$J$19,MATCH($A21,Personnel!$A$5:$A$19,0)))+1)/DAY(EOMONTH(EDATE(Dashboard!$C$5,9),0))))),"")</f>
        <v/>
      </c>
      <c r="AS21" s="198" t="n"/>
      <c r="AT21" s="198" t="n"/>
      <c r="AU21" s="199">
        <f>IF(A21="","",AS21*$D21+IF(OR($F21="Exempt",$E21="Sub"),0,AT21*$D21*1.5))</f>
        <v/>
      </c>
      <c r="AV21" s="197">
        <f>IFERROR(IF(A21="","",MAX(0,(INDEX(Personnel!$G$5:$G$19,MATCH($A21,Personnel!$A$5:$A$19,0))/12)*((MIN(EOMONTH(EDATE(Dashboard!$C$5,10),0),IF(INDEX(Personnel!$K$5:$K$19,MATCH($A21,Personnel!$A$5:$A$19,0))="",EOMONTH(EDATE(Dashboard!$C$5,10),0),INDEX(Personnel!$K$5:$K$19,MATCH($A21,Personnel!$A$5:$A$19,0))))-MAX(DATE(YEAR(EDATE(Dashboard!$C$5,10)),MONTH(EDATE(Dashboard!$C$5,10)),1),INDEX(Personnel!$J$5:$J$19,MATCH($A21,Personnel!$A$5:$A$19,0)))+1)/DAY(EOMONTH(EDATE(Dashboard!$C$5,10),0))))),"")</f>
        <v/>
      </c>
      <c r="AW21" s="198" t="n"/>
      <c r="AX21" s="198" t="n"/>
      <c r="AY21" s="199">
        <f>IF(A21="","",AW21*$D21+IF(OR($F21="Exempt",$E21="Sub"),0,AX21*$D21*1.5))</f>
        <v/>
      </c>
      <c r="AZ21" s="197">
        <f>IFERROR(IF(A21="","",MAX(0,(INDEX(Personnel!$G$5:$G$19,MATCH($A21,Personnel!$A$5:$A$19,0))/12)*((MIN(EOMONTH(EDATE(Dashboard!$C$5,11),0),IF(INDEX(Personnel!$K$5:$K$19,MATCH($A21,Personnel!$A$5:$A$19,0))="",EOMONTH(EDATE(Dashboard!$C$5,11),0),INDEX(Personnel!$K$5:$K$19,MATCH($A21,Personnel!$A$5:$A$19,0))))-MAX(DATE(YEAR(EDATE(Dashboard!$C$5,11)),MONTH(EDATE(Dashboard!$C$5,11)),1),INDEX(Personnel!$J$5:$J$19,MATCH($A21,Personnel!$A$5:$A$19,0)))+1)/DAY(EOMONTH(EDATE(Dashboard!$C$5,11),0))))),"")</f>
        <v/>
      </c>
      <c r="BA21" s="198" t="n"/>
      <c r="BB21" s="198" t="n"/>
      <c r="BC21" s="199">
        <f>IF(A21="","",BA21*$D21+IF(OR($F21="Exempt",$E21="Sub"),0,BB21*$D21*1.5))</f>
        <v/>
      </c>
      <c r="BD21" s="186">
        <f>IF(A21="","",SUM(H21,L21,P21,T21,X21,AB21,AF21,AJ21,AN21,AR21,AV21,AZ21))</f>
        <v/>
      </c>
      <c r="BE21" s="186">
        <f>IF(A21="","",SUM(I21,J21,M21,N21,Q21,R21,U21,V21,Y21,Z21,AC21,AD21,AG21,AH21,AK21,AL21,AO21,AP21,AS21,AT21,AW21,AX21,BA21,BB21))</f>
        <v/>
      </c>
      <c r="BF21" s="200">
        <f>IF(A21="","",BD21*$D21)</f>
        <v/>
      </c>
      <c r="BG21" s="200">
        <f>IF(A21="","",SUM(K21,O21,S21,W21,AA21,AE21,AI21,AM21,AQ21,AU21,AY21,BC21))</f>
        <v/>
      </c>
    </row>
    <row r="22" ht="15" customHeight="1" s="109">
      <c r="A22" s="128" t="n"/>
      <c r="B22" s="183" t="n"/>
      <c r="C22" s="183" t="n"/>
      <c r="D22" s="183" t="n"/>
      <c r="E22" s="128" t="n"/>
      <c r="F22" s="183" t="n"/>
      <c r="G22" s="128" t="n"/>
      <c r="H22" s="188">
        <f>IFERROR(IF(A22="","",MAX(0,(INDEX(Personnel!$G$5:$G$19,MATCH($A22,Personnel!$A$5:$A$19,0))/12)*((MIN(EOMONTH(EDATE(Dashboard!$C$5,0),0),IF(INDEX(Personnel!$K$5:$K$19,MATCH($A22,Personnel!$A$5:$A$19,0))="",EOMONTH(EDATE(Dashboard!$C$5,0),0),INDEX(Personnel!$K$5:$K$19,MATCH($A22,Personnel!$A$5:$A$19,0))))-MAX(DATE(YEAR(EDATE(Dashboard!$C$5,0)),MONTH(EDATE(Dashboard!$C$5,0)),1),INDEX(Personnel!$J$5:$J$19,MATCH($A22,Personnel!$A$5:$A$19,0)))+1)/DAY(EOMONTH(EDATE(Dashboard!$C$5,0),0))))),"")</f>
        <v/>
      </c>
      <c r="I22" s="189" t="n"/>
      <c r="J22" s="189" t="n"/>
      <c r="K22" s="190">
        <f>IF(A22="","",I22*$D22+IF(OR($F22="Exempt",$E22="Sub"),0,J22*$D22*1.5))</f>
        <v/>
      </c>
      <c r="L22" s="188">
        <f>IFERROR(IF(A22="","",MAX(0,(INDEX(Personnel!$G$5:$G$19,MATCH($A22,Personnel!$A$5:$A$19,0))/12)*((MIN(EOMONTH(EDATE(Dashboard!$C$5,1),0),IF(INDEX(Personnel!$K$5:$K$19,MATCH($A22,Personnel!$A$5:$A$19,0))="",EOMONTH(EDATE(Dashboard!$C$5,1),0),INDEX(Personnel!$K$5:$K$19,MATCH($A22,Personnel!$A$5:$A$19,0))))-MAX(DATE(YEAR(EDATE(Dashboard!$C$5,1)),MONTH(EDATE(Dashboard!$C$5,1)),1),INDEX(Personnel!$J$5:$J$19,MATCH($A22,Personnel!$A$5:$A$19,0)))+1)/DAY(EOMONTH(EDATE(Dashboard!$C$5,1),0))))),"")</f>
        <v/>
      </c>
      <c r="M22" s="189" t="n"/>
      <c r="N22" s="189" t="n"/>
      <c r="O22" s="190">
        <f>IF(A22="","",M22*$D22+IF(OR($F22="Exempt",$E22="Sub"),0,N22*$D22*1.5))</f>
        <v/>
      </c>
      <c r="P22" s="188">
        <f>IFERROR(IF(A22="","",MAX(0,(INDEX(Personnel!$G$5:$G$19,MATCH($A22,Personnel!$A$5:$A$19,0))/12)*((MIN(EOMONTH(EDATE(Dashboard!$C$5,2),0),IF(INDEX(Personnel!$K$5:$K$19,MATCH($A22,Personnel!$A$5:$A$19,0))="",EOMONTH(EDATE(Dashboard!$C$5,2),0),INDEX(Personnel!$K$5:$K$19,MATCH($A22,Personnel!$A$5:$A$19,0))))-MAX(DATE(YEAR(EDATE(Dashboard!$C$5,2)),MONTH(EDATE(Dashboard!$C$5,2)),1),INDEX(Personnel!$J$5:$J$19,MATCH($A22,Personnel!$A$5:$A$19,0)))+1)/DAY(EOMONTH(EDATE(Dashboard!$C$5,2),0))))),"")</f>
        <v/>
      </c>
      <c r="Q22" s="189" t="n"/>
      <c r="R22" s="189" t="n"/>
      <c r="S22" s="190">
        <f>IF(A22="","",Q22*$D22+IF(OR($F22="Exempt",$E22="Sub"),0,R22*$D22*1.5))</f>
        <v/>
      </c>
      <c r="T22" s="191">
        <f>IFERROR(IF(A22="","",MAX(0,(INDEX(Personnel!$G$5:$G$19,MATCH($A22,Personnel!$A$5:$A$19,0))/12)*((MIN(EOMONTH(EDATE(Dashboard!$C$5,3),0),IF(INDEX(Personnel!$K$5:$K$19,MATCH($A22,Personnel!$A$5:$A$19,0))="",EOMONTH(EDATE(Dashboard!$C$5,3),0),INDEX(Personnel!$K$5:$K$19,MATCH($A22,Personnel!$A$5:$A$19,0))))-MAX(DATE(YEAR(EDATE(Dashboard!$C$5,3)),MONTH(EDATE(Dashboard!$C$5,3)),1),INDEX(Personnel!$J$5:$J$19,MATCH($A22,Personnel!$A$5:$A$19,0)))+1)/DAY(EOMONTH(EDATE(Dashboard!$C$5,3),0))))),"")</f>
        <v/>
      </c>
      <c r="U22" s="192" t="n"/>
      <c r="V22" s="192" t="n"/>
      <c r="W22" s="193">
        <f>IF(A22="","",U22*$D22+IF(OR($F22="Exempt",$E22="Sub"),0,V22*$D22*1.5))</f>
        <v/>
      </c>
      <c r="X22" s="191">
        <f>IFERROR(IF(A22="","",MAX(0,(INDEX(Personnel!$G$5:$G$19,MATCH($A22,Personnel!$A$5:$A$19,0))/12)*((MIN(EOMONTH(EDATE(Dashboard!$C$5,4),0),IF(INDEX(Personnel!$K$5:$K$19,MATCH($A22,Personnel!$A$5:$A$19,0))="",EOMONTH(EDATE(Dashboard!$C$5,4),0),INDEX(Personnel!$K$5:$K$19,MATCH($A22,Personnel!$A$5:$A$19,0))))-MAX(DATE(YEAR(EDATE(Dashboard!$C$5,4)),MONTH(EDATE(Dashboard!$C$5,4)),1),INDEX(Personnel!$J$5:$J$19,MATCH($A22,Personnel!$A$5:$A$19,0)))+1)/DAY(EOMONTH(EDATE(Dashboard!$C$5,4),0))))),"")</f>
        <v/>
      </c>
      <c r="Y22" s="192" t="n"/>
      <c r="Z22" s="192" t="n"/>
      <c r="AA22" s="193">
        <f>IF(A22="","",Y22*$D22+IF(OR($F22="Exempt",$E22="Sub"),0,Z22*$D22*1.5))</f>
        <v/>
      </c>
      <c r="AB22" s="191">
        <f>IFERROR(IF(A22="","",MAX(0,(INDEX(Personnel!$G$5:$G$19,MATCH($A22,Personnel!$A$5:$A$19,0))/12)*((MIN(EOMONTH(EDATE(Dashboard!$C$5,5),0),IF(INDEX(Personnel!$K$5:$K$19,MATCH($A22,Personnel!$A$5:$A$19,0))="",EOMONTH(EDATE(Dashboard!$C$5,5),0),INDEX(Personnel!$K$5:$K$19,MATCH($A22,Personnel!$A$5:$A$19,0))))-MAX(DATE(YEAR(EDATE(Dashboard!$C$5,5)),MONTH(EDATE(Dashboard!$C$5,5)),1),INDEX(Personnel!$J$5:$J$19,MATCH($A22,Personnel!$A$5:$A$19,0)))+1)/DAY(EOMONTH(EDATE(Dashboard!$C$5,5),0))))),"")</f>
        <v/>
      </c>
      <c r="AC22" s="192" t="n"/>
      <c r="AD22" s="192" t="n"/>
      <c r="AE22" s="193">
        <f>IF(A22="","",AC22*$D22+IF(OR($F22="Exempt",$E22="Sub"),0,AD22*$D22*1.5))</f>
        <v/>
      </c>
      <c r="AF22" s="194">
        <f>IFERROR(IF(A22="","",MAX(0,(INDEX(Personnel!$G$5:$G$19,MATCH($A22,Personnel!$A$5:$A$19,0))/12)*((MIN(EOMONTH(EDATE(Dashboard!$C$5,6),0),IF(INDEX(Personnel!$K$5:$K$19,MATCH($A22,Personnel!$A$5:$A$19,0))="",EOMONTH(EDATE(Dashboard!$C$5,6),0),INDEX(Personnel!$K$5:$K$19,MATCH($A22,Personnel!$A$5:$A$19,0))))-MAX(DATE(YEAR(EDATE(Dashboard!$C$5,6)),MONTH(EDATE(Dashboard!$C$5,6)),1),INDEX(Personnel!$J$5:$J$19,MATCH($A22,Personnel!$A$5:$A$19,0)))+1)/DAY(EOMONTH(EDATE(Dashboard!$C$5,6),0))))),"")</f>
        <v/>
      </c>
      <c r="AG22" s="195" t="n"/>
      <c r="AH22" s="195" t="n"/>
      <c r="AI22" s="196">
        <f>IF(A22="","",AG22*$D22+IF(OR($F22="Exempt",$E22="Sub"),0,AH22*$D22*1.5))</f>
        <v/>
      </c>
      <c r="AJ22" s="194">
        <f>IFERROR(IF(A22="","",MAX(0,(INDEX(Personnel!$G$5:$G$19,MATCH($A22,Personnel!$A$5:$A$19,0))/12)*((MIN(EOMONTH(EDATE(Dashboard!$C$5,7),0),IF(INDEX(Personnel!$K$5:$K$19,MATCH($A22,Personnel!$A$5:$A$19,0))="",EOMONTH(EDATE(Dashboard!$C$5,7),0),INDEX(Personnel!$K$5:$K$19,MATCH($A22,Personnel!$A$5:$A$19,0))))-MAX(DATE(YEAR(EDATE(Dashboard!$C$5,7)),MONTH(EDATE(Dashboard!$C$5,7)),1),INDEX(Personnel!$J$5:$J$19,MATCH($A22,Personnel!$A$5:$A$19,0)))+1)/DAY(EOMONTH(EDATE(Dashboard!$C$5,7),0))))),"")</f>
        <v/>
      </c>
      <c r="AK22" s="195" t="n"/>
      <c r="AL22" s="195" t="n"/>
      <c r="AM22" s="196">
        <f>IF(A22="","",AK22*$D22+IF(OR($F22="Exempt",$E22="Sub"),0,AL22*$D22*1.5))</f>
        <v/>
      </c>
      <c r="AN22" s="194">
        <f>IFERROR(IF(A22="","",MAX(0,(INDEX(Personnel!$G$5:$G$19,MATCH($A22,Personnel!$A$5:$A$19,0))/12)*((MIN(EOMONTH(EDATE(Dashboard!$C$5,8),0),IF(INDEX(Personnel!$K$5:$K$19,MATCH($A22,Personnel!$A$5:$A$19,0))="",EOMONTH(EDATE(Dashboard!$C$5,8),0),INDEX(Personnel!$K$5:$K$19,MATCH($A22,Personnel!$A$5:$A$19,0))))-MAX(DATE(YEAR(EDATE(Dashboard!$C$5,8)),MONTH(EDATE(Dashboard!$C$5,8)),1),INDEX(Personnel!$J$5:$J$19,MATCH($A22,Personnel!$A$5:$A$19,0)))+1)/DAY(EOMONTH(EDATE(Dashboard!$C$5,8),0))))),"")</f>
        <v/>
      </c>
      <c r="AO22" s="195" t="n"/>
      <c r="AP22" s="195" t="n"/>
      <c r="AQ22" s="196">
        <f>IF(A22="","",AO22*$D22+IF(OR($F22="Exempt",$E22="Sub"),0,AP22*$D22*1.5))</f>
        <v/>
      </c>
      <c r="AR22" s="197">
        <f>IFERROR(IF(A22="","",MAX(0,(INDEX(Personnel!$G$5:$G$19,MATCH($A22,Personnel!$A$5:$A$19,0))/12)*((MIN(EOMONTH(EDATE(Dashboard!$C$5,9),0),IF(INDEX(Personnel!$K$5:$K$19,MATCH($A22,Personnel!$A$5:$A$19,0))="",EOMONTH(EDATE(Dashboard!$C$5,9),0),INDEX(Personnel!$K$5:$K$19,MATCH($A22,Personnel!$A$5:$A$19,0))))-MAX(DATE(YEAR(EDATE(Dashboard!$C$5,9)),MONTH(EDATE(Dashboard!$C$5,9)),1),INDEX(Personnel!$J$5:$J$19,MATCH($A22,Personnel!$A$5:$A$19,0)))+1)/DAY(EOMONTH(EDATE(Dashboard!$C$5,9),0))))),"")</f>
        <v/>
      </c>
      <c r="AS22" s="198" t="n"/>
      <c r="AT22" s="198" t="n"/>
      <c r="AU22" s="199">
        <f>IF(A22="","",AS22*$D22+IF(OR($F22="Exempt",$E22="Sub"),0,AT22*$D22*1.5))</f>
        <v/>
      </c>
      <c r="AV22" s="197">
        <f>IFERROR(IF(A22="","",MAX(0,(INDEX(Personnel!$G$5:$G$19,MATCH($A22,Personnel!$A$5:$A$19,0))/12)*((MIN(EOMONTH(EDATE(Dashboard!$C$5,10),0),IF(INDEX(Personnel!$K$5:$K$19,MATCH($A22,Personnel!$A$5:$A$19,0))="",EOMONTH(EDATE(Dashboard!$C$5,10),0),INDEX(Personnel!$K$5:$K$19,MATCH($A22,Personnel!$A$5:$A$19,0))))-MAX(DATE(YEAR(EDATE(Dashboard!$C$5,10)),MONTH(EDATE(Dashboard!$C$5,10)),1),INDEX(Personnel!$J$5:$J$19,MATCH($A22,Personnel!$A$5:$A$19,0)))+1)/DAY(EOMONTH(EDATE(Dashboard!$C$5,10),0))))),"")</f>
        <v/>
      </c>
      <c r="AW22" s="198" t="n"/>
      <c r="AX22" s="198" t="n"/>
      <c r="AY22" s="199">
        <f>IF(A22="","",AW22*$D22+IF(OR($F22="Exempt",$E22="Sub"),0,AX22*$D22*1.5))</f>
        <v/>
      </c>
      <c r="AZ22" s="197">
        <f>IFERROR(IF(A22="","",MAX(0,(INDEX(Personnel!$G$5:$G$19,MATCH($A22,Personnel!$A$5:$A$19,0))/12)*((MIN(EOMONTH(EDATE(Dashboard!$C$5,11),0),IF(INDEX(Personnel!$K$5:$K$19,MATCH($A22,Personnel!$A$5:$A$19,0))="",EOMONTH(EDATE(Dashboard!$C$5,11),0),INDEX(Personnel!$K$5:$K$19,MATCH($A22,Personnel!$A$5:$A$19,0))))-MAX(DATE(YEAR(EDATE(Dashboard!$C$5,11)),MONTH(EDATE(Dashboard!$C$5,11)),1),INDEX(Personnel!$J$5:$J$19,MATCH($A22,Personnel!$A$5:$A$19,0)))+1)/DAY(EOMONTH(EDATE(Dashboard!$C$5,11),0))))),"")</f>
        <v/>
      </c>
      <c r="BA22" s="198" t="n"/>
      <c r="BB22" s="198" t="n"/>
      <c r="BC22" s="199">
        <f>IF(A22="","",BA22*$D22+IF(OR($F22="Exempt",$E22="Sub"),0,BB22*$D22*1.5))</f>
        <v/>
      </c>
      <c r="BD22" s="186">
        <f>IF(A22="","",SUM(H22,L22,P22,T22,X22,AB22,AF22,AJ22,AN22,AR22,AV22,AZ22))</f>
        <v/>
      </c>
      <c r="BE22" s="186">
        <f>IF(A22="","",SUM(I22,J22,M22,N22,Q22,R22,U22,V22,Y22,Z22,AC22,AD22,AG22,AH22,AK22,AL22,AO22,AP22,AS22,AT22,AW22,AX22,BA22,BB22))</f>
        <v/>
      </c>
      <c r="BF22" s="200">
        <f>IF(A22="","",BD22*$D22)</f>
        <v/>
      </c>
      <c r="BG22" s="200">
        <f>IF(A22="","",SUM(K22,O22,S22,W22,AA22,AE22,AI22,AM22,AQ22,AU22,AY22,BC22))</f>
        <v/>
      </c>
    </row>
    <row r="23" ht="15" customHeight="1" s="109">
      <c r="A23" s="128" t="n"/>
      <c r="B23" s="183" t="n"/>
      <c r="C23" s="183" t="n"/>
      <c r="D23" s="183" t="n"/>
      <c r="E23" s="128" t="n"/>
      <c r="F23" s="183" t="n"/>
      <c r="G23" s="128" t="n"/>
      <c r="H23" s="188">
        <f>IFERROR(IF(A23="","",MAX(0,(INDEX(Personnel!$G$5:$G$19,MATCH($A23,Personnel!$A$5:$A$19,0))/12)*((MIN(EOMONTH(EDATE(Dashboard!$C$5,0),0),IF(INDEX(Personnel!$K$5:$K$19,MATCH($A23,Personnel!$A$5:$A$19,0))="",EOMONTH(EDATE(Dashboard!$C$5,0),0),INDEX(Personnel!$K$5:$K$19,MATCH($A23,Personnel!$A$5:$A$19,0))))-MAX(DATE(YEAR(EDATE(Dashboard!$C$5,0)),MONTH(EDATE(Dashboard!$C$5,0)),1),INDEX(Personnel!$J$5:$J$19,MATCH($A23,Personnel!$A$5:$A$19,0)))+1)/DAY(EOMONTH(EDATE(Dashboard!$C$5,0),0))))),"")</f>
        <v/>
      </c>
      <c r="I23" s="189" t="n"/>
      <c r="J23" s="189" t="n"/>
      <c r="K23" s="190">
        <f>IF(A23="","",I23*$D23+IF(OR($F23="Exempt",$E23="Sub"),0,J23*$D23*1.5))</f>
        <v/>
      </c>
      <c r="L23" s="188">
        <f>IFERROR(IF(A23="","",MAX(0,(INDEX(Personnel!$G$5:$G$19,MATCH($A23,Personnel!$A$5:$A$19,0))/12)*((MIN(EOMONTH(EDATE(Dashboard!$C$5,1),0),IF(INDEX(Personnel!$K$5:$K$19,MATCH($A23,Personnel!$A$5:$A$19,0))="",EOMONTH(EDATE(Dashboard!$C$5,1),0),INDEX(Personnel!$K$5:$K$19,MATCH($A23,Personnel!$A$5:$A$19,0))))-MAX(DATE(YEAR(EDATE(Dashboard!$C$5,1)),MONTH(EDATE(Dashboard!$C$5,1)),1),INDEX(Personnel!$J$5:$J$19,MATCH($A23,Personnel!$A$5:$A$19,0)))+1)/DAY(EOMONTH(EDATE(Dashboard!$C$5,1),0))))),"")</f>
        <v/>
      </c>
      <c r="M23" s="189" t="n"/>
      <c r="N23" s="189" t="n"/>
      <c r="O23" s="190">
        <f>IF(A23="","",M23*$D23+IF(OR($F23="Exempt",$E23="Sub"),0,N23*$D23*1.5))</f>
        <v/>
      </c>
      <c r="P23" s="188">
        <f>IFERROR(IF(A23="","",MAX(0,(INDEX(Personnel!$G$5:$G$19,MATCH($A23,Personnel!$A$5:$A$19,0))/12)*((MIN(EOMONTH(EDATE(Dashboard!$C$5,2),0),IF(INDEX(Personnel!$K$5:$K$19,MATCH($A23,Personnel!$A$5:$A$19,0))="",EOMONTH(EDATE(Dashboard!$C$5,2),0),INDEX(Personnel!$K$5:$K$19,MATCH($A23,Personnel!$A$5:$A$19,0))))-MAX(DATE(YEAR(EDATE(Dashboard!$C$5,2)),MONTH(EDATE(Dashboard!$C$5,2)),1),INDEX(Personnel!$J$5:$J$19,MATCH($A23,Personnel!$A$5:$A$19,0)))+1)/DAY(EOMONTH(EDATE(Dashboard!$C$5,2),0))))),"")</f>
        <v/>
      </c>
      <c r="Q23" s="189" t="n"/>
      <c r="R23" s="189" t="n"/>
      <c r="S23" s="190">
        <f>IF(A23="","",Q23*$D23+IF(OR($F23="Exempt",$E23="Sub"),0,R23*$D23*1.5))</f>
        <v/>
      </c>
      <c r="T23" s="191">
        <f>IFERROR(IF(A23="","",MAX(0,(INDEX(Personnel!$G$5:$G$19,MATCH($A23,Personnel!$A$5:$A$19,0))/12)*((MIN(EOMONTH(EDATE(Dashboard!$C$5,3),0),IF(INDEX(Personnel!$K$5:$K$19,MATCH($A23,Personnel!$A$5:$A$19,0))="",EOMONTH(EDATE(Dashboard!$C$5,3),0),INDEX(Personnel!$K$5:$K$19,MATCH($A23,Personnel!$A$5:$A$19,0))))-MAX(DATE(YEAR(EDATE(Dashboard!$C$5,3)),MONTH(EDATE(Dashboard!$C$5,3)),1),INDEX(Personnel!$J$5:$J$19,MATCH($A23,Personnel!$A$5:$A$19,0)))+1)/DAY(EOMONTH(EDATE(Dashboard!$C$5,3),0))))),"")</f>
        <v/>
      </c>
      <c r="U23" s="192" t="n"/>
      <c r="V23" s="192" t="n"/>
      <c r="W23" s="193">
        <f>IF(A23="","",U23*$D23+IF(OR($F23="Exempt",$E23="Sub"),0,V23*$D23*1.5))</f>
        <v/>
      </c>
      <c r="X23" s="191">
        <f>IFERROR(IF(A23="","",MAX(0,(INDEX(Personnel!$G$5:$G$19,MATCH($A23,Personnel!$A$5:$A$19,0))/12)*((MIN(EOMONTH(EDATE(Dashboard!$C$5,4),0),IF(INDEX(Personnel!$K$5:$K$19,MATCH($A23,Personnel!$A$5:$A$19,0))="",EOMONTH(EDATE(Dashboard!$C$5,4),0),INDEX(Personnel!$K$5:$K$19,MATCH($A23,Personnel!$A$5:$A$19,0))))-MAX(DATE(YEAR(EDATE(Dashboard!$C$5,4)),MONTH(EDATE(Dashboard!$C$5,4)),1),INDEX(Personnel!$J$5:$J$19,MATCH($A23,Personnel!$A$5:$A$19,0)))+1)/DAY(EOMONTH(EDATE(Dashboard!$C$5,4),0))))),"")</f>
        <v/>
      </c>
      <c r="Y23" s="192" t="n"/>
      <c r="Z23" s="192" t="n"/>
      <c r="AA23" s="193">
        <f>IF(A23="","",Y23*$D23+IF(OR($F23="Exempt",$E23="Sub"),0,Z23*$D23*1.5))</f>
        <v/>
      </c>
      <c r="AB23" s="191">
        <f>IFERROR(IF(A23="","",MAX(0,(INDEX(Personnel!$G$5:$G$19,MATCH($A23,Personnel!$A$5:$A$19,0))/12)*((MIN(EOMONTH(EDATE(Dashboard!$C$5,5),0),IF(INDEX(Personnel!$K$5:$K$19,MATCH($A23,Personnel!$A$5:$A$19,0))="",EOMONTH(EDATE(Dashboard!$C$5,5),0),INDEX(Personnel!$K$5:$K$19,MATCH($A23,Personnel!$A$5:$A$19,0))))-MAX(DATE(YEAR(EDATE(Dashboard!$C$5,5)),MONTH(EDATE(Dashboard!$C$5,5)),1),INDEX(Personnel!$J$5:$J$19,MATCH($A23,Personnel!$A$5:$A$19,0)))+1)/DAY(EOMONTH(EDATE(Dashboard!$C$5,5),0))))),"")</f>
        <v/>
      </c>
      <c r="AC23" s="192" t="n"/>
      <c r="AD23" s="192" t="n"/>
      <c r="AE23" s="193">
        <f>IF(A23="","",AC23*$D23+IF(OR($F23="Exempt",$E23="Sub"),0,AD23*$D23*1.5))</f>
        <v/>
      </c>
      <c r="AF23" s="194">
        <f>IFERROR(IF(A23="","",MAX(0,(INDEX(Personnel!$G$5:$G$19,MATCH($A23,Personnel!$A$5:$A$19,0))/12)*((MIN(EOMONTH(EDATE(Dashboard!$C$5,6),0),IF(INDEX(Personnel!$K$5:$K$19,MATCH($A23,Personnel!$A$5:$A$19,0))="",EOMONTH(EDATE(Dashboard!$C$5,6),0),INDEX(Personnel!$K$5:$K$19,MATCH($A23,Personnel!$A$5:$A$19,0))))-MAX(DATE(YEAR(EDATE(Dashboard!$C$5,6)),MONTH(EDATE(Dashboard!$C$5,6)),1),INDEX(Personnel!$J$5:$J$19,MATCH($A23,Personnel!$A$5:$A$19,0)))+1)/DAY(EOMONTH(EDATE(Dashboard!$C$5,6),0))))),"")</f>
        <v/>
      </c>
      <c r="AG23" s="195" t="n"/>
      <c r="AH23" s="195" t="n"/>
      <c r="AI23" s="196">
        <f>IF(A23="","",AG23*$D23+IF(OR($F23="Exempt",$E23="Sub"),0,AH23*$D23*1.5))</f>
        <v/>
      </c>
      <c r="AJ23" s="194">
        <f>IFERROR(IF(A23="","",MAX(0,(INDEX(Personnel!$G$5:$G$19,MATCH($A23,Personnel!$A$5:$A$19,0))/12)*((MIN(EOMONTH(EDATE(Dashboard!$C$5,7),0),IF(INDEX(Personnel!$K$5:$K$19,MATCH($A23,Personnel!$A$5:$A$19,0))="",EOMONTH(EDATE(Dashboard!$C$5,7),0),INDEX(Personnel!$K$5:$K$19,MATCH($A23,Personnel!$A$5:$A$19,0))))-MAX(DATE(YEAR(EDATE(Dashboard!$C$5,7)),MONTH(EDATE(Dashboard!$C$5,7)),1),INDEX(Personnel!$J$5:$J$19,MATCH($A23,Personnel!$A$5:$A$19,0)))+1)/DAY(EOMONTH(EDATE(Dashboard!$C$5,7),0))))),"")</f>
        <v/>
      </c>
      <c r="AK23" s="195" t="n"/>
      <c r="AL23" s="195" t="n"/>
      <c r="AM23" s="196">
        <f>IF(A23="","",AK23*$D23+IF(OR($F23="Exempt",$E23="Sub"),0,AL23*$D23*1.5))</f>
        <v/>
      </c>
      <c r="AN23" s="194">
        <f>IFERROR(IF(A23="","",MAX(0,(INDEX(Personnel!$G$5:$G$19,MATCH($A23,Personnel!$A$5:$A$19,0))/12)*((MIN(EOMONTH(EDATE(Dashboard!$C$5,8),0),IF(INDEX(Personnel!$K$5:$K$19,MATCH($A23,Personnel!$A$5:$A$19,0))="",EOMONTH(EDATE(Dashboard!$C$5,8),0),INDEX(Personnel!$K$5:$K$19,MATCH($A23,Personnel!$A$5:$A$19,0))))-MAX(DATE(YEAR(EDATE(Dashboard!$C$5,8)),MONTH(EDATE(Dashboard!$C$5,8)),1),INDEX(Personnel!$J$5:$J$19,MATCH($A23,Personnel!$A$5:$A$19,0)))+1)/DAY(EOMONTH(EDATE(Dashboard!$C$5,8),0))))),"")</f>
        <v/>
      </c>
      <c r="AO23" s="195" t="n"/>
      <c r="AP23" s="195" t="n"/>
      <c r="AQ23" s="196">
        <f>IF(A23="","",AO23*$D23+IF(OR($F23="Exempt",$E23="Sub"),0,AP23*$D23*1.5))</f>
        <v/>
      </c>
      <c r="AR23" s="197">
        <f>IFERROR(IF(A23="","",MAX(0,(INDEX(Personnel!$G$5:$G$19,MATCH($A23,Personnel!$A$5:$A$19,0))/12)*((MIN(EOMONTH(EDATE(Dashboard!$C$5,9),0),IF(INDEX(Personnel!$K$5:$K$19,MATCH($A23,Personnel!$A$5:$A$19,0))="",EOMONTH(EDATE(Dashboard!$C$5,9),0),INDEX(Personnel!$K$5:$K$19,MATCH($A23,Personnel!$A$5:$A$19,0))))-MAX(DATE(YEAR(EDATE(Dashboard!$C$5,9)),MONTH(EDATE(Dashboard!$C$5,9)),1),INDEX(Personnel!$J$5:$J$19,MATCH($A23,Personnel!$A$5:$A$19,0)))+1)/DAY(EOMONTH(EDATE(Dashboard!$C$5,9),0))))),"")</f>
        <v/>
      </c>
      <c r="AS23" s="198" t="n"/>
      <c r="AT23" s="198" t="n"/>
      <c r="AU23" s="199">
        <f>IF(A23="","",AS23*$D23+IF(OR($F23="Exempt",$E23="Sub"),0,AT23*$D23*1.5))</f>
        <v/>
      </c>
      <c r="AV23" s="197">
        <f>IFERROR(IF(A23="","",MAX(0,(INDEX(Personnel!$G$5:$G$19,MATCH($A23,Personnel!$A$5:$A$19,0))/12)*((MIN(EOMONTH(EDATE(Dashboard!$C$5,10),0),IF(INDEX(Personnel!$K$5:$K$19,MATCH($A23,Personnel!$A$5:$A$19,0))="",EOMONTH(EDATE(Dashboard!$C$5,10),0),INDEX(Personnel!$K$5:$K$19,MATCH($A23,Personnel!$A$5:$A$19,0))))-MAX(DATE(YEAR(EDATE(Dashboard!$C$5,10)),MONTH(EDATE(Dashboard!$C$5,10)),1),INDEX(Personnel!$J$5:$J$19,MATCH($A23,Personnel!$A$5:$A$19,0)))+1)/DAY(EOMONTH(EDATE(Dashboard!$C$5,10),0))))),"")</f>
        <v/>
      </c>
      <c r="AW23" s="198" t="n"/>
      <c r="AX23" s="198" t="n"/>
      <c r="AY23" s="199">
        <f>IF(A23="","",AW23*$D23+IF(OR($F23="Exempt",$E23="Sub"),0,AX23*$D23*1.5))</f>
        <v/>
      </c>
      <c r="AZ23" s="197">
        <f>IFERROR(IF(A23="","",MAX(0,(INDEX(Personnel!$G$5:$G$19,MATCH($A23,Personnel!$A$5:$A$19,0))/12)*((MIN(EOMONTH(EDATE(Dashboard!$C$5,11),0),IF(INDEX(Personnel!$K$5:$K$19,MATCH($A23,Personnel!$A$5:$A$19,0))="",EOMONTH(EDATE(Dashboard!$C$5,11),0),INDEX(Personnel!$K$5:$K$19,MATCH($A23,Personnel!$A$5:$A$19,0))))-MAX(DATE(YEAR(EDATE(Dashboard!$C$5,11)),MONTH(EDATE(Dashboard!$C$5,11)),1),INDEX(Personnel!$J$5:$J$19,MATCH($A23,Personnel!$A$5:$A$19,0)))+1)/DAY(EOMONTH(EDATE(Dashboard!$C$5,11),0))))),"")</f>
        <v/>
      </c>
      <c r="BA23" s="198" t="n"/>
      <c r="BB23" s="198" t="n"/>
      <c r="BC23" s="199">
        <f>IF(A23="","",BA23*$D23+IF(OR($F23="Exempt",$E23="Sub"),0,BB23*$D23*1.5))</f>
        <v/>
      </c>
      <c r="BD23" s="186">
        <f>IF(A23="","",SUM(H23,L23,P23,T23,X23,AB23,AF23,AJ23,AN23,AR23,AV23,AZ23))</f>
        <v/>
      </c>
      <c r="BE23" s="186">
        <f>IF(A23="","",SUM(I23,J23,M23,N23,Q23,R23,U23,V23,Y23,Z23,AC23,AD23,AG23,AH23,AK23,AL23,AO23,AP23,AS23,AT23,AW23,AX23,BA23,BB23))</f>
        <v/>
      </c>
      <c r="BF23" s="200">
        <f>IF(A23="","",BD23*$D23)</f>
        <v/>
      </c>
      <c r="BG23" s="200">
        <f>IF(A23="","",SUM(K23,O23,S23,W23,AA23,AE23,AI23,AM23,AQ23,AU23,AY23,BC23))</f>
        <v/>
      </c>
    </row>
    <row r="24" ht="15" customHeight="1" s="109">
      <c r="A24" s="128" t="n"/>
      <c r="B24" s="183" t="n"/>
      <c r="C24" s="183" t="n"/>
      <c r="D24" s="183" t="n"/>
      <c r="E24" s="128" t="n"/>
      <c r="F24" s="183" t="n"/>
      <c r="G24" s="128" t="n"/>
      <c r="H24" s="188">
        <f>IFERROR(IF(A24="","",MAX(0,(INDEX(Personnel!$G$5:$G$19,MATCH($A24,Personnel!$A$5:$A$19,0))/12)*((MIN(EOMONTH(EDATE(Dashboard!$C$5,0),0),IF(INDEX(Personnel!$K$5:$K$19,MATCH($A24,Personnel!$A$5:$A$19,0))="",EOMONTH(EDATE(Dashboard!$C$5,0),0),INDEX(Personnel!$K$5:$K$19,MATCH($A24,Personnel!$A$5:$A$19,0))))-MAX(DATE(YEAR(EDATE(Dashboard!$C$5,0)),MONTH(EDATE(Dashboard!$C$5,0)),1),INDEX(Personnel!$J$5:$J$19,MATCH($A24,Personnel!$A$5:$A$19,0)))+1)/DAY(EOMONTH(EDATE(Dashboard!$C$5,0),0))))),"")</f>
        <v/>
      </c>
      <c r="I24" s="189" t="n"/>
      <c r="J24" s="189" t="n"/>
      <c r="K24" s="190">
        <f>IF(A24="","",I24*$D24+IF(OR($F24="Exempt",$E24="Sub"),0,J24*$D24*1.5))</f>
        <v/>
      </c>
      <c r="L24" s="188">
        <f>IFERROR(IF(A24="","",MAX(0,(INDEX(Personnel!$G$5:$G$19,MATCH($A24,Personnel!$A$5:$A$19,0))/12)*((MIN(EOMONTH(EDATE(Dashboard!$C$5,1),0),IF(INDEX(Personnel!$K$5:$K$19,MATCH($A24,Personnel!$A$5:$A$19,0))="",EOMONTH(EDATE(Dashboard!$C$5,1),0),INDEX(Personnel!$K$5:$K$19,MATCH($A24,Personnel!$A$5:$A$19,0))))-MAX(DATE(YEAR(EDATE(Dashboard!$C$5,1)),MONTH(EDATE(Dashboard!$C$5,1)),1),INDEX(Personnel!$J$5:$J$19,MATCH($A24,Personnel!$A$5:$A$19,0)))+1)/DAY(EOMONTH(EDATE(Dashboard!$C$5,1),0))))),"")</f>
        <v/>
      </c>
      <c r="M24" s="189" t="n"/>
      <c r="N24" s="189" t="n"/>
      <c r="O24" s="190">
        <f>IF(A24="","",M24*$D24+IF(OR($F24="Exempt",$E24="Sub"),0,N24*$D24*1.5))</f>
        <v/>
      </c>
      <c r="P24" s="188">
        <f>IFERROR(IF(A24="","",MAX(0,(INDEX(Personnel!$G$5:$G$19,MATCH($A24,Personnel!$A$5:$A$19,0))/12)*((MIN(EOMONTH(EDATE(Dashboard!$C$5,2),0),IF(INDEX(Personnel!$K$5:$K$19,MATCH($A24,Personnel!$A$5:$A$19,0))="",EOMONTH(EDATE(Dashboard!$C$5,2),0),INDEX(Personnel!$K$5:$K$19,MATCH($A24,Personnel!$A$5:$A$19,0))))-MAX(DATE(YEAR(EDATE(Dashboard!$C$5,2)),MONTH(EDATE(Dashboard!$C$5,2)),1),INDEX(Personnel!$J$5:$J$19,MATCH($A24,Personnel!$A$5:$A$19,0)))+1)/DAY(EOMONTH(EDATE(Dashboard!$C$5,2),0))))),"")</f>
        <v/>
      </c>
      <c r="Q24" s="189" t="n"/>
      <c r="R24" s="189" t="n"/>
      <c r="S24" s="190">
        <f>IF(A24="","",Q24*$D24+IF(OR($F24="Exempt",$E24="Sub"),0,R24*$D24*1.5))</f>
        <v/>
      </c>
      <c r="T24" s="191">
        <f>IFERROR(IF(A24="","",MAX(0,(INDEX(Personnel!$G$5:$G$19,MATCH($A24,Personnel!$A$5:$A$19,0))/12)*((MIN(EOMONTH(EDATE(Dashboard!$C$5,3),0),IF(INDEX(Personnel!$K$5:$K$19,MATCH($A24,Personnel!$A$5:$A$19,0))="",EOMONTH(EDATE(Dashboard!$C$5,3),0),INDEX(Personnel!$K$5:$K$19,MATCH($A24,Personnel!$A$5:$A$19,0))))-MAX(DATE(YEAR(EDATE(Dashboard!$C$5,3)),MONTH(EDATE(Dashboard!$C$5,3)),1),INDEX(Personnel!$J$5:$J$19,MATCH($A24,Personnel!$A$5:$A$19,0)))+1)/DAY(EOMONTH(EDATE(Dashboard!$C$5,3),0))))),"")</f>
        <v/>
      </c>
      <c r="U24" s="192" t="n"/>
      <c r="V24" s="192" t="n"/>
      <c r="W24" s="193">
        <f>IF(A24="","",U24*$D24+IF(OR($F24="Exempt",$E24="Sub"),0,V24*$D24*1.5))</f>
        <v/>
      </c>
      <c r="X24" s="191">
        <f>IFERROR(IF(A24="","",MAX(0,(INDEX(Personnel!$G$5:$G$19,MATCH($A24,Personnel!$A$5:$A$19,0))/12)*((MIN(EOMONTH(EDATE(Dashboard!$C$5,4),0),IF(INDEX(Personnel!$K$5:$K$19,MATCH($A24,Personnel!$A$5:$A$19,0))="",EOMONTH(EDATE(Dashboard!$C$5,4),0),INDEX(Personnel!$K$5:$K$19,MATCH($A24,Personnel!$A$5:$A$19,0))))-MAX(DATE(YEAR(EDATE(Dashboard!$C$5,4)),MONTH(EDATE(Dashboard!$C$5,4)),1),INDEX(Personnel!$J$5:$J$19,MATCH($A24,Personnel!$A$5:$A$19,0)))+1)/DAY(EOMONTH(EDATE(Dashboard!$C$5,4),0))))),"")</f>
        <v/>
      </c>
      <c r="Y24" s="192" t="n"/>
      <c r="Z24" s="192" t="n"/>
      <c r="AA24" s="193">
        <f>IF(A24="","",Y24*$D24+IF(OR($F24="Exempt",$E24="Sub"),0,Z24*$D24*1.5))</f>
        <v/>
      </c>
      <c r="AB24" s="191">
        <f>IFERROR(IF(A24="","",MAX(0,(INDEX(Personnel!$G$5:$G$19,MATCH($A24,Personnel!$A$5:$A$19,0))/12)*((MIN(EOMONTH(EDATE(Dashboard!$C$5,5),0),IF(INDEX(Personnel!$K$5:$K$19,MATCH($A24,Personnel!$A$5:$A$19,0))="",EOMONTH(EDATE(Dashboard!$C$5,5),0),INDEX(Personnel!$K$5:$K$19,MATCH($A24,Personnel!$A$5:$A$19,0))))-MAX(DATE(YEAR(EDATE(Dashboard!$C$5,5)),MONTH(EDATE(Dashboard!$C$5,5)),1),INDEX(Personnel!$J$5:$J$19,MATCH($A24,Personnel!$A$5:$A$19,0)))+1)/DAY(EOMONTH(EDATE(Dashboard!$C$5,5),0))))),"")</f>
        <v/>
      </c>
      <c r="AC24" s="192" t="n"/>
      <c r="AD24" s="192" t="n"/>
      <c r="AE24" s="193">
        <f>IF(A24="","",AC24*$D24+IF(OR($F24="Exempt",$E24="Sub"),0,AD24*$D24*1.5))</f>
        <v/>
      </c>
      <c r="AF24" s="194">
        <f>IFERROR(IF(A24="","",MAX(0,(INDEX(Personnel!$G$5:$G$19,MATCH($A24,Personnel!$A$5:$A$19,0))/12)*((MIN(EOMONTH(EDATE(Dashboard!$C$5,6),0),IF(INDEX(Personnel!$K$5:$K$19,MATCH($A24,Personnel!$A$5:$A$19,0))="",EOMONTH(EDATE(Dashboard!$C$5,6),0),INDEX(Personnel!$K$5:$K$19,MATCH($A24,Personnel!$A$5:$A$19,0))))-MAX(DATE(YEAR(EDATE(Dashboard!$C$5,6)),MONTH(EDATE(Dashboard!$C$5,6)),1),INDEX(Personnel!$J$5:$J$19,MATCH($A24,Personnel!$A$5:$A$19,0)))+1)/DAY(EOMONTH(EDATE(Dashboard!$C$5,6),0))))),"")</f>
        <v/>
      </c>
      <c r="AG24" s="195" t="n"/>
      <c r="AH24" s="195" t="n"/>
      <c r="AI24" s="196">
        <f>IF(A24="","",AG24*$D24+IF(OR($F24="Exempt",$E24="Sub"),0,AH24*$D24*1.5))</f>
        <v/>
      </c>
      <c r="AJ24" s="194">
        <f>IFERROR(IF(A24="","",MAX(0,(INDEX(Personnel!$G$5:$G$19,MATCH($A24,Personnel!$A$5:$A$19,0))/12)*((MIN(EOMONTH(EDATE(Dashboard!$C$5,7),0),IF(INDEX(Personnel!$K$5:$K$19,MATCH($A24,Personnel!$A$5:$A$19,0))="",EOMONTH(EDATE(Dashboard!$C$5,7),0),INDEX(Personnel!$K$5:$K$19,MATCH($A24,Personnel!$A$5:$A$19,0))))-MAX(DATE(YEAR(EDATE(Dashboard!$C$5,7)),MONTH(EDATE(Dashboard!$C$5,7)),1),INDEX(Personnel!$J$5:$J$19,MATCH($A24,Personnel!$A$5:$A$19,0)))+1)/DAY(EOMONTH(EDATE(Dashboard!$C$5,7),0))))),"")</f>
        <v/>
      </c>
      <c r="AK24" s="195" t="n"/>
      <c r="AL24" s="195" t="n"/>
      <c r="AM24" s="196">
        <f>IF(A24="","",AK24*$D24+IF(OR($F24="Exempt",$E24="Sub"),0,AL24*$D24*1.5))</f>
        <v/>
      </c>
      <c r="AN24" s="194">
        <f>IFERROR(IF(A24="","",MAX(0,(INDEX(Personnel!$G$5:$G$19,MATCH($A24,Personnel!$A$5:$A$19,0))/12)*((MIN(EOMONTH(EDATE(Dashboard!$C$5,8),0),IF(INDEX(Personnel!$K$5:$K$19,MATCH($A24,Personnel!$A$5:$A$19,0))="",EOMONTH(EDATE(Dashboard!$C$5,8),0),INDEX(Personnel!$K$5:$K$19,MATCH($A24,Personnel!$A$5:$A$19,0))))-MAX(DATE(YEAR(EDATE(Dashboard!$C$5,8)),MONTH(EDATE(Dashboard!$C$5,8)),1),INDEX(Personnel!$J$5:$J$19,MATCH($A24,Personnel!$A$5:$A$19,0)))+1)/DAY(EOMONTH(EDATE(Dashboard!$C$5,8),0))))),"")</f>
        <v/>
      </c>
      <c r="AO24" s="195" t="n"/>
      <c r="AP24" s="195" t="n"/>
      <c r="AQ24" s="196">
        <f>IF(A24="","",AO24*$D24+IF(OR($F24="Exempt",$E24="Sub"),0,AP24*$D24*1.5))</f>
        <v/>
      </c>
      <c r="AR24" s="197">
        <f>IFERROR(IF(A24="","",MAX(0,(INDEX(Personnel!$G$5:$G$19,MATCH($A24,Personnel!$A$5:$A$19,0))/12)*((MIN(EOMONTH(EDATE(Dashboard!$C$5,9),0),IF(INDEX(Personnel!$K$5:$K$19,MATCH($A24,Personnel!$A$5:$A$19,0))="",EOMONTH(EDATE(Dashboard!$C$5,9),0),INDEX(Personnel!$K$5:$K$19,MATCH($A24,Personnel!$A$5:$A$19,0))))-MAX(DATE(YEAR(EDATE(Dashboard!$C$5,9)),MONTH(EDATE(Dashboard!$C$5,9)),1),INDEX(Personnel!$J$5:$J$19,MATCH($A24,Personnel!$A$5:$A$19,0)))+1)/DAY(EOMONTH(EDATE(Dashboard!$C$5,9),0))))),"")</f>
        <v/>
      </c>
      <c r="AS24" s="198" t="n"/>
      <c r="AT24" s="198" t="n"/>
      <c r="AU24" s="199">
        <f>IF(A24="","",AS24*$D24+IF(OR($F24="Exempt",$E24="Sub"),0,AT24*$D24*1.5))</f>
        <v/>
      </c>
      <c r="AV24" s="197">
        <f>IFERROR(IF(A24="","",MAX(0,(INDEX(Personnel!$G$5:$G$19,MATCH($A24,Personnel!$A$5:$A$19,0))/12)*((MIN(EOMONTH(EDATE(Dashboard!$C$5,10),0),IF(INDEX(Personnel!$K$5:$K$19,MATCH($A24,Personnel!$A$5:$A$19,0))="",EOMONTH(EDATE(Dashboard!$C$5,10),0),INDEX(Personnel!$K$5:$K$19,MATCH($A24,Personnel!$A$5:$A$19,0))))-MAX(DATE(YEAR(EDATE(Dashboard!$C$5,10)),MONTH(EDATE(Dashboard!$C$5,10)),1),INDEX(Personnel!$J$5:$J$19,MATCH($A24,Personnel!$A$5:$A$19,0)))+1)/DAY(EOMONTH(EDATE(Dashboard!$C$5,10),0))))),"")</f>
        <v/>
      </c>
      <c r="AW24" s="198" t="n"/>
      <c r="AX24" s="198" t="n"/>
      <c r="AY24" s="199">
        <f>IF(A24="","",AW24*$D24+IF(OR($F24="Exempt",$E24="Sub"),0,AX24*$D24*1.5))</f>
        <v/>
      </c>
      <c r="AZ24" s="197">
        <f>IFERROR(IF(A24="","",MAX(0,(INDEX(Personnel!$G$5:$G$19,MATCH($A24,Personnel!$A$5:$A$19,0))/12)*((MIN(EOMONTH(EDATE(Dashboard!$C$5,11),0),IF(INDEX(Personnel!$K$5:$K$19,MATCH($A24,Personnel!$A$5:$A$19,0))="",EOMONTH(EDATE(Dashboard!$C$5,11),0),INDEX(Personnel!$K$5:$K$19,MATCH($A24,Personnel!$A$5:$A$19,0))))-MAX(DATE(YEAR(EDATE(Dashboard!$C$5,11)),MONTH(EDATE(Dashboard!$C$5,11)),1),INDEX(Personnel!$J$5:$J$19,MATCH($A24,Personnel!$A$5:$A$19,0)))+1)/DAY(EOMONTH(EDATE(Dashboard!$C$5,11),0))))),"")</f>
        <v/>
      </c>
      <c r="BA24" s="198" t="n"/>
      <c r="BB24" s="198" t="n"/>
      <c r="BC24" s="199">
        <f>IF(A24="","",BA24*$D24+IF(OR($F24="Exempt",$E24="Sub"),0,BB24*$D24*1.5))</f>
        <v/>
      </c>
      <c r="BD24" s="186">
        <f>IF(A24="","",SUM(H24,L24,P24,T24,X24,AB24,AF24,AJ24,AN24,AR24,AV24,AZ24))</f>
        <v/>
      </c>
      <c r="BE24" s="186">
        <f>IF(A24="","",SUM(I24,J24,M24,N24,Q24,R24,U24,V24,Y24,Z24,AC24,AD24,AG24,AH24,AK24,AL24,AO24,AP24,AS24,AT24,AW24,AX24,BA24,BB24))</f>
        <v/>
      </c>
      <c r="BF24" s="200">
        <f>IF(A24="","",BD24*$D24)</f>
        <v/>
      </c>
      <c r="BG24" s="200">
        <f>IF(A24="","",SUM(K24,O24,S24,W24,AA24,AE24,AI24,AM24,AQ24,AU24,AY24,BC24))</f>
        <v/>
      </c>
    </row>
    <row r="25" ht="15" customHeight="1" s="109">
      <c r="A25" s="128" t="n"/>
      <c r="B25" s="183" t="n"/>
      <c r="C25" s="183" t="n"/>
      <c r="D25" s="183" t="n"/>
      <c r="E25" s="128" t="n"/>
      <c r="F25" s="183" t="n"/>
      <c r="G25" s="128" t="n"/>
      <c r="H25" s="188">
        <f>IFERROR(IF(A25="","",MAX(0,(INDEX(Personnel!$G$5:$G$19,MATCH($A25,Personnel!$A$5:$A$19,0))/12)*((MIN(EOMONTH(EDATE(Dashboard!$C$5,0),0),IF(INDEX(Personnel!$K$5:$K$19,MATCH($A25,Personnel!$A$5:$A$19,0))="",EOMONTH(EDATE(Dashboard!$C$5,0),0),INDEX(Personnel!$K$5:$K$19,MATCH($A25,Personnel!$A$5:$A$19,0))))-MAX(DATE(YEAR(EDATE(Dashboard!$C$5,0)),MONTH(EDATE(Dashboard!$C$5,0)),1),INDEX(Personnel!$J$5:$J$19,MATCH($A25,Personnel!$A$5:$A$19,0)))+1)/DAY(EOMONTH(EDATE(Dashboard!$C$5,0),0))))),"")</f>
        <v/>
      </c>
      <c r="I25" s="189" t="n"/>
      <c r="J25" s="189" t="n"/>
      <c r="K25" s="190">
        <f>IF(A25="","",I25*$D25+IF(OR($F25="Exempt",$E25="Sub"),0,J25*$D25*1.5))</f>
        <v/>
      </c>
      <c r="L25" s="188">
        <f>IFERROR(IF(A25="","",MAX(0,(INDEX(Personnel!$G$5:$G$19,MATCH($A25,Personnel!$A$5:$A$19,0))/12)*((MIN(EOMONTH(EDATE(Dashboard!$C$5,1),0),IF(INDEX(Personnel!$K$5:$K$19,MATCH($A25,Personnel!$A$5:$A$19,0))="",EOMONTH(EDATE(Dashboard!$C$5,1),0),INDEX(Personnel!$K$5:$K$19,MATCH($A25,Personnel!$A$5:$A$19,0))))-MAX(DATE(YEAR(EDATE(Dashboard!$C$5,1)),MONTH(EDATE(Dashboard!$C$5,1)),1),INDEX(Personnel!$J$5:$J$19,MATCH($A25,Personnel!$A$5:$A$19,0)))+1)/DAY(EOMONTH(EDATE(Dashboard!$C$5,1),0))))),"")</f>
        <v/>
      </c>
      <c r="M25" s="189" t="n"/>
      <c r="N25" s="189" t="n"/>
      <c r="O25" s="190">
        <f>IF(A25="","",M25*$D25+IF(OR($F25="Exempt",$E25="Sub"),0,N25*$D25*1.5))</f>
        <v/>
      </c>
      <c r="P25" s="188">
        <f>IFERROR(IF(A25="","",MAX(0,(INDEX(Personnel!$G$5:$G$19,MATCH($A25,Personnel!$A$5:$A$19,0))/12)*((MIN(EOMONTH(EDATE(Dashboard!$C$5,2),0),IF(INDEX(Personnel!$K$5:$K$19,MATCH($A25,Personnel!$A$5:$A$19,0))="",EOMONTH(EDATE(Dashboard!$C$5,2),0),INDEX(Personnel!$K$5:$K$19,MATCH($A25,Personnel!$A$5:$A$19,0))))-MAX(DATE(YEAR(EDATE(Dashboard!$C$5,2)),MONTH(EDATE(Dashboard!$C$5,2)),1),INDEX(Personnel!$J$5:$J$19,MATCH($A25,Personnel!$A$5:$A$19,0)))+1)/DAY(EOMONTH(EDATE(Dashboard!$C$5,2),0))))),"")</f>
        <v/>
      </c>
      <c r="Q25" s="189" t="n"/>
      <c r="R25" s="189" t="n"/>
      <c r="S25" s="190">
        <f>IF(A25="","",Q25*$D25+IF(OR($F25="Exempt",$E25="Sub"),0,R25*$D25*1.5))</f>
        <v/>
      </c>
      <c r="T25" s="191">
        <f>IFERROR(IF(A25="","",MAX(0,(INDEX(Personnel!$G$5:$G$19,MATCH($A25,Personnel!$A$5:$A$19,0))/12)*((MIN(EOMONTH(EDATE(Dashboard!$C$5,3),0),IF(INDEX(Personnel!$K$5:$K$19,MATCH($A25,Personnel!$A$5:$A$19,0))="",EOMONTH(EDATE(Dashboard!$C$5,3),0),INDEX(Personnel!$K$5:$K$19,MATCH($A25,Personnel!$A$5:$A$19,0))))-MAX(DATE(YEAR(EDATE(Dashboard!$C$5,3)),MONTH(EDATE(Dashboard!$C$5,3)),1),INDEX(Personnel!$J$5:$J$19,MATCH($A25,Personnel!$A$5:$A$19,0)))+1)/DAY(EOMONTH(EDATE(Dashboard!$C$5,3),0))))),"")</f>
        <v/>
      </c>
      <c r="U25" s="192" t="n"/>
      <c r="V25" s="192" t="n"/>
      <c r="W25" s="193">
        <f>IF(A25="","",U25*$D25+IF(OR($F25="Exempt",$E25="Sub"),0,V25*$D25*1.5))</f>
        <v/>
      </c>
      <c r="X25" s="191">
        <f>IFERROR(IF(A25="","",MAX(0,(INDEX(Personnel!$G$5:$G$19,MATCH($A25,Personnel!$A$5:$A$19,0))/12)*((MIN(EOMONTH(EDATE(Dashboard!$C$5,4),0),IF(INDEX(Personnel!$K$5:$K$19,MATCH($A25,Personnel!$A$5:$A$19,0))="",EOMONTH(EDATE(Dashboard!$C$5,4),0),INDEX(Personnel!$K$5:$K$19,MATCH($A25,Personnel!$A$5:$A$19,0))))-MAX(DATE(YEAR(EDATE(Dashboard!$C$5,4)),MONTH(EDATE(Dashboard!$C$5,4)),1),INDEX(Personnel!$J$5:$J$19,MATCH($A25,Personnel!$A$5:$A$19,0)))+1)/DAY(EOMONTH(EDATE(Dashboard!$C$5,4),0))))),"")</f>
        <v/>
      </c>
      <c r="Y25" s="192" t="n"/>
      <c r="Z25" s="192" t="n"/>
      <c r="AA25" s="193">
        <f>IF(A25="","",Y25*$D25+IF(OR($F25="Exempt",$E25="Sub"),0,Z25*$D25*1.5))</f>
        <v/>
      </c>
      <c r="AB25" s="191">
        <f>IFERROR(IF(A25="","",MAX(0,(INDEX(Personnel!$G$5:$G$19,MATCH($A25,Personnel!$A$5:$A$19,0))/12)*((MIN(EOMONTH(EDATE(Dashboard!$C$5,5),0),IF(INDEX(Personnel!$K$5:$K$19,MATCH($A25,Personnel!$A$5:$A$19,0))="",EOMONTH(EDATE(Dashboard!$C$5,5),0),INDEX(Personnel!$K$5:$K$19,MATCH($A25,Personnel!$A$5:$A$19,0))))-MAX(DATE(YEAR(EDATE(Dashboard!$C$5,5)),MONTH(EDATE(Dashboard!$C$5,5)),1),INDEX(Personnel!$J$5:$J$19,MATCH($A25,Personnel!$A$5:$A$19,0)))+1)/DAY(EOMONTH(EDATE(Dashboard!$C$5,5),0))))),"")</f>
        <v/>
      </c>
      <c r="AC25" s="192" t="n"/>
      <c r="AD25" s="192" t="n"/>
      <c r="AE25" s="193">
        <f>IF(A25="","",AC25*$D25+IF(OR($F25="Exempt",$E25="Sub"),0,AD25*$D25*1.5))</f>
        <v/>
      </c>
      <c r="AF25" s="194">
        <f>IFERROR(IF(A25="","",MAX(0,(INDEX(Personnel!$G$5:$G$19,MATCH($A25,Personnel!$A$5:$A$19,0))/12)*((MIN(EOMONTH(EDATE(Dashboard!$C$5,6),0),IF(INDEX(Personnel!$K$5:$K$19,MATCH($A25,Personnel!$A$5:$A$19,0))="",EOMONTH(EDATE(Dashboard!$C$5,6),0),INDEX(Personnel!$K$5:$K$19,MATCH($A25,Personnel!$A$5:$A$19,0))))-MAX(DATE(YEAR(EDATE(Dashboard!$C$5,6)),MONTH(EDATE(Dashboard!$C$5,6)),1),INDEX(Personnel!$J$5:$J$19,MATCH($A25,Personnel!$A$5:$A$19,0)))+1)/DAY(EOMONTH(EDATE(Dashboard!$C$5,6),0))))),"")</f>
        <v/>
      </c>
      <c r="AG25" s="195" t="n"/>
      <c r="AH25" s="195" t="n"/>
      <c r="AI25" s="196">
        <f>IF(A25="","",AG25*$D25+IF(OR($F25="Exempt",$E25="Sub"),0,AH25*$D25*1.5))</f>
        <v/>
      </c>
      <c r="AJ25" s="194">
        <f>IFERROR(IF(A25="","",MAX(0,(INDEX(Personnel!$G$5:$G$19,MATCH($A25,Personnel!$A$5:$A$19,0))/12)*((MIN(EOMONTH(EDATE(Dashboard!$C$5,7),0),IF(INDEX(Personnel!$K$5:$K$19,MATCH($A25,Personnel!$A$5:$A$19,0))="",EOMONTH(EDATE(Dashboard!$C$5,7),0),INDEX(Personnel!$K$5:$K$19,MATCH($A25,Personnel!$A$5:$A$19,0))))-MAX(DATE(YEAR(EDATE(Dashboard!$C$5,7)),MONTH(EDATE(Dashboard!$C$5,7)),1),INDEX(Personnel!$J$5:$J$19,MATCH($A25,Personnel!$A$5:$A$19,0)))+1)/DAY(EOMONTH(EDATE(Dashboard!$C$5,7),0))))),"")</f>
        <v/>
      </c>
      <c r="AK25" s="195" t="n"/>
      <c r="AL25" s="195" t="n"/>
      <c r="AM25" s="196">
        <f>IF(A25="","",AK25*$D25+IF(OR($F25="Exempt",$E25="Sub"),0,AL25*$D25*1.5))</f>
        <v/>
      </c>
      <c r="AN25" s="194">
        <f>IFERROR(IF(A25="","",MAX(0,(INDEX(Personnel!$G$5:$G$19,MATCH($A25,Personnel!$A$5:$A$19,0))/12)*((MIN(EOMONTH(EDATE(Dashboard!$C$5,8),0),IF(INDEX(Personnel!$K$5:$K$19,MATCH($A25,Personnel!$A$5:$A$19,0))="",EOMONTH(EDATE(Dashboard!$C$5,8),0),INDEX(Personnel!$K$5:$K$19,MATCH($A25,Personnel!$A$5:$A$19,0))))-MAX(DATE(YEAR(EDATE(Dashboard!$C$5,8)),MONTH(EDATE(Dashboard!$C$5,8)),1),INDEX(Personnel!$J$5:$J$19,MATCH($A25,Personnel!$A$5:$A$19,0)))+1)/DAY(EOMONTH(EDATE(Dashboard!$C$5,8),0))))),"")</f>
        <v/>
      </c>
      <c r="AO25" s="195" t="n"/>
      <c r="AP25" s="195" t="n"/>
      <c r="AQ25" s="196">
        <f>IF(A25="","",AO25*$D25+IF(OR($F25="Exempt",$E25="Sub"),0,AP25*$D25*1.5))</f>
        <v/>
      </c>
      <c r="AR25" s="197">
        <f>IFERROR(IF(A25="","",MAX(0,(INDEX(Personnel!$G$5:$G$19,MATCH($A25,Personnel!$A$5:$A$19,0))/12)*((MIN(EOMONTH(EDATE(Dashboard!$C$5,9),0),IF(INDEX(Personnel!$K$5:$K$19,MATCH($A25,Personnel!$A$5:$A$19,0))="",EOMONTH(EDATE(Dashboard!$C$5,9),0),INDEX(Personnel!$K$5:$K$19,MATCH($A25,Personnel!$A$5:$A$19,0))))-MAX(DATE(YEAR(EDATE(Dashboard!$C$5,9)),MONTH(EDATE(Dashboard!$C$5,9)),1),INDEX(Personnel!$J$5:$J$19,MATCH($A25,Personnel!$A$5:$A$19,0)))+1)/DAY(EOMONTH(EDATE(Dashboard!$C$5,9),0))))),"")</f>
        <v/>
      </c>
      <c r="AS25" s="198" t="n"/>
      <c r="AT25" s="198" t="n"/>
      <c r="AU25" s="199">
        <f>IF(A25="","",AS25*$D25+IF(OR($F25="Exempt",$E25="Sub"),0,AT25*$D25*1.5))</f>
        <v/>
      </c>
      <c r="AV25" s="197">
        <f>IFERROR(IF(A25="","",MAX(0,(INDEX(Personnel!$G$5:$G$19,MATCH($A25,Personnel!$A$5:$A$19,0))/12)*((MIN(EOMONTH(EDATE(Dashboard!$C$5,10),0),IF(INDEX(Personnel!$K$5:$K$19,MATCH($A25,Personnel!$A$5:$A$19,0))="",EOMONTH(EDATE(Dashboard!$C$5,10),0),INDEX(Personnel!$K$5:$K$19,MATCH($A25,Personnel!$A$5:$A$19,0))))-MAX(DATE(YEAR(EDATE(Dashboard!$C$5,10)),MONTH(EDATE(Dashboard!$C$5,10)),1),INDEX(Personnel!$J$5:$J$19,MATCH($A25,Personnel!$A$5:$A$19,0)))+1)/DAY(EOMONTH(EDATE(Dashboard!$C$5,10),0))))),"")</f>
        <v/>
      </c>
      <c r="AW25" s="198" t="n"/>
      <c r="AX25" s="198" t="n"/>
      <c r="AY25" s="199">
        <f>IF(A25="","",AW25*$D25+IF(OR($F25="Exempt",$E25="Sub"),0,AX25*$D25*1.5))</f>
        <v/>
      </c>
      <c r="AZ25" s="197">
        <f>IFERROR(IF(A25="","",MAX(0,(INDEX(Personnel!$G$5:$G$19,MATCH($A25,Personnel!$A$5:$A$19,0))/12)*((MIN(EOMONTH(EDATE(Dashboard!$C$5,11),0),IF(INDEX(Personnel!$K$5:$K$19,MATCH($A25,Personnel!$A$5:$A$19,0))="",EOMONTH(EDATE(Dashboard!$C$5,11),0),INDEX(Personnel!$K$5:$K$19,MATCH($A25,Personnel!$A$5:$A$19,0))))-MAX(DATE(YEAR(EDATE(Dashboard!$C$5,11)),MONTH(EDATE(Dashboard!$C$5,11)),1),INDEX(Personnel!$J$5:$J$19,MATCH($A25,Personnel!$A$5:$A$19,0)))+1)/DAY(EOMONTH(EDATE(Dashboard!$C$5,11),0))))),"")</f>
        <v/>
      </c>
      <c r="BA25" s="198" t="n"/>
      <c r="BB25" s="198" t="n"/>
      <c r="BC25" s="199">
        <f>IF(A25="","",BA25*$D25+IF(OR($F25="Exempt",$E25="Sub"),0,BB25*$D25*1.5))</f>
        <v/>
      </c>
      <c r="BD25" s="186">
        <f>IF(A25="","",SUM(H25,L25,P25,T25,X25,AB25,AF25,AJ25,AN25,AR25,AV25,AZ25))</f>
        <v/>
      </c>
      <c r="BE25" s="186">
        <f>IF(A25="","",SUM(I25,J25,M25,N25,Q25,R25,U25,V25,Y25,Z25,AC25,AD25,AG25,AH25,AK25,AL25,AO25,AP25,AS25,AT25,AW25,AX25,BA25,BB25))</f>
        <v/>
      </c>
      <c r="BF25" s="200">
        <f>IF(A25="","",BD25*$D25)</f>
        <v/>
      </c>
      <c r="BG25" s="200">
        <f>IF(A25="","",SUM(K25,O25,S25,W25,AA25,AE25,AI25,AM25,AQ25,AU25,AY25,BC25))</f>
        <v/>
      </c>
    </row>
    <row r="27">
      <c r="A27" s="123" t="inlineStr">
        <is>
          <t>Monthly Rollup (auto) — Prime gets Fringe/OH, Sub passes through at cost</t>
        </is>
      </c>
    </row>
    <row r="28" ht="31.5" customHeight="1" s="109">
      <c r="A28" s="137" t="inlineStr">
        <is>
          <t>Month #</t>
        </is>
      </c>
      <c r="B28" s="137" t="inlineStr">
        <is>
          <t>Month</t>
        </is>
      </c>
      <c r="C28" s="137" t="inlineStr">
        <is>
          <t>Prime
Unburdened $</t>
        </is>
      </c>
      <c r="D28" s="137" t="inlineStr">
        <is>
          <t>Prime
Fringe $</t>
        </is>
      </c>
      <c r="E28" s="137" t="inlineStr">
        <is>
          <t>Prime
OH $</t>
        </is>
      </c>
      <c r="F28" s="137" t="inlineStr">
        <is>
          <t>Prime Fully
Burdened $</t>
        </is>
      </c>
      <c r="G28" s="137" t="inlineStr">
        <is>
          <t>Sub $
(no burden)</t>
        </is>
      </c>
      <c r="H28" s="137" t="inlineStr">
        <is>
          <t>Total
Labor $</t>
        </is>
      </c>
      <c r="I28" s="137" t="inlineStr">
        <is>
          <t>G&amp;A $ on Labor
(informational)</t>
        </is>
      </c>
      <c r="J28" s="137" t="inlineStr">
        <is>
          <t>Total Labor $
+ G&amp;A (info)</t>
        </is>
      </c>
    </row>
    <row r="29">
      <c r="A29" s="138" t="n">
        <v>1</v>
      </c>
      <c r="B29" s="201">
        <f>EDATE(Dashboard!$C$5,A29-1)</f>
        <v/>
      </c>
      <c r="C29" s="132">
        <f>SUMIFS(K$6:K$25,$E$6:$E$25,"Prime")</f>
        <v/>
      </c>
      <c r="D29" s="132">
        <f>C29*Rates!$B$6</f>
        <v/>
      </c>
      <c r="E29" s="132">
        <f>(C29+D29)*Rates!$B$7</f>
        <v/>
      </c>
      <c r="F29" s="132">
        <f>C29+D29+E29</f>
        <v/>
      </c>
      <c r="G29" s="132">
        <f>SUMIFS(K$6:K$25,$E$6:$E$25,"Sub")</f>
        <v/>
      </c>
      <c r="H29" s="132">
        <f>F29+G29</f>
        <v/>
      </c>
      <c r="I29" s="132">
        <f>H29*Rates!$B$8</f>
        <v/>
      </c>
      <c r="J29" s="132">
        <f>H29+I29</f>
        <v/>
      </c>
    </row>
    <row r="30">
      <c r="A30" s="138" t="n">
        <v>2</v>
      </c>
      <c r="B30" s="201">
        <f>EDATE(Dashboard!$C$5,A30-1)</f>
        <v/>
      </c>
      <c r="C30" s="132">
        <f>SUMIFS(O$6:O$25,$E$6:$E$25,"Prime")</f>
        <v/>
      </c>
      <c r="D30" s="132">
        <f>C30*Rates!$B$6</f>
        <v/>
      </c>
      <c r="E30" s="132">
        <f>(C30+D30)*Rates!$B$7</f>
        <v/>
      </c>
      <c r="F30" s="132">
        <f>C30+D30+E30</f>
        <v/>
      </c>
      <c r="G30" s="132">
        <f>SUMIFS(O$6:O$25,$E$6:$E$25,"Sub")</f>
        <v/>
      </c>
      <c r="H30" s="132">
        <f>F30+G30</f>
        <v/>
      </c>
      <c r="I30" s="132">
        <f>H30*Rates!$B$8</f>
        <v/>
      </c>
      <c r="J30" s="132">
        <f>H30+I30</f>
        <v/>
      </c>
    </row>
    <row r="31">
      <c r="A31" s="138" t="n">
        <v>3</v>
      </c>
      <c r="B31" s="201">
        <f>EDATE(Dashboard!$C$5,A31-1)</f>
        <v/>
      </c>
      <c r="C31" s="132">
        <f>SUMIFS(S$6:S$25,$E$6:$E$25,"Prime")</f>
        <v/>
      </c>
      <c r="D31" s="132">
        <f>C31*Rates!$B$6</f>
        <v/>
      </c>
      <c r="E31" s="132">
        <f>(C31+D31)*Rates!$B$7</f>
        <v/>
      </c>
      <c r="F31" s="132">
        <f>C31+D31+E31</f>
        <v/>
      </c>
      <c r="G31" s="132">
        <f>SUMIFS(S$6:S$25,$E$6:$E$25,"Sub")</f>
        <v/>
      </c>
      <c r="H31" s="132">
        <f>F31+G31</f>
        <v/>
      </c>
      <c r="I31" s="132">
        <f>H31*Rates!$B$8</f>
        <v/>
      </c>
      <c r="J31" s="132">
        <f>H31+I31</f>
        <v/>
      </c>
    </row>
    <row r="32">
      <c r="A32" s="138" t="n">
        <v>4</v>
      </c>
      <c r="B32" s="201">
        <f>EDATE(Dashboard!$C$5,A32-1)</f>
        <v/>
      </c>
      <c r="C32" s="132">
        <f>SUMIFS(W$6:W$25,$E$6:$E$25,"Prime")</f>
        <v/>
      </c>
      <c r="D32" s="132">
        <f>C32*Rates!$B$6</f>
        <v/>
      </c>
      <c r="E32" s="132">
        <f>(C32+D32)*Rates!$B$7</f>
        <v/>
      </c>
      <c r="F32" s="132">
        <f>C32+D32+E32</f>
        <v/>
      </c>
      <c r="G32" s="132">
        <f>SUMIFS(W$6:W$25,$E$6:$E$25,"Sub")</f>
        <v/>
      </c>
      <c r="H32" s="132">
        <f>F32+G32</f>
        <v/>
      </c>
      <c r="I32" s="132">
        <f>H32*Rates!$B$8</f>
        <v/>
      </c>
      <c r="J32" s="132">
        <f>H32+I32</f>
        <v/>
      </c>
    </row>
    <row r="33">
      <c r="A33" s="138" t="n">
        <v>5</v>
      </c>
      <c r="B33" s="201">
        <f>EDATE(Dashboard!$C$5,A33-1)</f>
        <v/>
      </c>
      <c r="C33" s="132">
        <f>SUMIFS(AA$6:AA$25,$E$6:$E$25,"Prime")</f>
        <v/>
      </c>
      <c r="D33" s="132">
        <f>C33*Rates!$B$6</f>
        <v/>
      </c>
      <c r="E33" s="132">
        <f>(C33+D33)*Rates!$B$7</f>
        <v/>
      </c>
      <c r="F33" s="132">
        <f>C33+D33+E33</f>
        <v/>
      </c>
      <c r="G33" s="132">
        <f>SUMIFS(AA$6:AA$25,$E$6:$E$25,"Sub")</f>
        <v/>
      </c>
      <c r="H33" s="132">
        <f>F33+G33</f>
        <v/>
      </c>
      <c r="I33" s="132">
        <f>H33*Rates!$B$8</f>
        <v/>
      </c>
      <c r="J33" s="132">
        <f>H33+I33</f>
        <v/>
      </c>
    </row>
    <row r="34">
      <c r="A34" s="138" t="n">
        <v>6</v>
      </c>
      <c r="B34" s="201">
        <f>EDATE(Dashboard!$C$5,A34-1)</f>
        <v/>
      </c>
      <c r="C34" s="132">
        <f>SUMIFS(AE$6:AE$25,$E$6:$E$25,"Prime")</f>
        <v/>
      </c>
      <c r="D34" s="132">
        <f>C34*Rates!$B$6</f>
        <v/>
      </c>
      <c r="E34" s="132">
        <f>(C34+D34)*Rates!$B$7</f>
        <v/>
      </c>
      <c r="F34" s="132">
        <f>C34+D34+E34</f>
        <v/>
      </c>
      <c r="G34" s="132">
        <f>SUMIFS(AE$6:AE$25,$E$6:$E$25,"Sub")</f>
        <v/>
      </c>
      <c r="H34" s="132">
        <f>F34+G34</f>
        <v/>
      </c>
      <c r="I34" s="132">
        <f>H34*Rates!$B$8</f>
        <v/>
      </c>
      <c r="J34" s="132">
        <f>H34+I34</f>
        <v/>
      </c>
    </row>
    <row r="35">
      <c r="A35" s="138" t="n">
        <v>7</v>
      </c>
      <c r="B35" s="201">
        <f>EDATE(Dashboard!$C$5,A35-1)</f>
        <v/>
      </c>
      <c r="C35" s="132">
        <f>SUMIFS(AI$6:AI$25,$E$6:$E$25,"Prime")</f>
        <v/>
      </c>
      <c r="D35" s="132">
        <f>C35*Rates!$B$6</f>
        <v/>
      </c>
      <c r="E35" s="132">
        <f>(C35+D35)*Rates!$B$7</f>
        <v/>
      </c>
      <c r="F35" s="132">
        <f>C35+D35+E35</f>
        <v/>
      </c>
      <c r="G35" s="132">
        <f>SUMIFS(AI$6:AI$25,$E$6:$E$25,"Sub")</f>
        <v/>
      </c>
      <c r="H35" s="132">
        <f>F35+G35</f>
        <v/>
      </c>
      <c r="I35" s="132">
        <f>H35*Rates!$B$8</f>
        <v/>
      </c>
      <c r="J35" s="132">
        <f>H35+I35</f>
        <v/>
      </c>
    </row>
    <row r="36">
      <c r="A36" s="138" t="n">
        <v>8</v>
      </c>
      <c r="B36" s="201">
        <f>EDATE(Dashboard!$C$5,A36-1)</f>
        <v/>
      </c>
      <c r="C36" s="132">
        <f>SUMIFS(AM$6:AM$25,$E$6:$E$25,"Prime")</f>
        <v/>
      </c>
      <c r="D36" s="132">
        <f>C36*Rates!$B$6</f>
        <v/>
      </c>
      <c r="E36" s="132">
        <f>(C36+D36)*Rates!$B$7</f>
        <v/>
      </c>
      <c r="F36" s="132">
        <f>C36+D36+E36</f>
        <v/>
      </c>
      <c r="G36" s="132">
        <f>SUMIFS(AM$6:AM$25,$E$6:$E$25,"Sub")</f>
        <v/>
      </c>
      <c r="H36" s="132">
        <f>F36+G36</f>
        <v/>
      </c>
      <c r="I36" s="132">
        <f>H36*Rates!$B$8</f>
        <v/>
      </c>
      <c r="J36" s="132">
        <f>H36+I36</f>
        <v/>
      </c>
    </row>
    <row r="37">
      <c r="A37" s="138" t="n">
        <v>9</v>
      </c>
      <c r="B37" s="201">
        <f>EDATE(Dashboard!$C$5,A37-1)</f>
        <v/>
      </c>
      <c r="C37" s="132">
        <f>SUMIFS(AQ$6:AQ$25,$E$6:$E$25,"Prime")</f>
        <v/>
      </c>
      <c r="D37" s="132">
        <f>C37*Rates!$B$6</f>
        <v/>
      </c>
      <c r="E37" s="132">
        <f>(C37+D37)*Rates!$B$7</f>
        <v/>
      </c>
      <c r="F37" s="132">
        <f>C37+D37+E37</f>
        <v/>
      </c>
      <c r="G37" s="132">
        <f>SUMIFS(AQ$6:AQ$25,$E$6:$E$25,"Sub")</f>
        <v/>
      </c>
      <c r="H37" s="132">
        <f>F37+G37</f>
        <v/>
      </c>
      <c r="I37" s="132">
        <f>H37*Rates!$B$8</f>
        <v/>
      </c>
      <c r="J37" s="132">
        <f>H37+I37</f>
        <v/>
      </c>
    </row>
    <row r="38">
      <c r="A38" s="138" t="n">
        <v>10</v>
      </c>
      <c r="B38" s="201">
        <f>EDATE(Dashboard!$C$5,A38-1)</f>
        <v/>
      </c>
      <c r="C38" s="132">
        <f>SUMIFS(AU$6:AU$25,$E$6:$E$25,"Prime")</f>
        <v/>
      </c>
      <c r="D38" s="132">
        <f>C38*Rates!$B$6</f>
        <v/>
      </c>
      <c r="E38" s="132">
        <f>(C38+D38)*Rates!$B$7</f>
        <v/>
      </c>
      <c r="F38" s="132">
        <f>C38+D38+E38</f>
        <v/>
      </c>
      <c r="G38" s="132">
        <f>SUMIFS(AU$6:AU$25,$E$6:$E$25,"Sub")</f>
        <v/>
      </c>
      <c r="H38" s="132">
        <f>F38+G38</f>
        <v/>
      </c>
      <c r="I38" s="132">
        <f>H38*Rates!$B$8</f>
        <v/>
      </c>
      <c r="J38" s="132">
        <f>H38+I38</f>
        <v/>
      </c>
    </row>
    <row r="39">
      <c r="A39" s="138" t="n">
        <v>11</v>
      </c>
      <c r="B39" s="201">
        <f>EDATE(Dashboard!$C$5,A39-1)</f>
        <v/>
      </c>
      <c r="C39" s="132">
        <f>SUMIFS(AY$6:AY$25,$E$6:$E$25,"Prime")</f>
        <v/>
      </c>
      <c r="D39" s="132">
        <f>C39*Rates!$B$6</f>
        <v/>
      </c>
      <c r="E39" s="132">
        <f>(C39+D39)*Rates!$B$7</f>
        <v/>
      </c>
      <c r="F39" s="132">
        <f>C39+D39+E39</f>
        <v/>
      </c>
      <c r="G39" s="132">
        <f>SUMIFS(AY$6:AY$25,$E$6:$E$25,"Sub")</f>
        <v/>
      </c>
      <c r="H39" s="132">
        <f>F39+G39</f>
        <v/>
      </c>
      <c r="I39" s="132">
        <f>H39*Rates!$B$8</f>
        <v/>
      </c>
      <c r="J39" s="132">
        <f>H39+I39</f>
        <v/>
      </c>
    </row>
    <row r="40">
      <c r="A40" s="138" t="n">
        <v>12</v>
      </c>
      <c r="B40" s="201">
        <f>EDATE(Dashboard!$C$5,A40-1)</f>
        <v/>
      </c>
      <c r="C40" s="132">
        <f>SUMIFS(BC$6:BC$25,$E$6:$E$25,"Prime")</f>
        <v/>
      </c>
      <c r="D40" s="132">
        <f>C40*Rates!$B$6</f>
        <v/>
      </c>
      <c r="E40" s="132">
        <f>(C40+D40)*Rates!$B$7</f>
        <v/>
      </c>
      <c r="F40" s="132">
        <f>C40+D40+E40</f>
        <v/>
      </c>
      <c r="G40" s="132">
        <f>SUMIFS(BC$6:BC$25,$E$6:$E$25,"Sub")</f>
        <v/>
      </c>
      <c r="H40" s="132">
        <f>F40+G40</f>
        <v/>
      </c>
      <c r="I40" s="132">
        <f>H40*Rates!$B$8</f>
        <v/>
      </c>
      <c r="J40" s="132">
        <f>H40+I40</f>
        <v/>
      </c>
    </row>
    <row r="42">
      <c r="A42" s="117" t="inlineStr">
        <is>
          <t>Dashboard pulls Total Labor $ (col H) — G&amp;A is applied once, at Dashboard's Subtotal level, not twice.</t>
        </is>
      </c>
    </row>
    <row r="44">
      <c r="A44" s="117" t="inlineStr">
        <is>
          <t>Acqlerate  ·  DoD Acquisition Training  ·  acqlerate.com</t>
        </is>
      </c>
    </row>
  </sheetData>
  <autoFilter ref="A4:G25"/>
  <mergeCells count="23">
    <mergeCell ref="C4:C5"/>
    <mergeCell ref="E4:E5"/>
    <mergeCell ref="X4:AA4"/>
    <mergeCell ref="AJ4:AM4"/>
    <mergeCell ref="BE4:BE5"/>
    <mergeCell ref="BG4:BG5"/>
    <mergeCell ref="AV4:AY4"/>
    <mergeCell ref="D4:D5"/>
    <mergeCell ref="BF4:BF5"/>
    <mergeCell ref="P4:S4"/>
    <mergeCell ref="H4:K4"/>
    <mergeCell ref="BD4:BD5"/>
    <mergeCell ref="A4:A5"/>
    <mergeCell ref="G4:G5"/>
    <mergeCell ref="T4:W4"/>
    <mergeCell ref="AB4:AE4"/>
    <mergeCell ref="AN4:AQ4"/>
    <mergeCell ref="AF4:AI4"/>
    <mergeCell ref="B4:B5"/>
    <mergeCell ref="AR4:AU4"/>
    <mergeCell ref="AZ4:BC4"/>
    <mergeCell ref="F4:F5"/>
    <mergeCell ref="L4:O4"/>
  </mergeCells>
  <conditionalFormatting sqref="J6:J25">
    <cfRule type="expression" priority="1" dxfId="7">
      <formula>OR($F6="Exempt",$E6="Sub")</formula>
    </cfRule>
  </conditionalFormatting>
  <conditionalFormatting sqref="N6:N25">
    <cfRule type="expression" priority="2" dxfId="7">
      <formula>OR($F6="Exempt",$E6="Sub")</formula>
    </cfRule>
  </conditionalFormatting>
  <conditionalFormatting sqref="R6:R25">
    <cfRule type="expression" priority="3" dxfId="7">
      <formula>OR($F6="Exempt",$E6="Sub")</formula>
    </cfRule>
  </conditionalFormatting>
  <conditionalFormatting sqref="V6:V25">
    <cfRule type="expression" priority="4" dxfId="7">
      <formula>OR($F6="Exempt",$E6="Sub")</formula>
    </cfRule>
  </conditionalFormatting>
  <conditionalFormatting sqref="Z6:Z25">
    <cfRule type="expression" priority="5" dxfId="7">
      <formula>OR($F6="Exempt",$E6="Sub")</formula>
    </cfRule>
  </conditionalFormatting>
  <conditionalFormatting sqref="AD6:AD25">
    <cfRule type="expression" priority="6" dxfId="7">
      <formula>OR($F6="Exempt",$E6="Sub")</formula>
    </cfRule>
  </conditionalFormatting>
  <conditionalFormatting sqref="AH6:AH25">
    <cfRule type="expression" priority="7" dxfId="7">
      <formula>OR($F6="Exempt",$E6="Sub")</formula>
    </cfRule>
  </conditionalFormatting>
  <conditionalFormatting sqref="AL6:AL25">
    <cfRule type="expression" priority="8" dxfId="7">
      <formula>OR($F6="Exempt",$E6="Sub")</formula>
    </cfRule>
  </conditionalFormatting>
  <conditionalFormatting sqref="AP6:AP25">
    <cfRule type="expression" priority="9" dxfId="7">
      <formula>OR($F6="Exempt",$E6="Sub")</formula>
    </cfRule>
  </conditionalFormatting>
  <conditionalFormatting sqref="AT6:AT25">
    <cfRule type="expression" priority="10" dxfId="7">
      <formula>OR($F6="Exempt",$E6="Sub")</formula>
    </cfRule>
  </conditionalFormatting>
  <conditionalFormatting sqref="AX6:AX25">
    <cfRule type="expression" priority="11" dxfId="7">
      <formula>OR($F6="Exempt",$E6="Sub")</formula>
    </cfRule>
  </conditionalFormatting>
  <conditionalFormatting sqref="BB6:BB25">
    <cfRule type="expression" priority="12" dxfId="7">
      <formula>OR($F6="Exempt",$E6="Sub")</formula>
    </cfRule>
  </conditionalFormatting>
  <conditionalFormatting sqref="E6:E25">
    <cfRule type="expression" priority="13" dxfId="8">
      <formula>$E6="Sub"</formula>
    </cfRule>
    <cfRule type="expression" priority="14" dxfId="9">
      <formula>$E6="Prime"</formula>
    </cfRule>
  </conditionalFormatting>
  <conditionalFormatting sqref="A6:G25">
    <cfRule type="expression" priority="15" dxfId="10">
      <formula>$E6="Sub"</formula>
    </cfRule>
  </conditionalFormatting>
  <conditionalFormatting sqref="F6:F25">
    <cfRule type="expression" priority="16" dxfId="9">
      <formula>$F6="Exempt"</formula>
    </cfRule>
    <cfRule type="expression" priority="17" dxfId="8">
      <formula>$F6="Non-Exempt"</formula>
    </cfRule>
  </conditionalFormatting>
  <dataValidations count="2">
    <dataValidation sqref="E6:E25" showDropDown="0" showInputMessage="0" showErrorMessage="0" allowBlank="1" type="list">
      <formula1>"Prime,Sub"</formula1>
    </dataValidation>
    <dataValidation sqref="G6:G25" showDropDown="0" showInputMessage="0" showErrorMessage="0" allowBlank="1" type="list">
      <formula1>=Projects!$A$6:$A$13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FF0F6E56"/>
    <outlinePr summaryBelow="1" summaryRight="1"/>
    <pageSetUpPr/>
  </sheetPr>
  <dimension ref="A1:G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09" min="1" max="1"/>
    <col width="20" customWidth="1" style="109" min="2" max="2"/>
    <col width="34" customWidth="1" style="109" min="3" max="3"/>
    <col width="13" customWidth="1" style="109" min="4" max="4"/>
    <col width="10" customWidth="1" style="109" min="5" max="5"/>
    <col width="14" customWidth="1" style="109" min="6" max="6"/>
  </cols>
  <sheetData>
    <row r="1" ht="21.75" customHeight="1" s="109">
      <c r="B1" s="121" t="inlineStr">
        <is>
          <t>ODCs</t>
        </is>
      </c>
      <c r="G1" s="122" t="inlineStr">
        <is>
          <t>Acqlerate  ·  acqlerate.com</t>
        </is>
      </c>
    </row>
    <row r="3" ht="15" customHeight="1" s="109">
      <c r="A3" s="123" t="inlineStr">
        <is>
          <t>Itemized Log</t>
        </is>
      </c>
    </row>
    <row r="4" ht="25.5" customHeight="1" s="109">
      <c r="A4" s="126" t="inlineStr">
        <is>
          <t>Date</t>
        </is>
      </c>
      <c r="B4" s="126" t="inlineStr">
        <is>
          <t>Category</t>
        </is>
      </c>
      <c r="C4" s="126" t="inlineStr">
        <is>
          <t>Description</t>
        </is>
      </c>
      <c r="D4" s="126" t="inlineStr">
        <is>
          <t>Project /
PMO</t>
        </is>
      </c>
      <c r="E4" s="126" t="inlineStr">
        <is>
          <t>Month #</t>
        </is>
      </c>
      <c r="F4" s="126" t="inlineStr">
        <is>
          <t>Amount $</t>
        </is>
      </c>
    </row>
    <row r="5">
      <c r="A5" s="202" t="n">
        <v>46036</v>
      </c>
      <c r="B5" s="128" t="inlineStr">
        <is>
          <t>Software</t>
        </is>
      </c>
      <c r="C5" s="128" t="inlineStr">
        <is>
          <t>Annual license renewal — 3 seats</t>
        </is>
      </c>
      <c r="D5" s="128" t="inlineStr">
        <is>
          <t>PMO</t>
        </is>
      </c>
      <c r="E5" s="128" t="n">
        <v>1</v>
      </c>
      <c r="F5" s="131" t="n">
        <v>4200</v>
      </c>
    </row>
    <row r="6">
      <c r="A6" s="202" t="n">
        <v>46056</v>
      </c>
      <c r="B6" s="128" t="inlineStr">
        <is>
          <t>Shipping</t>
        </is>
      </c>
      <c r="C6" s="128" t="inlineStr">
        <is>
          <t>Deliverable courier — CDRL package</t>
        </is>
      </c>
      <c r="D6" s="128" t="inlineStr">
        <is>
          <t>P1</t>
        </is>
      </c>
      <c r="E6" s="128" t="n">
        <v>2</v>
      </c>
      <c r="F6" s="131" t="n">
        <v>310</v>
      </c>
    </row>
    <row r="7">
      <c r="A7" s="202" t="n">
        <v>46132</v>
      </c>
      <c r="B7" s="128" t="inlineStr">
        <is>
          <t>Supplies</t>
        </is>
      </c>
      <c r="C7" s="128" t="inlineStr">
        <is>
          <t>Consumables — lab</t>
        </is>
      </c>
      <c r="D7" s="128" t="inlineStr">
        <is>
          <t>P1</t>
        </is>
      </c>
      <c r="E7" s="128" t="n">
        <v>4</v>
      </c>
      <c r="F7" s="131" t="n">
        <v>860</v>
      </c>
    </row>
    <row r="8">
      <c r="A8" s="202" t="n">
        <v>46307</v>
      </c>
      <c r="B8" s="128" t="inlineStr">
        <is>
          <t>Software</t>
        </is>
      </c>
      <c r="C8" s="128" t="inlineStr">
        <is>
          <t>Seat expansion</t>
        </is>
      </c>
      <c r="D8" s="128" t="inlineStr">
        <is>
          <t>P1</t>
        </is>
      </c>
      <c r="E8" s="128" t="n">
        <v>10</v>
      </c>
      <c r="F8" s="131" t="n">
        <v>1400</v>
      </c>
    </row>
    <row r="9">
      <c r="A9" s="202" t="n">
        <v>46334</v>
      </c>
      <c r="B9" s="128" t="inlineStr">
        <is>
          <t>Supplies</t>
        </is>
      </c>
      <c r="C9" s="128" t="inlineStr">
        <is>
          <t>Lab consumables restock</t>
        </is>
      </c>
      <c r="D9" s="128" t="inlineStr">
        <is>
          <t>P1</t>
        </is>
      </c>
      <c r="E9" s="128" t="n">
        <v>11</v>
      </c>
      <c r="F9" s="131" t="n">
        <v>1550</v>
      </c>
    </row>
    <row r="10">
      <c r="A10" s="202" t="n">
        <v>46361</v>
      </c>
      <c r="B10" s="128" t="inlineStr">
        <is>
          <t>Shipping</t>
        </is>
      </c>
      <c r="C10" s="128" t="inlineStr">
        <is>
          <t>Year-end deliverable courier</t>
        </is>
      </c>
      <c r="D10" s="128" t="inlineStr">
        <is>
          <t>P2</t>
        </is>
      </c>
      <c r="E10" s="128" t="n">
        <v>12</v>
      </c>
      <c r="F10" s="131" t="n">
        <v>620</v>
      </c>
    </row>
    <row r="11">
      <c r="A11" s="202" t="n"/>
      <c r="B11" s="128" t="n"/>
      <c r="C11" s="128" t="n"/>
      <c r="D11" s="128" t="n"/>
      <c r="E11" s="128" t="n"/>
      <c r="F11" s="131" t="n"/>
    </row>
    <row r="12">
      <c r="A12" s="202" t="n"/>
      <c r="B12" s="128" t="n"/>
      <c r="C12" s="128" t="n"/>
      <c r="D12" s="128" t="n"/>
      <c r="E12" s="128" t="n"/>
      <c r="F12" s="131" t="n"/>
    </row>
    <row r="13">
      <c r="A13" s="202" t="n"/>
      <c r="B13" s="128" t="n"/>
      <c r="C13" s="128" t="n"/>
      <c r="D13" s="128" t="n"/>
      <c r="E13" s="128" t="n"/>
      <c r="F13" s="131" t="n"/>
    </row>
    <row r="14">
      <c r="A14" s="202" t="n"/>
      <c r="B14" s="128" t="n"/>
      <c r="C14" s="128" t="n"/>
      <c r="D14" s="128" t="n"/>
      <c r="E14" s="128" t="n"/>
      <c r="F14" s="131" t="n"/>
    </row>
    <row r="15">
      <c r="A15" s="202" t="n"/>
      <c r="B15" s="128" t="n"/>
      <c r="C15" s="128" t="n"/>
      <c r="D15" s="128" t="n"/>
      <c r="E15" s="128" t="n"/>
      <c r="F15" s="131" t="n"/>
    </row>
    <row r="16">
      <c r="A16" s="202" t="n"/>
      <c r="B16" s="128" t="n"/>
      <c r="C16" s="128" t="n"/>
      <c r="D16" s="128" t="n"/>
      <c r="E16" s="128" t="n"/>
      <c r="F16" s="131" t="n"/>
    </row>
    <row r="17">
      <c r="A17" s="202" t="n"/>
      <c r="B17" s="128" t="n"/>
      <c r="C17" s="128" t="n"/>
      <c r="D17" s="128" t="n"/>
      <c r="E17" s="128" t="n"/>
      <c r="F17" s="131" t="n"/>
    </row>
    <row r="18">
      <c r="A18" s="202" t="n"/>
      <c r="B18" s="128" t="n"/>
      <c r="C18" s="128" t="n"/>
      <c r="D18" s="128" t="n"/>
      <c r="E18" s="128" t="n"/>
      <c r="F18" s="131" t="n"/>
    </row>
    <row r="19">
      <c r="A19" s="202" t="n"/>
      <c r="B19" s="128" t="n"/>
      <c r="C19" s="128" t="n"/>
      <c r="D19" s="128" t="n"/>
      <c r="E19" s="128" t="n"/>
      <c r="F19" s="131" t="n"/>
    </row>
    <row r="20">
      <c r="A20" s="202" t="n"/>
      <c r="B20" s="128" t="n"/>
      <c r="C20" s="128" t="n"/>
      <c r="D20" s="128" t="n"/>
      <c r="E20" s="128" t="n"/>
      <c r="F20" s="131" t="n"/>
    </row>
    <row r="21">
      <c r="A21" s="202" t="n"/>
      <c r="B21" s="128" t="n"/>
      <c r="C21" s="128" t="n"/>
      <c r="D21" s="128" t="n"/>
      <c r="E21" s="128" t="n"/>
      <c r="F21" s="131" t="n"/>
    </row>
    <row r="22">
      <c r="A22" s="202" t="n"/>
      <c r="B22" s="128" t="n"/>
      <c r="C22" s="128" t="n"/>
      <c r="D22" s="128" t="n"/>
      <c r="E22" s="128" t="n"/>
      <c r="F22" s="131" t="n"/>
    </row>
    <row r="23">
      <c r="B23" s="124" t="inlineStr">
        <is>
          <t>LOG TOTAL</t>
        </is>
      </c>
      <c r="F23" s="203">
        <f>SUM(F5:F22)</f>
        <v/>
      </c>
    </row>
    <row r="25">
      <c r="A25" s="117" t="inlineStr"/>
    </row>
    <row r="26">
      <c r="A26" s="137" t="inlineStr">
        <is>
          <t>Month #</t>
        </is>
      </c>
      <c r="B26" s="137" t="inlineStr">
        <is>
          <t>Month</t>
        </is>
      </c>
      <c r="C26" s="137" t="inlineStr">
        <is>
          <t>Total ODCs $</t>
        </is>
      </c>
    </row>
    <row r="27">
      <c r="A27" s="138" t="n">
        <v>1</v>
      </c>
      <c r="B27" s="201">
        <f>EDATE(Dashboard!$C$5,A27-1)</f>
        <v/>
      </c>
      <c r="C27" s="132">
        <f>SUMIFS($F$5:$F$22,$E$5:$E$22,A27)</f>
        <v/>
      </c>
    </row>
    <row r="28">
      <c r="A28" s="138" t="n">
        <v>2</v>
      </c>
      <c r="B28" s="201">
        <f>EDATE(Dashboard!$C$5,A28-1)</f>
        <v/>
      </c>
      <c r="C28" s="132">
        <f>SUMIFS($F$5:$F$22,$E$5:$E$22,A28)</f>
        <v/>
      </c>
    </row>
    <row r="29">
      <c r="A29" s="138" t="n">
        <v>3</v>
      </c>
      <c r="B29" s="201">
        <f>EDATE(Dashboard!$C$5,A29-1)</f>
        <v/>
      </c>
      <c r="C29" s="132">
        <f>SUMIFS($F$5:$F$22,$E$5:$E$22,A29)</f>
        <v/>
      </c>
    </row>
    <row r="30">
      <c r="A30" s="138" t="n">
        <v>4</v>
      </c>
      <c r="B30" s="201">
        <f>EDATE(Dashboard!$C$5,A30-1)</f>
        <v/>
      </c>
      <c r="C30" s="132">
        <f>SUMIFS($F$5:$F$22,$E$5:$E$22,A30)</f>
        <v/>
      </c>
    </row>
    <row r="31">
      <c r="A31" s="138" t="n">
        <v>5</v>
      </c>
      <c r="B31" s="201">
        <f>EDATE(Dashboard!$C$5,A31-1)</f>
        <v/>
      </c>
      <c r="C31" s="132">
        <f>SUMIFS($F$5:$F$22,$E$5:$E$22,A31)</f>
        <v/>
      </c>
    </row>
    <row r="32">
      <c r="A32" s="138" t="n">
        <v>6</v>
      </c>
      <c r="B32" s="201">
        <f>EDATE(Dashboard!$C$5,A32-1)</f>
        <v/>
      </c>
      <c r="C32" s="132">
        <f>SUMIFS($F$5:$F$22,$E$5:$E$22,A32)</f>
        <v/>
      </c>
    </row>
    <row r="33">
      <c r="A33" s="138" t="n">
        <v>7</v>
      </c>
      <c r="B33" s="201">
        <f>EDATE(Dashboard!$C$5,A33-1)</f>
        <v/>
      </c>
      <c r="C33" s="132">
        <f>SUMIFS($F$5:$F$22,$E$5:$E$22,A33)</f>
        <v/>
      </c>
    </row>
    <row r="34">
      <c r="A34" s="138" t="n">
        <v>8</v>
      </c>
      <c r="B34" s="201">
        <f>EDATE(Dashboard!$C$5,A34-1)</f>
        <v/>
      </c>
      <c r="C34" s="132">
        <f>SUMIFS($F$5:$F$22,$E$5:$E$22,A34)</f>
        <v/>
      </c>
    </row>
    <row r="35">
      <c r="A35" s="138" t="n">
        <v>9</v>
      </c>
      <c r="B35" s="201">
        <f>EDATE(Dashboard!$C$5,A35-1)</f>
        <v/>
      </c>
      <c r="C35" s="132">
        <f>SUMIFS($F$5:$F$22,$E$5:$E$22,A35)</f>
        <v/>
      </c>
    </row>
    <row r="36">
      <c r="A36" s="138" t="n">
        <v>10</v>
      </c>
      <c r="B36" s="201">
        <f>EDATE(Dashboard!$C$5,A36-1)</f>
        <v/>
      </c>
      <c r="C36" s="132">
        <f>SUMIFS($F$5:$F$22,$E$5:$E$22,A36)</f>
        <v/>
      </c>
    </row>
    <row r="37">
      <c r="A37" s="138" t="n">
        <v>11</v>
      </c>
      <c r="B37" s="201">
        <f>EDATE(Dashboard!$C$5,A37-1)</f>
        <v/>
      </c>
      <c r="C37" s="132">
        <f>SUMIFS($F$5:$F$22,$E$5:$E$22,A37)</f>
        <v/>
      </c>
    </row>
    <row r="38">
      <c r="A38" s="138" t="n">
        <v>12</v>
      </c>
      <c r="B38" s="201">
        <f>EDATE(Dashboard!$C$5,A38-1)</f>
        <v/>
      </c>
      <c r="C38" s="132">
        <f>SUMIFS($F$5:$F$22,$E$5:$E$22,A38)</f>
        <v/>
      </c>
    </row>
    <row r="40">
      <c r="A40" s="117" t="inlineStr">
        <is>
          <t>Acqlerate  ·  DoD Acquisition Training  ·  acqlerate.com</t>
        </is>
      </c>
    </row>
  </sheetData>
  <autoFilter ref="A4:F22"/>
  <dataValidations count="1">
    <dataValidation sqref="D5:D22" showDropDown="0" showInputMessage="0" showErrorMessage="0" allowBlank="1" type="list">
      <formula1>=Projects!$A$6:$A$13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0F6E56"/>
    <outlinePr summaryBelow="1" summaryRight="1"/>
    <pageSetUpPr/>
  </sheetPr>
  <dimension ref="A1:G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09" min="1" max="1"/>
    <col width="20" customWidth="1" style="109" min="2" max="2"/>
    <col width="34" customWidth="1" style="109" min="3" max="3"/>
    <col width="13" customWidth="1" style="109" min="4" max="4"/>
    <col width="10" customWidth="1" style="109" min="5" max="5"/>
    <col width="14" customWidth="1" style="109" min="6" max="6"/>
  </cols>
  <sheetData>
    <row r="1" ht="21.75" customHeight="1" s="109">
      <c r="B1" s="121" t="inlineStr">
        <is>
          <t>Travel</t>
        </is>
      </c>
      <c r="G1" s="122" t="inlineStr">
        <is>
          <t>Acqlerate  ·  acqlerate.com</t>
        </is>
      </c>
    </row>
    <row r="3" ht="15" customHeight="1" s="109">
      <c r="A3" s="123" t="inlineStr">
        <is>
          <t>Itemized Log</t>
        </is>
      </c>
    </row>
    <row r="4" ht="25.5" customHeight="1" s="109">
      <c r="A4" s="126" t="inlineStr">
        <is>
          <t>Date</t>
        </is>
      </c>
      <c r="B4" s="126" t="inlineStr">
        <is>
          <t>Category</t>
        </is>
      </c>
      <c r="C4" s="126" t="inlineStr">
        <is>
          <t>Description</t>
        </is>
      </c>
      <c r="D4" s="126" t="inlineStr">
        <is>
          <t>Project /
PMO</t>
        </is>
      </c>
      <c r="E4" s="126" t="inlineStr">
        <is>
          <t>Month #</t>
        </is>
      </c>
      <c r="F4" s="126" t="inlineStr">
        <is>
          <t>Amount $</t>
        </is>
      </c>
    </row>
    <row r="5">
      <c r="A5" s="202" t="n">
        <v>46042</v>
      </c>
      <c r="B5" s="128" t="inlineStr">
        <is>
          <t>Airfare</t>
        </is>
      </c>
      <c r="C5" s="128" t="inlineStr">
        <is>
          <t>PM — kickoff meeting, NAS Norfolk</t>
        </is>
      </c>
      <c r="D5" s="128" t="inlineStr">
        <is>
          <t>PMO</t>
        </is>
      </c>
      <c r="E5" s="128" t="n">
        <v>1</v>
      </c>
      <c r="F5" s="131" t="n">
        <v>480</v>
      </c>
    </row>
    <row r="6">
      <c r="A6" s="202" t="n">
        <v>46042</v>
      </c>
      <c r="B6" s="128" t="inlineStr">
        <is>
          <t>Lodging</t>
        </is>
      </c>
      <c r="C6" s="128" t="inlineStr">
        <is>
          <t>PM — kickoff meeting, 3 nights</t>
        </is>
      </c>
      <c r="D6" s="128" t="inlineStr">
        <is>
          <t>PMO</t>
        </is>
      </c>
      <c r="E6" s="128" t="n">
        <v>1</v>
      </c>
      <c r="F6" s="131" t="n">
        <v>610</v>
      </c>
    </row>
    <row r="7">
      <c r="A7" s="202" t="n">
        <v>46091</v>
      </c>
      <c r="B7" s="128" t="inlineStr">
        <is>
          <t>Airfare + Per Diem</t>
        </is>
      </c>
      <c r="C7" s="128" t="inlineStr">
        <is>
          <t>Lead Engineer — site visit</t>
        </is>
      </c>
      <c r="D7" s="128" t="inlineStr">
        <is>
          <t>P2</t>
        </is>
      </c>
      <c r="E7" s="128" t="n">
        <v>3</v>
      </c>
      <c r="F7" s="131" t="n">
        <v>1150</v>
      </c>
    </row>
    <row r="8">
      <c r="A8" s="202" t="n">
        <v>46310</v>
      </c>
      <c r="B8" s="128" t="inlineStr">
        <is>
          <t>Airfare + Per Diem</t>
        </is>
      </c>
      <c r="C8" s="128" t="inlineStr">
        <is>
          <t>PM — site visit</t>
        </is>
      </c>
      <c r="D8" s="128" t="inlineStr">
        <is>
          <t>P1</t>
        </is>
      </c>
      <c r="E8" s="128" t="n">
        <v>10</v>
      </c>
      <c r="F8" s="131" t="n">
        <v>900</v>
      </c>
    </row>
    <row r="9">
      <c r="A9" s="202" t="n">
        <v>46344</v>
      </c>
      <c r="B9" s="128" t="inlineStr">
        <is>
          <t>Airfare + Lodging</t>
        </is>
      </c>
      <c r="C9" s="128" t="inlineStr">
        <is>
          <t>Engineer — depot visit</t>
        </is>
      </c>
      <c r="D9" s="128" t="inlineStr">
        <is>
          <t>P2</t>
        </is>
      </c>
      <c r="E9" s="128" t="n">
        <v>11</v>
      </c>
      <c r="F9" s="131" t="n">
        <v>1100</v>
      </c>
    </row>
    <row r="10">
      <c r="A10" s="202" t="n">
        <v>46365</v>
      </c>
      <c r="B10" s="128" t="inlineStr">
        <is>
          <t>Airfare + Per Diem</t>
        </is>
      </c>
      <c r="C10" s="128" t="inlineStr">
        <is>
          <t>PM — closeout meeting</t>
        </is>
      </c>
      <c r="D10" s="128" t="inlineStr">
        <is>
          <t>P1</t>
        </is>
      </c>
      <c r="E10" s="128" t="n">
        <v>12</v>
      </c>
      <c r="F10" s="131" t="n">
        <v>950</v>
      </c>
    </row>
    <row r="11">
      <c r="A11" s="202" t="n"/>
      <c r="B11" s="128" t="n"/>
      <c r="C11" s="128" t="n"/>
      <c r="D11" s="128" t="n"/>
      <c r="E11" s="128" t="n"/>
      <c r="F11" s="131" t="n"/>
    </row>
    <row r="12">
      <c r="A12" s="202" t="n"/>
      <c r="B12" s="128" t="n"/>
      <c r="C12" s="128" t="n"/>
      <c r="D12" s="128" t="n"/>
      <c r="E12" s="128" t="n"/>
      <c r="F12" s="131" t="n"/>
    </row>
    <row r="13">
      <c r="A13" s="202" t="n"/>
      <c r="B13" s="128" t="n"/>
      <c r="C13" s="128" t="n"/>
      <c r="D13" s="128" t="n"/>
      <c r="E13" s="128" t="n"/>
      <c r="F13" s="131" t="n"/>
    </row>
    <row r="14">
      <c r="A14" s="202" t="n"/>
      <c r="B14" s="128" t="n"/>
      <c r="C14" s="128" t="n"/>
      <c r="D14" s="128" t="n"/>
      <c r="E14" s="128" t="n"/>
      <c r="F14" s="131" t="n"/>
    </row>
    <row r="15">
      <c r="A15" s="202" t="n"/>
      <c r="B15" s="128" t="n"/>
      <c r="C15" s="128" t="n"/>
      <c r="D15" s="128" t="n"/>
      <c r="E15" s="128" t="n"/>
      <c r="F15" s="131" t="n"/>
    </row>
    <row r="16">
      <c r="A16" s="202" t="n"/>
      <c r="B16" s="128" t="n"/>
      <c r="C16" s="128" t="n"/>
      <c r="D16" s="128" t="n"/>
      <c r="E16" s="128" t="n"/>
      <c r="F16" s="131" t="n"/>
    </row>
    <row r="17">
      <c r="A17" s="202" t="n"/>
      <c r="B17" s="128" t="n"/>
      <c r="C17" s="128" t="n"/>
      <c r="D17" s="128" t="n"/>
      <c r="E17" s="128" t="n"/>
      <c r="F17" s="131" t="n"/>
    </row>
    <row r="18">
      <c r="A18" s="202" t="n"/>
      <c r="B18" s="128" t="n"/>
      <c r="C18" s="128" t="n"/>
      <c r="D18" s="128" t="n"/>
      <c r="E18" s="128" t="n"/>
      <c r="F18" s="131" t="n"/>
    </row>
    <row r="19">
      <c r="A19" s="202" t="n"/>
      <c r="B19" s="128" t="n"/>
      <c r="C19" s="128" t="n"/>
      <c r="D19" s="128" t="n"/>
      <c r="E19" s="128" t="n"/>
      <c r="F19" s="131" t="n"/>
    </row>
    <row r="20">
      <c r="A20" s="202" t="n"/>
      <c r="B20" s="128" t="n"/>
      <c r="C20" s="128" t="n"/>
      <c r="D20" s="128" t="n"/>
      <c r="E20" s="128" t="n"/>
      <c r="F20" s="131" t="n"/>
    </row>
    <row r="21">
      <c r="A21" s="202" t="n"/>
      <c r="B21" s="128" t="n"/>
      <c r="C21" s="128" t="n"/>
      <c r="D21" s="128" t="n"/>
      <c r="E21" s="128" t="n"/>
      <c r="F21" s="131" t="n"/>
    </row>
    <row r="22">
      <c r="A22" s="202" t="n"/>
      <c r="B22" s="128" t="n"/>
      <c r="C22" s="128" t="n"/>
      <c r="D22" s="128" t="n"/>
      <c r="E22" s="128" t="n"/>
      <c r="F22" s="131" t="n"/>
    </row>
    <row r="23">
      <c r="B23" s="124" t="inlineStr">
        <is>
          <t>LOG TOTAL</t>
        </is>
      </c>
      <c r="F23" s="203">
        <f>SUM(F5:F22)</f>
        <v/>
      </c>
    </row>
    <row r="25">
      <c r="A25" s="117" t="inlineStr"/>
    </row>
    <row r="26">
      <c r="A26" s="137" t="inlineStr">
        <is>
          <t>Month #</t>
        </is>
      </c>
      <c r="B26" s="137" t="inlineStr">
        <is>
          <t>Month</t>
        </is>
      </c>
      <c r="C26" s="137" t="inlineStr">
        <is>
          <t>Total Travel $</t>
        </is>
      </c>
    </row>
    <row r="27">
      <c r="A27" s="138" t="n">
        <v>1</v>
      </c>
      <c r="B27" s="201">
        <f>EDATE(Dashboard!$C$5,A27-1)</f>
        <v/>
      </c>
      <c r="C27" s="132">
        <f>SUMIFS($F$5:$F$22,$E$5:$E$22,A27)</f>
        <v/>
      </c>
    </row>
    <row r="28">
      <c r="A28" s="138" t="n">
        <v>2</v>
      </c>
      <c r="B28" s="201">
        <f>EDATE(Dashboard!$C$5,A28-1)</f>
        <v/>
      </c>
      <c r="C28" s="132">
        <f>SUMIFS($F$5:$F$22,$E$5:$E$22,A28)</f>
        <v/>
      </c>
    </row>
    <row r="29">
      <c r="A29" s="138" t="n">
        <v>3</v>
      </c>
      <c r="B29" s="201">
        <f>EDATE(Dashboard!$C$5,A29-1)</f>
        <v/>
      </c>
      <c r="C29" s="132">
        <f>SUMIFS($F$5:$F$22,$E$5:$E$22,A29)</f>
        <v/>
      </c>
    </row>
    <row r="30">
      <c r="A30" s="138" t="n">
        <v>4</v>
      </c>
      <c r="B30" s="201">
        <f>EDATE(Dashboard!$C$5,A30-1)</f>
        <v/>
      </c>
      <c r="C30" s="132">
        <f>SUMIFS($F$5:$F$22,$E$5:$E$22,A30)</f>
        <v/>
      </c>
    </row>
    <row r="31">
      <c r="A31" s="138" t="n">
        <v>5</v>
      </c>
      <c r="B31" s="201">
        <f>EDATE(Dashboard!$C$5,A31-1)</f>
        <v/>
      </c>
      <c r="C31" s="132">
        <f>SUMIFS($F$5:$F$22,$E$5:$E$22,A31)</f>
        <v/>
      </c>
    </row>
    <row r="32">
      <c r="A32" s="138" t="n">
        <v>6</v>
      </c>
      <c r="B32" s="201">
        <f>EDATE(Dashboard!$C$5,A32-1)</f>
        <v/>
      </c>
      <c r="C32" s="132">
        <f>SUMIFS($F$5:$F$22,$E$5:$E$22,A32)</f>
        <v/>
      </c>
    </row>
    <row r="33">
      <c r="A33" s="138" t="n">
        <v>7</v>
      </c>
      <c r="B33" s="201">
        <f>EDATE(Dashboard!$C$5,A33-1)</f>
        <v/>
      </c>
      <c r="C33" s="132">
        <f>SUMIFS($F$5:$F$22,$E$5:$E$22,A33)</f>
        <v/>
      </c>
    </row>
    <row r="34">
      <c r="A34" s="138" t="n">
        <v>8</v>
      </c>
      <c r="B34" s="201">
        <f>EDATE(Dashboard!$C$5,A34-1)</f>
        <v/>
      </c>
      <c r="C34" s="132">
        <f>SUMIFS($F$5:$F$22,$E$5:$E$22,A34)</f>
        <v/>
      </c>
    </row>
    <row r="35">
      <c r="A35" s="138" t="n">
        <v>9</v>
      </c>
      <c r="B35" s="201">
        <f>EDATE(Dashboard!$C$5,A35-1)</f>
        <v/>
      </c>
      <c r="C35" s="132">
        <f>SUMIFS($F$5:$F$22,$E$5:$E$22,A35)</f>
        <v/>
      </c>
    </row>
    <row r="36">
      <c r="A36" s="138" t="n">
        <v>10</v>
      </c>
      <c r="B36" s="201">
        <f>EDATE(Dashboard!$C$5,A36-1)</f>
        <v/>
      </c>
      <c r="C36" s="132">
        <f>SUMIFS($F$5:$F$22,$E$5:$E$22,A36)</f>
        <v/>
      </c>
    </row>
    <row r="37">
      <c r="A37" s="138" t="n">
        <v>11</v>
      </c>
      <c r="B37" s="201">
        <f>EDATE(Dashboard!$C$5,A37-1)</f>
        <v/>
      </c>
      <c r="C37" s="132">
        <f>SUMIFS($F$5:$F$22,$E$5:$E$22,A37)</f>
        <v/>
      </c>
    </row>
    <row r="38">
      <c r="A38" s="138" t="n">
        <v>12</v>
      </c>
      <c r="B38" s="201">
        <f>EDATE(Dashboard!$C$5,A38-1)</f>
        <v/>
      </c>
      <c r="C38" s="132">
        <f>SUMIFS($F$5:$F$22,$E$5:$E$22,A38)</f>
        <v/>
      </c>
    </row>
    <row r="40">
      <c r="A40" s="117" t="inlineStr">
        <is>
          <t>Acqlerate  ·  DoD Acquisition Training  ·  acqlerate.com</t>
        </is>
      </c>
    </row>
  </sheetData>
  <autoFilter ref="A4:F22"/>
  <dataValidations count="1">
    <dataValidation sqref="D5:D22" showDropDown="0" showInputMessage="0" showErrorMessage="0" allowBlank="1" type="list">
      <formula1>=Projects!$A$6:$A$13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0F6E56"/>
    <outlinePr summaryBelow="1" summaryRight="1"/>
    <pageSetUpPr/>
  </sheetPr>
  <dimension ref="A1:G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09" min="1" max="1"/>
    <col width="20" customWidth="1" style="109" min="2" max="2"/>
    <col width="34" customWidth="1" style="109" min="3" max="3"/>
    <col width="13" customWidth="1" style="109" min="4" max="4"/>
    <col width="10" customWidth="1" style="109" min="5" max="5"/>
    <col width="14" customWidth="1" style="109" min="6" max="6"/>
  </cols>
  <sheetData>
    <row r="1" ht="21.75" customHeight="1" s="109">
      <c r="B1" s="121" t="inlineStr">
        <is>
          <t>M&amp;E</t>
        </is>
      </c>
      <c r="G1" s="122" t="inlineStr">
        <is>
          <t>Acqlerate  ·  acqlerate.com</t>
        </is>
      </c>
    </row>
    <row r="3" ht="15" customHeight="1" s="109">
      <c r="A3" s="123" t="inlineStr">
        <is>
          <t>Itemized Log</t>
        </is>
      </c>
    </row>
    <row r="4" ht="25.5" customHeight="1" s="109">
      <c r="A4" s="126" t="inlineStr">
        <is>
          <t>Date</t>
        </is>
      </c>
      <c r="B4" s="126" t="inlineStr">
        <is>
          <t>Category</t>
        </is>
      </c>
      <c r="C4" s="126" t="inlineStr">
        <is>
          <t>Description</t>
        </is>
      </c>
      <c r="D4" s="126" t="inlineStr">
        <is>
          <t>Project /
PMO</t>
        </is>
      </c>
      <c r="E4" s="126" t="inlineStr">
        <is>
          <t>Month #</t>
        </is>
      </c>
      <c r="F4" s="126" t="inlineStr">
        <is>
          <t>Amount $</t>
        </is>
      </c>
    </row>
    <row r="5">
      <c r="A5" s="202" t="n">
        <v>46036</v>
      </c>
      <c r="B5" s="128" t="inlineStr">
        <is>
          <t>Equipment</t>
        </is>
      </c>
      <c r="C5" s="128" t="inlineStr">
        <is>
          <t>Replacement network switches (5)</t>
        </is>
      </c>
      <c r="D5" s="128" t="inlineStr">
        <is>
          <t>P1</t>
        </is>
      </c>
      <c r="E5" s="128" t="n">
        <v>1</v>
      </c>
      <c r="F5" s="131" t="n">
        <v>14200</v>
      </c>
    </row>
    <row r="6">
      <c r="A6" s="202" t="n">
        <v>46056</v>
      </c>
      <c r="B6" s="128" t="inlineStr">
        <is>
          <t>Equipment</t>
        </is>
      </c>
      <c r="C6" s="128" t="inlineStr">
        <is>
          <t>Test bench calibration</t>
        </is>
      </c>
      <c r="D6" s="128" t="inlineStr">
        <is>
          <t>P1</t>
        </is>
      </c>
      <c r="E6" s="128" t="n">
        <v>2</v>
      </c>
      <c r="F6" s="131" t="n">
        <v>3100</v>
      </c>
    </row>
    <row r="7">
      <c r="A7" s="202" t="n">
        <v>46132</v>
      </c>
      <c r="B7" s="128" t="inlineStr">
        <is>
          <t>Materials</t>
        </is>
      </c>
      <c r="C7" s="128" t="inlineStr">
        <is>
          <t>Spare parts kit</t>
        </is>
      </c>
      <c r="D7" s="128" t="inlineStr">
        <is>
          <t>P2</t>
        </is>
      </c>
      <c r="E7" s="128" t="n">
        <v>4</v>
      </c>
      <c r="F7" s="131" t="n">
        <v>8600</v>
      </c>
    </row>
    <row r="8">
      <c r="A8" s="202" t="n">
        <v>46315</v>
      </c>
      <c r="B8" s="128" t="inlineStr">
        <is>
          <t>Equipment</t>
        </is>
      </c>
      <c r="C8" s="128" t="inlineStr">
        <is>
          <t>Field test unit</t>
        </is>
      </c>
      <c r="D8" s="128" t="inlineStr">
        <is>
          <t>P1</t>
        </is>
      </c>
      <c r="E8" s="128" t="n">
        <v>10</v>
      </c>
      <c r="F8" s="131" t="n">
        <v>9200</v>
      </c>
    </row>
    <row r="9">
      <c r="A9" s="202" t="n">
        <v>46340</v>
      </c>
      <c r="B9" s="128" t="inlineStr">
        <is>
          <t>Materials</t>
        </is>
      </c>
      <c r="C9" s="128" t="inlineStr">
        <is>
          <t>Fabrication stock</t>
        </is>
      </c>
      <c r="D9" s="128" t="inlineStr">
        <is>
          <t>P1</t>
        </is>
      </c>
      <c r="E9" s="128" t="n">
        <v>11</v>
      </c>
      <c r="F9" s="131" t="n">
        <v>7400</v>
      </c>
    </row>
    <row r="10">
      <c r="A10" s="202" t="n">
        <v>46358</v>
      </c>
      <c r="B10" s="128" t="inlineStr">
        <is>
          <t>Equipment</t>
        </is>
      </c>
      <c r="C10" s="128" t="inlineStr">
        <is>
          <t>Calibration + spares</t>
        </is>
      </c>
      <c r="D10" s="128" t="inlineStr">
        <is>
          <t>P2</t>
        </is>
      </c>
      <c r="E10" s="128" t="n">
        <v>12</v>
      </c>
      <c r="F10" s="131" t="n">
        <v>6100</v>
      </c>
    </row>
    <row r="11">
      <c r="A11" s="202" t="n"/>
      <c r="B11" s="128" t="n"/>
      <c r="C11" s="128" t="n"/>
      <c r="D11" s="128" t="n"/>
      <c r="E11" s="128" t="n"/>
      <c r="F11" s="131" t="n"/>
    </row>
    <row r="12">
      <c r="A12" s="202" t="n"/>
      <c r="B12" s="128" t="n"/>
      <c r="C12" s="128" t="n"/>
      <c r="D12" s="128" t="n"/>
      <c r="E12" s="128" t="n"/>
      <c r="F12" s="131" t="n"/>
    </row>
    <row r="13">
      <c r="A13" s="202" t="n"/>
      <c r="B13" s="128" t="n"/>
      <c r="C13" s="128" t="n"/>
      <c r="D13" s="128" t="n"/>
      <c r="E13" s="128" t="n"/>
      <c r="F13" s="131" t="n"/>
    </row>
    <row r="14">
      <c r="A14" s="202" t="n"/>
      <c r="B14" s="128" t="n"/>
      <c r="C14" s="128" t="n"/>
      <c r="D14" s="128" t="n"/>
      <c r="E14" s="128" t="n"/>
      <c r="F14" s="131" t="n"/>
    </row>
    <row r="15">
      <c r="A15" s="202" t="n"/>
      <c r="B15" s="128" t="n"/>
      <c r="C15" s="128" t="n"/>
      <c r="D15" s="128" t="n"/>
      <c r="E15" s="128" t="n"/>
      <c r="F15" s="131" t="n"/>
    </row>
    <row r="16">
      <c r="A16" s="202" t="n"/>
      <c r="B16" s="128" t="n"/>
      <c r="C16" s="128" t="n"/>
      <c r="D16" s="128" t="n"/>
      <c r="E16" s="128" t="n"/>
      <c r="F16" s="131" t="n"/>
    </row>
    <row r="17">
      <c r="A17" s="202" t="n"/>
      <c r="B17" s="128" t="n"/>
      <c r="C17" s="128" t="n"/>
      <c r="D17" s="128" t="n"/>
      <c r="E17" s="128" t="n"/>
      <c r="F17" s="131" t="n"/>
    </row>
    <row r="18">
      <c r="A18" s="202" t="n"/>
      <c r="B18" s="128" t="n"/>
      <c r="C18" s="128" t="n"/>
      <c r="D18" s="128" t="n"/>
      <c r="E18" s="128" t="n"/>
      <c r="F18" s="131" t="n"/>
    </row>
    <row r="19">
      <c r="A19" s="202" t="n"/>
      <c r="B19" s="128" t="n"/>
      <c r="C19" s="128" t="n"/>
      <c r="D19" s="128" t="n"/>
      <c r="E19" s="128" t="n"/>
      <c r="F19" s="131" t="n"/>
    </row>
    <row r="20">
      <c r="A20" s="202" t="n"/>
      <c r="B20" s="128" t="n"/>
      <c r="C20" s="128" t="n"/>
      <c r="D20" s="128" t="n"/>
      <c r="E20" s="128" t="n"/>
      <c r="F20" s="131" t="n"/>
    </row>
    <row r="21">
      <c r="A21" s="202" t="n"/>
      <c r="B21" s="128" t="n"/>
      <c r="C21" s="128" t="n"/>
      <c r="D21" s="128" t="n"/>
      <c r="E21" s="128" t="n"/>
      <c r="F21" s="131" t="n"/>
    </row>
    <row r="22">
      <c r="A22" s="202" t="n"/>
      <c r="B22" s="128" t="n"/>
      <c r="C22" s="128" t="n"/>
      <c r="D22" s="128" t="n"/>
      <c r="E22" s="128" t="n"/>
      <c r="F22" s="131" t="n"/>
    </row>
    <row r="23">
      <c r="B23" s="124" t="inlineStr">
        <is>
          <t>LOG TOTAL</t>
        </is>
      </c>
      <c r="F23" s="203">
        <f>SUM(F5:F22)</f>
        <v/>
      </c>
    </row>
    <row r="25">
      <c r="A25" s="117" t="inlineStr"/>
    </row>
    <row r="26">
      <c r="A26" s="137" t="inlineStr">
        <is>
          <t>Month #</t>
        </is>
      </c>
      <c r="B26" s="137" t="inlineStr">
        <is>
          <t>Month</t>
        </is>
      </c>
      <c r="C26" s="137" t="inlineStr">
        <is>
          <t>Total Materials &amp; Equipment $</t>
        </is>
      </c>
    </row>
    <row r="27">
      <c r="A27" s="138" t="n">
        <v>1</v>
      </c>
      <c r="B27" s="201">
        <f>EDATE(Dashboard!$C$5,A27-1)</f>
        <v/>
      </c>
      <c r="C27" s="132">
        <f>SUMIFS($F$5:$F$22,$E$5:$E$22,A27)</f>
        <v/>
      </c>
    </row>
    <row r="28">
      <c r="A28" s="138" t="n">
        <v>2</v>
      </c>
      <c r="B28" s="201">
        <f>EDATE(Dashboard!$C$5,A28-1)</f>
        <v/>
      </c>
      <c r="C28" s="132">
        <f>SUMIFS($F$5:$F$22,$E$5:$E$22,A28)</f>
        <v/>
      </c>
    </row>
    <row r="29">
      <c r="A29" s="138" t="n">
        <v>3</v>
      </c>
      <c r="B29" s="201">
        <f>EDATE(Dashboard!$C$5,A29-1)</f>
        <v/>
      </c>
      <c r="C29" s="132">
        <f>SUMIFS($F$5:$F$22,$E$5:$E$22,A29)</f>
        <v/>
      </c>
    </row>
    <row r="30">
      <c r="A30" s="138" t="n">
        <v>4</v>
      </c>
      <c r="B30" s="201">
        <f>EDATE(Dashboard!$C$5,A30-1)</f>
        <v/>
      </c>
      <c r="C30" s="132">
        <f>SUMIFS($F$5:$F$22,$E$5:$E$22,A30)</f>
        <v/>
      </c>
    </row>
    <row r="31">
      <c r="A31" s="138" t="n">
        <v>5</v>
      </c>
      <c r="B31" s="201">
        <f>EDATE(Dashboard!$C$5,A31-1)</f>
        <v/>
      </c>
      <c r="C31" s="132">
        <f>SUMIFS($F$5:$F$22,$E$5:$E$22,A31)</f>
        <v/>
      </c>
    </row>
    <row r="32">
      <c r="A32" s="138" t="n">
        <v>6</v>
      </c>
      <c r="B32" s="201">
        <f>EDATE(Dashboard!$C$5,A32-1)</f>
        <v/>
      </c>
      <c r="C32" s="132">
        <f>SUMIFS($F$5:$F$22,$E$5:$E$22,A32)</f>
        <v/>
      </c>
    </row>
    <row r="33">
      <c r="A33" s="138" t="n">
        <v>7</v>
      </c>
      <c r="B33" s="201">
        <f>EDATE(Dashboard!$C$5,A33-1)</f>
        <v/>
      </c>
      <c r="C33" s="132">
        <f>SUMIFS($F$5:$F$22,$E$5:$E$22,A33)</f>
        <v/>
      </c>
    </row>
    <row r="34">
      <c r="A34" s="138" t="n">
        <v>8</v>
      </c>
      <c r="B34" s="201">
        <f>EDATE(Dashboard!$C$5,A34-1)</f>
        <v/>
      </c>
      <c r="C34" s="132">
        <f>SUMIFS($F$5:$F$22,$E$5:$E$22,A34)</f>
        <v/>
      </c>
    </row>
    <row r="35">
      <c r="A35" s="138" t="n">
        <v>9</v>
      </c>
      <c r="B35" s="201">
        <f>EDATE(Dashboard!$C$5,A35-1)</f>
        <v/>
      </c>
      <c r="C35" s="132">
        <f>SUMIFS($F$5:$F$22,$E$5:$E$22,A35)</f>
        <v/>
      </c>
    </row>
    <row r="36">
      <c r="A36" s="138" t="n">
        <v>10</v>
      </c>
      <c r="B36" s="201">
        <f>EDATE(Dashboard!$C$5,A36-1)</f>
        <v/>
      </c>
      <c r="C36" s="132">
        <f>SUMIFS($F$5:$F$22,$E$5:$E$22,A36)</f>
        <v/>
      </c>
    </row>
    <row r="37">
      <c r="A37" s="138" t="n">
        <v>11</v>
      </c>
      <c r="B37" s="201">
        <f>EDATE(Dashboard!$C$5,A37-1)</f>
        <v/>
      </c>
      <c r="C37" s="132">
        <f>SUMIFS($F$5:$F$22,$E$5:$E$22,A37)</f>
        <v/>
      </c>
    </row>
    <row r="38">
      <c r="A38" s="138" t="n">
        <v>12</v>
      </c>
      <c r="B38" s="201">
        <f>EDATE(Dashboard!$C$5,A38-1)</f>
        <v/>
      </c>
      <c r="C38" s="132">
        <f>SUMIFS($F$5:$F$22,$E$5:$E$22,A38)</f>
        <v/>
      </c>
    </row>
    <row r="40">
      <c r="A40" s="117" t="inlineStr">
        <is>
          <t>Acqlerate  ·  DoD Acquisition Training  ·  acqlerate.com</t>
        </is>
      </c>
    </row>
  </sheetData>
  <autoFilter ref="A4:F22"/>
  <dataValidations count="1">
    <dataValidation sqref="D5:D22" showDropDown="0" showInputMessage="0" showErrorMessage="0" allowBlank="1" type="list">
      <formula1>=Projects!$A$6:$A$13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FF7A5AF8"/>
    <outlinePr summaryBelow="1" summaryRight="1"/>
    <pageSetUpPr/>
  </sheetPr>
  <dimension ref="A1:R82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style="109" min="1" max="1"/>
    <col width="11" customWidth="1" style="109" min="2" max="2"/>
    <col width="11" customWidth="1" style="109" min="3" max="3"/>
    <col width="11" customWidth="1" style="109" min="4" max="4"/>
    <col width="11" customWidth="1" style="109" min="5" max="5"/>
    <col width="11" customWidth="1" style="109" min="6" max="6"/>
    <col width="11" customWidth="1" style="109" min="7" max="7"/>
    <col width="11" customWidth="1" style="109" min="8" max="8"/>
    <col width="11" customWidth="1" style="109" min="9" max="9"/>
    <col width="11" customWidth="1" style="109" min="10" max="10"/>
    <col width="11" customWidth="1" style="109" min="11" max="11"/>
    <col width="11" customWidth="1" style="109" min="12" max="12"/>
    <col width="11" customWidth="1" style="109" min="13" max="13"/>
    <col width="12" customWidth="1" style="109" min="14" max="14"/>
    <col width="12" customWidth="1" style="109" min="15" max="15"/>
    <col width="12" customWidth="1" style="109" min="16" max="16"/>
    <col width="12" customWidth="1" style="109" min="17" max="17"/>
    <col width="13" customWidth="1" style="109" min="18" max="18"/>
  </cols>
  <sheetData>
    <row r="1" ht="21.75" customHeight="1" s="109">
      <c r="B1" s="121" t="inlineStr">
        <is>
          <t>Revenue Forecast</t>
        </is>
      </c>
      <c r="R1" s="122" t="inlineStr">
        <is>
          <t>Acqlerate  ·  acqlerate.com</t>
        </is>
      </c>
    </row>
    <row r="3" ht="28" customHeight="1" s="109">
      <c r="A3" s="114" t="inlineStr">
        <is>
          <t>Forecasted Revenue is what you expect to bill each month — type it in per project. Actual Revenue fills in automatically once costs post (same Fringe/OH/G&amp;A/Fee buildup as the rest of the workbook). If you revise a forecast, log the change in the Revision Log at the bottom — don't just overwrite it.</t>
        </is>
      </c>
    </row>
    <row r="5">
      <c r="A5" s="123" t="inlineStr">
        <is>
          <t>Contract Total (auto)</t>
        </is>
      </c>
    </row>
    <row r="6">
      <c r="A6" s="126" t="inlineStr">
        <is>
          <t>Metric</t>
        </is>
      </c>
      <c r="B6" s="126" t="inlineStr">
        <is>
          <t>Jan</t>
        </is>
      </c>
      <c r="C6" s="126" t="inlineStr">
        <is>
          <t>Feb</t>
        </is>
      </c>
      <c r="D6" s="126" t="inlineStr">
        <is>
          <t>Mar</t>
        </is>
      </c>
      <c r="E6" s="126" t="inlineStr">
        <is>
          <t>Apr</t>
        </is>
      </c>
      <c r="F6" s="126" t="inlineStr">
        <is>
          <t>May</t>
        </is>
      </c>
      <c r="G6" s="126" t="inlineStr">
        <is>
          <t>Jun</t>
        </is>
      </c>
      <c r="H6" s="126" t="inlineStr">
        <is>
          <t>Jul</t>
        </is>
      </c>
      <c r="I6" s="126" t="inlineStr">
        <is>
          <t>Aug</t>
        </is>
      </c>
      <c r="J6" s="126" t="inlineStr">
        <is>
          <t>Sep</t>
        </is>
      </c>
      <c r="K6" s="126" t="inlineStr">
        <is>
          <t>Oct</t>
        </is>
      </c>
      <c r="L6" s="126" t="inlineStr">
        <is>
          <t>Nov</t>
        </is>
      </c>
      <c r="M6" s="126" t="inlineStr">
        <is>
          <t>Dec</t>
        </is>
      </c>
      <c r="N6" s="126" t="inlineStr">
        <is>
          <t>Q1</t>
        </is>
      </c>
      <c r="O6" s="126" t="inlineStr">
        <is>
          <t>Q2</t>
        </is>
      </c>
      <c r="P6" s="126" t="inlineStr">
        <is>
          <t>Q3</t>
        </is>
      </c>
      <c r="Q6" s="126" t="inlineStr">
        <is>
          <t>Q4</t>
        </is>
      </c>
      <c r="R6" s="126" t="inlineStr">
        <is>
          <t>Year</t>
        </is>
      </c>
    </row>
    <row r="7">
      <c r="A7" s="124" t="inlineStr">
        <is>
          <t>Forecasted Revenue $</t>
        </is>
      </c>
      <c r="B7" s="135">
        <f>SUM(B16,B22,B28,B34,B40,B46,B52,B58)</f>
        <v/>
      </c>
      <c r="C7" s="135">
        <f>SUM(C16,C22,C28,C34,C40,C46,C52,C58)</f>
        <v/>
      </c>
      <c r="D7" s="135">
        <f>SUM(D16,D22,D28,D34,D40,D46,D52,D58)</f>
        <v/>
      </c>
      <c r="E7" s="135">
        <f>SUM(E16,E22,E28,E34,E40,E46,E52,E58)</f>
        <v/>
      </c>
      <c r="F7" s="135">
        <f>SUM(F16,F22,F28,F34,F40,F46,F52,F58)</f>
        <v/>
      </c>
      <c r="G7" s="135">
        <f>SUM(G16,G22,G28,G34,G40,G46,G52,G58)</f>
        <v/>
      </c>
      <c r="H7" s="135">
        <f>SUM(H16,H22,H28,H34,H40,H46,H52,H58)</f>
        <v/>
      </c>
      <c r="I7" s="135">
        <f>SUM(I16,I22,I28,I34,I40,I46,I52,I58)</f>
        <v/>
      </c>
      <c r="J7" s="135">
        <f>SUM(J16,J22,J28,J34,J40,J46,J52,J58)</f>
        <v/>
      </c>
      <c r="K7" s="135">
        <f>SUM(K16,K22,K28,K34,K40,K46,K52,K58)</f>
        <v/>
      </c>
      <c r="L7" s="135">
        <f>SUM(L16,L22,L28,L34,L40,L46,L52,L58)</f>
        <v/>
      </c>
      <c r="M7" s="135">
        <f>SUM(M16,M22,M28,M34,M40,M46,M52,M58)</f>
        <v/>
      </c>
      <c r="N7" s="135">
        <f>SUM(B7,C7,D7)</f>
        <v/>
      </c>
      <c r="O7" s="135">
        <f>SUM(E7,F7,G7)</f>
        <v/>
      </c>
      <c r="P7" s="135">
        <f>SUM(H7,I7,J7)</f>
        <v/>
      </c>
      <c r="Q7" s="135">
        <f>SUM(K7,L7,M7)</f>
        <v/>
      </c>
      <c r="R7" s="135">
        <f>SUM(N7,O7,P7,Q7)</f>
        <v/>
      </c>
    </row>
    <row r="8">
      <c r="A8" s="124" t="inlineStr">
        <is>
          <t>Actual Revenue $</t>
        </is>
      </c>
      <c r="B8" s="135">
        <f>SUM(B17,B23,B29,B35,B41,B47,B53,B59)</f>
        <v/>
      </c>
      <c r="C8" s="135">
        <f>SUM(C17,C23,C29,C35,C41,C47,C53,C59)</f>
        <v/>
      </c>
      <c r="D8" s="135">
        <f>SUM(D17,D23,D29,D35,D41,D47,D53,D59)</f>
        <v/>
      </c>
      <c r="E8" s="135">
        <f>SUM(E17,E23,E29,E35,E41,E47,E53,E59)</f>
        <v/>
      </c>
      <c r="F8" s="135">
        <f>SUM(F17,F23,F29,F35,F41,F47,F53,F59)</f>
        <v/>
      </c>
      <c r="G8" s="135">
        <f>SUM(G17,G23,G29,G35,G41,G47,G53,G59)</f>
        <v/>
      </c>
      <c r="H8" s="135">
        <f>SUM(H17,H23,H29,H35,H41,H47,H53,H59)</f>
        <v/>
      </c>
      <c r="I8" s="135">
        <f>SUM(I17,I23,I29,I35,I41,I47,I53,I59)</f>
        <v/>
      </c>
      <c r="J8" s="135">
        <f>SUM(J17,J23,J29,J35,J41,J47,J53,J59)</f>
        <v/>
      </c>
      <c r="K8" s="135">
        <f>SUM(K17,K23,K29,K35,K41,K47,K53,K59)</f>
        <v/>
      </c>
      <c r="L8" s="135">
        <f>SUM(L17,L23,L29,L35,L41,L47,L53,L59)</f>
        <v/>
      </c>
      <c r="M8" s="135">
        <f>SUM(M17,M23,M29,M35,M41,M47,M53,M59)</f>
        <v/>
      </c>
      <c r="N8" s="135">
        <f>SUM(B8,C8,D8)</f>
        <v/>
      </c>
      <c r="O8" s="135">
        <f>SUM(E8,F8,G8)</f>
        <v/>
      </c>
      <c r="P8" s="135">
        <f>SUM(H8,I8,J8)</f>
        <v/>
      </c>
      <c r="Q8" s="135">
        <f>SUM(K8,L8,M8)</f>
        <v/>
      </c>
      <c r="R8" s="135">
        <f>SUM(N8,O8,P8,Q8)</f>
        <v/>
      </c>
    </row>
    <row r="9">
      <c r="A9" s="117" t="inlineStr">
        <is>
          <t>Variance $</t>
        </is>
      </c>
      <c r="B9" s="204">
        <f>B8-B7</f>
        <v/>
      </c>
      <c r="C9" s="204">
        <f>C8-C7</f>
        <v/>
      </c>
      <c r="D9" s="204">
        <f>D8-D7</f>
        <v/>
      </c>
      <c r="E9" s="204">
        <f>E8-E7</f>
        <v/>
      </c>
      <c r="F9" s="204">
        <f>F8-F7</f>
        <v/>
      </c>
      <c r="G9" s="204">
        <f>G8-G7</f>
        <v/>
      </c>
      <c r="H9" s="204">
        <f>H8-H7</f>
        <v/>
      </c>
      <c r="I9" s="204">
        <f>I8-I7</f>
        <v/>
      </c>
      <c r="J9" s="204">
        <f>J8-J7</f>
        <v/>
      </c>
      <c r="K9" s="204">
        <f>K8-K7</f>
        <v/>
      </c>
      <c r="L9" s="204">
        <f>L8-L7</f>
        <v/>
      </c>
      <c r="M9" s="204">
        <f>M8-M7</f>
        <v/>
      </c>
      <c r="N9" s="135">
        <f>SUM(B9,C9,D9)</f>
        <v/>
      </c>
      <c r="O9" s="135">
        <f>SUM(E9,F9,G9)</f>
        <v/>
      </c>
      <c r="P9" s="135">
        <f>SUM(H9,I9,J9)</f>
        <v/>
      </c>
      <c r="Q9" s="135">
        <f>SUM(K9,L9,M9)</f>
        <v/>
      </c>
      <c r="R9" s="135">
        <f>SUM(N9,O9,P9,Q9)</f>
        <v/>
      </c>
    </row>
    <row r="10">
      <c r="A10" s="117" t="inlineStr">
        <is>
          <t>Variance %</t>
        </is>
      </c>
      <c r="B10" s="205">
        <f>IFERROR(B9/B7,0)</f>
        <v/>
      </c>
      <c r="C10" s="205">
        <f>IFERROR(C9/C7,0)</f>
        <v/>
      </c>
      <c r="D10" s="205">
        <f>IFERROR(D9/D7,0)</f>
        <v/>
      </c>
      <c r="E10" s="205">
        <f>IFERROR(E9/E7,0)</f>
        <v/>
      </c>
      <c r="F10" s="205">
        <f>IFERROR(F9/F7,0)</f>
        <v/>
      </c>
      <c r="G10" s="205">
        <f>IFERROR(G9/G7,0)</f>
        <v/>
      </c>
      <c r="H10" s="205">
        <f>IFERROR(H9/H7,0)</f>
        <v/>
      </c>
      <c r="I10" s="205">
        <f>IFERROR(I9/I7,0)</f>
        <v/>
      </c>
      <c r="J10" s="205">
        <f>IFERROR(J9/J7,0)</f>
        <v/>
      </c>
      <c r="K10" s="205">
        <f>IFERROR(K9/K7,0)</f>
        <v/>
      </c>
      <c r="L10" s="205">
        <f>IFERROR(L9/L7,0)</f>
        <v/>
      </c>
      <c r="M10" s="205">
        <f>IFERROR(M9/M7,0)</f>
        <v/>
      </c>
      <c r="N10" s="140">
        <f>IFERROR(N9/N7,0)</f>
        <v/>
      </c>
      <c r="O10" s="140">
        <f>IFERROR(O9/O7,0)</f>
        <v/>
      </c>
      <c r="P10" s="140">
        <f>IFERROR(P9/P7,0)</f>
        <v/>
      </c>
      <c r="Q10" s="140">
        <f>IFERROR(Q9/Q7,0)</f>
        <v/>
      </c>
      <c r="R10" s="140">
        <f>IFERROR(R9/R7,0)</f>
        <v/>
      </c>
    </row>
    <row r="12">
      <c r="A12" s="123" t="inlineStr">
        <is>
          <t>By Project</t>
        </is>
      </c>
    </row>
    <row r="13">
      <c r="A13" s="126" t="inlineStr">
        <is>
          <t>Project / Metric</t>
        </is>
      </c>
      <c r="B13" s="126" t="inlineStr">
        <is>
          <t>Jan</t>
        </is>
      </c>
      <c r="C13" s="126" t="inlineStr">
        <is>
          <t>Feb</t>
        </is>
      </c>
      <c r="D13" s="126" t="inlineStr">
        <is>
          <t>Mar</t>
        </is>
      </c>
      <c r="E13" s="126" t="inlineStr">
        <is>
          <t>Apr</t>
        </is>
      </c>
      <c r="F13" s="126" t="inlineStr">
        <is>
          <t>May</t>
        </is>
      </c>
      <c r="G13" s="126" t="inlineStr">
        <is>
          <t>Jun</t>
        </is>
      </c>
      <c r="H13" s="126" t="inlineStr">
        <is>
          <t>Jul</t>
        </is>
      </c>
      <c r="I13" s="126" t="inlineStr">
        <is>
          <t>Aug</t>
        </is>
      </c>
      <c r="J13" s="126" t="inlineStr">
        <is>
          <t>Sep</t>
        </is>
      </c>
      <c r="K13" s="126" t="inlineStr">
        <is>
          <t>Oct</t>
        </is>
      </c>
      <c r="L13" s="126" t="inlineStr">
        <is>
          <t>Nov</t>
        </is>
      </c>
      <c r="M13" s="126" t="inlineStr">
        <is>
          <t>Dec</t>
        </is>
      </c>
      <c r="N13" s="126" t="inlineStr">
        <is>
          <t>Q1</t>
        </is>
      </c>
      <c r="O13" s="126" t="inlineStr">
        <is>
          <t>Q2</t>
        </is>
      </c>
      <c r="P13" s="126" t="inlineStr">
        <is>
          <t>Q3</t>
        </is>
      </c>
      <c r="Q13" s="126" t="inlineStr">
        <is>
          <t>Q4</t>
        </is>
      </c>
      <c r="R13" s="126" t="inlineStr">
        <is>
          <t>Year</t>
        </is>
      </c>
    </row>
    <row r="15">
      <c r="A15" s="136">
        <f>IF(Projects!$A$6="","",Projects!$A$6&amp;" — "&amp;Projects!$B$6)</f>
        <v/>
      </c>
    </row>
    <row r="16">
      <c r="A16" s="124" t="inlineStr">
        <is>
          <t>Forecasted Revenue $</t>
        </is>
      </c>
      <c r="B16" s="131" t="n">
        <v>0</v>
      </c>
      <c r="C16" s="131" t="n">
        <v>0</v>
      </c>
      <c r="D16" s="131" t="n">
        <v>0</v>
      </c>
      <c r="E16" s="131" t="n">
        <v>0</v>
      </c>
      <c r="F16" s="131" t="n">
        <v>0</v>
      </c>
      <c r="G16" s="131" t="n">
        <v>0</v>
      </c>
      <c r="H16" s="131" t="n">
        <v>0</v>
      </c>
      <c r="I16" s="131" t="n">
        <v>0</v>
      </c>
      <c r="J16" s="131" t="n">
        <v>0</v>
      </c>
      <c r="K16" s="131" t="n">
        <v>0</v>
      </c>
      <c r="L16" s="131" t="n">
        <v>0</v>
      </c>
      <c r="M16" s="131" t="n">
        <v>0</v>
      </c>
      <c r="N16" s="135">
        <f>SUM(B16,C16,D16)</f>
        <v/>
      </c>
      <c r="O16" s="135">
        <f>SUM(E16,F16,G16)</f>
        <v/>
      </c>
      <c r="P16" s="135">
        <f>SUM(H16,I16,J16)</f>
        <v/>
      </c>
      <c r="Q16" s="135">
        <f>SUM(K16,L16,M16)</f>
        <v/>
      </c>
      <c r="R16" s="135">
        <f>SUM(N16,O16,P16,Q16)</f>
        <v/>
      </c>
    </row>
    <row r="17">
      <c r="A17" s="124" t="inlineStr">
        <is>
          <t>Actual Revenue $</t>
        </is>
      </c>
      <c r="B17" s="132">
        <f>IF(Projects!$A$6="","",(((SUMPRODUCT((Labor!$G$6:$G$25=Projects!$A$6)*(Labor!$E$6:$E$25="Prime")*N(Labor!$K$6:$K$25))*(1+Rates!$B$6)*(1+Rates!$B$7)+SUMPRODUCT((Labor!$G$6:$G$25=Projects!$A$6)*(Labor!$E$6:$E$25="Sub")*N(Labor!$K$6:$K$25)))+SUMIFS(ODCs!$F$5:$F$22,ODCs!$D$5:$D$22,Projects!$A$6,ODCs!$E$5:$E$22,1)+SUMIFS(Travel!$F$5:$F$22,Travel!$D$5:$D$22,Projects!$A$6,Travel!$E$5:$E$22,1)+SUMIFS('M&amp;E'!$F$5:$F$22,'M&amp;E'!$D$5:$D$22,Projects!$A$6,'M&amp;E'!$E$5:$E$22,1))+(((SUMPRODUCT((Labor!$G$6:$G$25=Projects!$A$6)*(Labor!$E$6:$E$25="Prime")*N(Labor!$K$6:$K$25))*(1+Rates!$B$6)*(1+Rates!$B$7)+SUMPRODUCT((Labor!$G$6:$G$25=Projects!$A$6)*(Labor!$E$6:$E$25="Sub")*N(Labor!$K$6:$K$25)))+SUMIFS(ODCs!$F$5:$F$22,ODCs!$D$5:$D$22,Projects!$A$6,ODCs!$E$5:$E$22,1)+SUMIFS(Travel!$F$5:$F$22,Travel!$D$5:$D$22,Projects!$A$6,Travel!$E$5:$E$22,1)+SUMIFS('M&amp;E'!$F$5:$F$22,'M&amp;E'!$D$5:$D$22,Projects!$A$6,'M&amp;E'!$E$5:$E$22,1))*Rates!$B$8))+((((SUMPRODUCT((Labor!$G$6:$G$25=Projects!$A$6)*(Labor!$E$6:$E$25="Prime")*N(Labor!$K$6:$K$25))*(1+Rates!$B$6)*(1+Rates!$B$7)+SUMPRODUCT((Labor!$G$6:$G$25=Projects!$A$6)*(Labor!$E$6:$E$25="Sub")*N(Labor!$K$6:$K$25))))+IFERROR(((SUMPRODUCT((Labor!$G$6:$G$25=Projects!$A$6)*(Labor!$E$6:$E$25="Prime")*N(Labor!$K$6:$K$25))*(1+Rates!$B$6)*(1+Rates!$B$7)+SUMPRODUCT((Labor!$G$6:$G$25=Projects!$A$6)*(Labor!$E$6:$E$25="Sub")*N(Labor!$K$6:$K$25))))/((SUMPRODUCT((Labor!$G$6:$G$25=Projects!$A$6)*(Labor!$E$6:$E$25="Prime")*N(Labor!$K$6:$K$25))*(1+Rates!$B$6)*(1+Rates!$B$7)+SUMPRODUCT((Labor!$G$6:$G$25=Projects!$A$6)*(Labor!$E$6:$E$25="Sub")*N(Labor!$K$6:$K$25)))+SUMIFS(ODCs!$F$5:$F$22,ODCs!$D$5:$D$22,Projects!$A$6,ODCs!$E$5:$E$22,1)+SUMIFS(Travel!$F$5:$F$22,Travel!$D$5:$D$22,Projects!$A$6,Travel!$E$5:$E$22,1)+SUMIFS('M&amp;E'!$F$5:$F$22,'M&amp;E'!$D$5:$D$22,Projects!$A$6,'M&amp;E'!$E$5:$E$22,1))*(((SUMPRODUCT((Labor!$G$6:$G$25=Projects!$A$6)*(Labor!$E$6:$E$25="Prime")*N(Labor!$K$6:$K$25))*(1+Rates!$B$6)*(1+Rates!$B$7)+SUMPRODUCT((Labor!$G$6:$G$25=Projects!$A$6)*(Labor!$E$6:$E$25="Sub")*N(Labor!$K$6:$K$25)))+SUMIFS(ODCs!$F$5:$F$22,ODCs!$D$5:$D$22,Projects!$A$6,ODCs!$E$5:$E$22,1)+SUMIFS(Travel!$F$5:$F$22,Travel!$D$5:$D$22,Projects!$A$6,Travel!$E$5:$E$22,1)+SUMIFS('M&amp;E'!$F$5:$F$22,'M&amp;E'!$D$5:$D$22,Projects!$A$6,'M&amp;E'!$E$5:$E$22,1))*Rates!$B$8),0))*Rates!$C$18+((SUMIFS(Travel!$F$5:$F$22,Travel!$D$5:$D$22,Projects!$A$6,Travel!$E$5:$E$22,1))+IFERROR((SUMIFS(Travel!$F$5:$F$22,Travel!$D$5:$D$22,Projects!$A$6,Travel!$E$5:$E$22,1))/((SUMPRODUCT((Labor!$G$6:$G$25=Projects!$A$6)*(Labor!$E$6:$E$25="Prime")*N(Labor!$K$6:$K$25))*(1+Rates!$B$6)*(1+Rates!$B$7)+SUMPRODUCT((Labor!$G$6:$G$25=Projects!$A$6)*(Labor!$E$6:$E$25="Sub")*N(Labor!$K$6:$K$25)))+SUMIFS(ODCs!$F$5:$F$22,ODCs!$D$5:$D$22,Projects!$A$6,ODCs!$E$5:$E$22,1)+SUMIFS(Travel!$F$5:$F$22,Travel!$D$5:$D$22,Projects!$A$6,Travel!$E$5:$E$22,1)+SUMIFS('M&amp;E'!$F$5:$F$22,'M&amp;E'!$D$5:$D$22,Projects!$A$6,'M&amp;E'!$E$5:$E$22,1))*(((SUMPRODUCT((Labor!$G$6:$G$25=Projects!$A$6)*(Labor!$E$6:$E$25="Prime")*N(Labor!$K$6:$K$25))*(1+Rates!$B$6)*(1+Rates!$B$7)+SUMPRODUCT((Labor!$G$6:$G$25=Projects!$A$6)*(Labor!$E$6:$E$25="Sub")*N(Labor!$K$6:$K$25)))+SUMIFS(ODCs!$F$5:$F$22,ODCs!$D$5:$D$22,Projects!$A$6,ODCs!$E$5:$E$22,1)+SUMIFS(Travel!$F$5:$F$22,Travel!$D$5:$D$22,Projects!$A$6,Travel!$E$5:$E$22,1)+SUMIFS('M&amp;E'!$F$5:$F$22,'M&amp;E'!$D$5:$D$22,Projects!$A$6,'M&amp;E'!$E$5:$E$22,1))*Rates!$B$8),0))*Rates!$C$19+((SUMIFS(ODCs!$F$5:$F$22,ODCs!$D$5:$D$22,Projects!$A$6,ODCs!$E$5:$E$22,1))+IFERROR((SUMIFS(ODCs!$F$5:$F$22,ODCs!$D$5:$D$22,Projects!$A$6,ODCs!$E$5:$E$22,1))/((SUMPRODUCT((Labor!$G$6:$G$25=Projects!$A$6)*(Labor!$E$6:$E$25="Prime")*N(Labor!$K$6:$K$25))*(1+Rates!$B$6)*(1+Rates!$B$7)+SUMPRODUCT((Labor!$G$6:$G$25=Projects!$A$6)*(Labor!$E$6:$E$25="Sub")*N(Labor!$K$6:$K$25)))+SUMIFS(ODCs!$F$5:$F$22,ODCs!$D$5:$D$22,Projects!$A$6,ODCs!$E$5:$E$22,1)+SUMIFS(Travel!$F$5:$F$22,Travel!$D$5:$D$22,Projects!$A$6,Travel!$E$5:$E$22,1)+SUMIFS('M&amp;E'!$F$5:$F$22,'M&amp;E'!$D$5:$D$22,Projects!$A$6,'M&amp;E'!$E$5:$E$22,1))*(((SUMPRODUCT((Labor!$G$6:$G$25=Projects!$A$6)*(Labor!$E$6:$E$25="Prime")*N(Labor!$K$6:$K$25))*(1+Rates!$B$6)*(1+Rates!$B$7)+SUMPRODUCT((Labor!$G$6:$G$25=Projects!$A$6)*(Labor!$E$6:$E$25="Sub")*N(Labor!$K$6:$K$25)))+SUMIFS(ODCs!$F$5:$F$22,ODCs!$D$5:$D$22,Projects!$A$6,ODCs!$E$5:$E$22,1)+SUMIFS(Travel!$F$5:$F$22,Travel!$D$5:$D$22,Projects!$A$6,Travel!$E$5:$E$22,1)+SUMIFS('M&amp;E'!$F$5:$F$22,'M&amp;E'!$D$5:$D$22,Projects!$A$6,'M&amp;E'!$E$5:$E$22,1))*Rates!$B$8),0))*Rates!$C$20+((SUMIFS('M&amp;E'!$F$5:$F$22,'M&amp;E'!$D$5:$D$22,Projects!$A$6,'M&amp;E'!$E$5:$E$22,1))+IFERROR((SUMIFS('M&amp;E'!$F$5:$F$22,'M&amp;E'!$D$5:$D$22,Projects!$A$6,'M&amp;E'!$E$5:$E$22,1))/((SUMPRODUCT((Labor!$G$6:$G$25=Projects!$A$6)*(Labor!$E$6:$E$25="Prime")*N(Labor!$K$6:$K$25))*(1+Rates!$B$6)*(1+Rates!$B$7)+SUMPRODUCT((Labor!$G$6:$G$25=Projects!$A$6)*(Labor!$E$6:$E$25="Sub")*N(Labor!$K$6:$K$25)))+SUMIFS(ODCs!$F$5:$F$22,ODCs!$D$5:$D$22,Projects!$A$6,ODCs!$E$5:$E$22,1)+SUMIFS(Travel!$F$5:$F$22,Travel!$D$5:$D$22,Projects!$A$6,Travel!$E$5:$E$22,1)+SUMIFS('M&amp;E'!$F$5:$F$22,'M&amp;E'!$D$5:$D$22,Projects!$A$6,'M&amp;E'!$E$5:$E$22,1))*(((SUMPRODUCT((Labor!$G$6:$G$25=Projects!$A$6)*(Labor!$E$6:$E$25="Prime")*N(Labor!$K$6:$K$25))*(1+Rates!$B$6)*(1+Rates!$B$7)+SUMPRODUCT((Labor!$G$6:$G$25=Projects!$A$6)*(Labor!$E$6:$E$25="Sub")*N(Labor!$K$6:$K$25)))+SUMIFS(ODCs!$F$5:$F$22,ODCs!$D$5:$D$22,Projects!$A$6,ODCs!$E$5:$E$22,1)+SUMIFS(Travel!$F$5:$F$22,Travel!$D$5:$D$22,Projects!$A$6,Travel!$E$5:$E$22,1)+SUMIFS('M&amp;E'!$F$5:$F$22,'M&amp;E'!$D$5:$D$22,Projects!$A$6,'M&amp;E'!$E$5:$E$22,1))*Rates!$B$8),0))*Rates!$C$21))</f>
        <v/>
      </c>
      <c r="C17" s="132">
        <f>IF(Projects!$A$6="","",(((SUMPRODUCT((Labor!$G$6:$G$25=Projects!$A$6)*(Labor!$E$6:$E$25="Prime")*N(Labor!$O$6:$O$25))*(1+Rates!$B$6)*(1+Rates!$B$7)+SUMPRODUCT((Labor!$G$6:$G$25=Projects!$A$6)*(Labor!$E$6:$E$25="Sub")*N(Labor!$O$6:$O$25)))+SUMIFS(ODCs!$F$5:$F$22,ODCs!$D$5:$D$22,Projects!$A$6,ODCs!$E$5:$E$22,2)+SUMIFS(Travel!$F$5:$F$22,Travel!$D$5:$D$22,Projects!$A$6,Travel!$E$5:$E$22,2)+SUMIFS('M&amp;E'!$F$5:$F$22,'M&amp;E'!$D$5:$D$22,Projects!$A$6,'M&amp;E'!$E$5:$E$22,2))+(((SUMPRODUCT((Labor!$G$6:$G$25=Projects!$A$6)*(Labor!$E$6:$E$25="Prime")*N(Labor!$O$6:$O$25))*(1+Rates!$B$6)*(1+Rates!$B$7)+SUMPRODUCT((Labor!$G$6:$G$25=Projects!$A$6)*(Labor!$E$6:$E$25="Sub")*N(Labor!$O$6:$O$25)))+SUMIFS(ODCs!$F$5:$F$22,ODCs!$D$5:$D$22,Projects!$A$6,ODCs!$E$5:$E$22,2)+SUMIFS(Travel!$F$5:$F$22,Travel!$D$5:$D$22,Projects!$A$6,Travel!$E$5:$E$22,2)+SUMIFS('M&amp;E'!$F$5:$F$22,'M&amp;E'!$D$5:$D$22,Projects!$A$6,'M&amp;E'!$E$5:$E$22,2))*Rates!$B$8))+((((SUMPRODUCT((Labor!$G$6:$G$25=Projects!$A$6)*(Labor!$E$6:$E$25="Prime")*N(Labor!$O$6:$O$25))*(1+Rates!$B$6)*(1+Rates!$B$7)+SUMPRODUCT((Labor!$G$6:$G$25=Projects!$A$6)*(Labor!$E$6:$E$25="Sub")*N(Labor!$O$6:$O$25))))+IFERROR(((SUMPRODUCT((Labor!$G$6:$G$25=Projects!$A$6)*(Labor!$E$6:$E$25="Prime")*N(Labor!$O$6:$O$25))*(1+Rates!$B$6)*(1+Rates!$B$7)+SUMPRODUCT((Labor!$G$6:$G$25=Projects!$A$6)*(Labor!$E$6:$E$25="Sub")*N(Labor!$O$6:$O$25))))/((SUMPRODUCT((Labor!$G$6:$G$25=Projects!$A$6)*(Labor!$E$6:$E$25="Prime")*N(Labor!$O$6:$O$25))*(1+Rates!$B$6)*(1+Rates!$B$7)+SUMPRODUCT((Labor!$G$6:$G$25=Projects!$A$6)*(Labor!$E$6:$E$25="Sub")*N(Labor!$O$6:$O$25)))+SUMIFS(ODCs!$F$5:$F$22,ODCs!$D$5:$D$22,Projects!$A$6,ODCs!$E$5:$E$22,2)+SUMIFS(Travel!$F$5:$F$22,Travel!$D$5:$D$22,Projects!$A$6,Travel!$E$5:$E$22,2)+SUMIFS('M&amp;E'!$F$5:$F$22,'M&amp;E'!$D$5:$D$22,Projects!$A$6,'M&amp;E'!$E$5:$E$22,2))*(((SUMPRODUCT((Labor!$G$6:$G$25=Projects!$A$6)*(Labor!$E$6:$E$25="Prime")*N(Labor!$O$6:$O$25))*(1+Rates!$B$6)*(1+Rates!$B$7)+SUMPRODUCT((Labor!$G$6:$G$25=Projects!$A$6)*(Labor!$E$6:$E$25="Sub")*N(Labor!$O$6:$O$25)))+SUMIFS(ODCs!$F$5:$F$22,ODCs!$D$5:$D$22,Projects!$A$6,ODCs!$E$5:$E$22,2)+SUMIFS(Travel!$F$5:$F$22,Travel!$D$5:$D$22,Projects!$A$6,Travel!$E$5:$E$22,2)+SUMIFS('M&amp;E'!$F$5:$F$22,'M&amp;E'!$D$5:$D$22,Projects!$A$6,'M&amp;E'!$E$5:$E$22,2))*Rates!$B$8),0))*Rates!$C$18+((SUMIFS(Travel!$F$5:$F$22,Travel!$D$5:$D$22,Projects!$A$6,Travel!$E$5:$E$22,2))+IFERROR((SUMIFS(Travel!$F$5:$F$22,Travel!$D$5:$D$22,Projects!$A$6,Travel!$E$5:$E$22,2))/((SUMPRODUCT((Labor!$G$6:$G$25=Projects!$A$6)*(Labor!$E$6:$E$25="Prime")*N(Labor!$O$6:$O$25))*(1+Rates!$B$6)*(1+Rates!$B$7)+SUMPRODUCT((Labor!$G$6:$G$25=Projects!$A$6)*(Labor!$E$6:$E$25="Sub")*N(Labor!$O$6:$O$25)))+SUMIFS(ODCs!$F$5:$F$22,ODCs!$D$5:$D$22,Projects!$A$6,ODCs!$E$5:$E$22,2)+SUMIFS(Travel!$F$5:$F$22,Travel!$D$5:$D$22,Projects!$A$6,Travel!$E$5:$E$22,2)+SUMIFS('M&amp;E'!$F$5:$F$22,'M&amp;E'!$D$5:$D$22,Projects!$A$6,'M&amp;E'!$E$5:$E$22,2))*(((SUMPRODUCT((Labor!$G$6:$G$25=Projects!$A$6)*(Labor!$E$6:$E$25="Prime")*N(Labor!$O$6:$O$25))*(1+Rates!$B$6)*(1+Rates!$B$7)+SUMPRODUCT((Labor!$G$6:$G$25=Projects!$A$6)*(Labor!$E$6:$E$25="Sub")*N(Labor!$O$6:$O$25)))+SUMIFS(ODCs!$F$5:$F$22,ODCs!$D$5:$D$22,Projects!$A$6,ODCs!$E$5:$E$22,2)+SUMIFS(Travel!$F$5:$F$22,Travel!$D$5:$D$22,Projects!$A$6,Travel!$E$5:$E$22,2)+SUMIFS('M&amp;E'!$F$5:$F$22,'M&amp;E'!$D$5:$D$22,Projects!$A$6,'M&amp;E'!$E$5:$E$22,2))*Rates!$B$8),0))*Rates!$C$19+((SUMIFS(ODCs!$F$5:$F$22,ODCs!$D$5:$D$22,Projects!$A$6,ODCs!$E$5:$E$22,2))+IFERROR((SUMIFS(ODCs!$F$5:$F$22,ODCs!$D$5:$D$22,Projects!$A$6,ODCs!$E$5:$E$22,2))/((SUMPRODUCT((Labor!$G$6:$G$25=Projects!$A$6)*(Labor!$E$6:$E$25="Prime")*N(Labor!$O$6:$O$25))*(1+Rates!$B$6)*(1+Rates!$B$7)+SUMPRODUCT((Labor!$G$6:$G$25=Projects!$A$6)*(Labor!$E$6:$E$25="Sub")*N(Labor!$O$6:$O$25)))+SUMIFS(ODCs!$F$5:$F$22,ODCs!$D$5:$D$22,Projects!$A$6,ODCs!$E$5:$E$22,2)+SUMIFS(Travel!$F$5:$F$22,Travel!$D$5:$D$22,Projects!$A$6,Travel!$E$5:$E$22,2)+SUMIFS('M&amp;E'!$F$5:$F$22,'M&amp;E'!$D$5:$D$22,Projects!$A$6,'M&amp;E'!$E$5:$E$22,2))*(((SUMPRODUCT((Labor!$G$6:$G$25=Projects!$A$6)*(Labor!$E$6:$E$25="Prime")*N(Labor!$O$6:$O$25))*(1+Rates!$B$6)*(1+Rates!$B$7)+SUMPRODUCT((Labor!$G$6:$G$25=Projects!$A$6)*(Labor!$E$6:$E$25="Sub")*N(Labor!$O$6:$O$25)))+SUMIFS(ODCs!$F$5:$F$22,ODCs!$D$5:$D$22,Projects!$A$6,ODCs!$E$5:$E$22,2)+SUMIFS(Travel!$F$5:$F$22,Travel!$D$5:$D$22,Projects!$A$6,Travel!$E$5:$E$22,2)+SUMIFS('M&amp;E'!$F$5:$F$22,'M&amp;E'!$D$5:$D$22,Projects!$A$6,'M&amp;E'!$E$5:$E$22,2))*Rates!$B$8),0))*Rates!$C$20+((SUMIFS('M&amp;E'!$F$5:$F$22,'M&amp;E'!$D$5:$D$22,Projects!$A$6,'M&amp;E'!$E$5:$E$22,2))+IFERROR((SUMIFS('M&amp;E'!$F$5:$F$22,'M&amp;E'!$D$5:$D$22,Projects!$A$6,'M&amp;E'!$E$5:$E$22,2))/((SUMPRODUCT((Labor!$G$6:$G$25=Projects!$A$6)*(Labor!$E$6:$E$25="Prime")*N(Labor!$O$6:$O$25))*(1+Rates!$B$6)*(1+Rates!$B$7)+SUMPRODUCT((Labor!$G$6:$G$25=Projects!$A$6)*(Labor!$E$6:$E$25="Sub")*N(Labor!$O$6:$O$25)))+SUMIFS(ODCs!$F$5:$F$22,ODCs!$D$5:$D$22,Projects!$A$6,ODCs!$E$5:$E$22,2)+SUMIFS(Travel!$F$5:$F$22,Travel!$D$5:$D$22,Projects!$A$6,Travel!$E$5:$E$22,2)+SUMIFS('M&amp;E'!$F$5:$F$22,'M&amp;E'!$D$5:$D$22,Projects!$A$6,'M&amp;E'!$E$5:$E$22,2))*(((SUMPRODUCT((Labor!$G$6:$G$25=Projects!$A$6)*(Labor!$E$6:$E$25="Prime")*N(Labor!$O$6:$O$25))*(1+Rates!$B$6)*(1+Rates!$B$7)+SUMPRODUCT((Labor!$G$6:$G$25=Projects!$A$6)*(Labor!$E$6:$E$25="Sub")*N(Labor!$O$6:$O$25)))+SUMIFS(ODCs!$F$5:$F$22,ODCs!$D$5:$D$22,Projects!$A$6,ODCs!$E$5:$E$22,2)+SUMIFS(Travel!$F$5:$F$22,Travel!$D$5:$D$22,Projects!$A$6,Travel!$E$5:$E$22,2)+SUMIFS('M&amp;E'!$F$5:$F$22,'M&amp;E'!$D$5:$D$22,Projects!$A$6,'M&amp;E'!$E$5:$E$22,2))*Rates!$B$8),0))*Rates!$C$21))</f>
        <v/>
      </c>
      <c r="D17" s="132">
        <f>IF(Projects!$A$6="","",(((SUMPRODUCT((Labor!$G$6:$G$25=Projects!$A$6)*(Labor!$E$6:$E$25="Prime")*N(Labor!$S$6:$S$25))*(1+Rates!$B$6)*(1+Rates!$B$7)+SUMPRODUCT((Labor!$G$6:$G$25=Projects!$A$6)*(Labor!$E$6:$E$25="Sub")*N(Labor!$S$6:$S$25)))+SUMIFS(ODCs!$F$5:$F$22,ODCs!$D$5:$D$22,Projects!$A$6,ODCs!$E$5:$E$22,3)+SUMIFS(Travel!$F$5:$F$22,Travel!$D$5:$D$22,Projects!$A$6,Travel!$E$5:$E$22,3)+SUMIFS('M&amp;E'!$F$5:$F$22,'M&amp;E'!$D$5:$D$22,Projects!$A$6,'M&amp;E'!$E$5:$E$22,3))+(((SUMPRODUCT((Labor!$G$6:$G$25=Projects!$A$6)*(Labor!$E$6:$E$25="Prime")*N(Labor!$S$6:$S$25))*(1+Rates!$B$6)*(1+Rates!$B$7)+SUMPRODUCT((Labor!$G$6:$G$25=Projects!$A$6)*(Labor!$E$6:$E$25="Sub")*N(Labor!$S$6:$S$25)))+SUMIFS(ODCs!$F$5:$F$22,ODCs!$D$5:$D$22,Projects!$A$6,ODCs!$E$5:$E$22,3)+SUMIFS(Travel!$F$5:$F$22,Travel!$D$5:$D$22,Projects!$A$6,Travel!$E$5:$E$22,3)+SUMIFS('M&amp;E'!$F$5:$F$22,'M&amp;E'!$D$5:$D$22,Projects!$A$6,'M&amp;E'!$E$5:$E$22,3))*Rates!$B$8))+((((SUMPRODUCT((Labor!$G$6:$G$25=Projects!$A$6)*(Labor!$E$6:$E$25="Prime")*N(Labor!$S$6:$S$25))*(1+Rates!$B$6)*(1+Rates!$B$7)+SUMPRODUCT((Labor!$G$6:$G$25=Projects!$A$6)*(Labor!$E$6:$E$25="Sub")*N(Labor!$S$6:$S$25))))+IFERROR(((SUMPRODUCT((Labor!$G$6:$G$25=Projects!$A$6)*(Labor!$E$6:$E$25="Prime")*N(Labor!$S$6:$S$25))*(1+Rates!$B$6)*(1+Rates!$B$7)+SUMPRODUCT((Labor!$G$6:$G$25=Projects!$A$6)*(Labor!$E$6:$E$25="Sub")*N(Labor!$S$6:$S$25))))/((SUMPRODUCT((Labor!$G$6:$G$25=Projects!$A$6)*(Labor!$E$6:$E$25="Prime")*N(Labor!$S$6:$S$25))*(1+Rates!$B$6)*(1+Rates!$B$7)+SUMPRODUCT((Labor!$G$6:$G$25=Projects!$A$6)*(Labor!$E$6:$E$25="Sub")*N(Labor!$S$6:$S$25)))+SUMIFS(ODCs!$F$5:$F$22,ODCs!$D$5:$D$22,Projects!$A$6,ODCs!$E$5:$E$22,3)+SUMIFS(Travel!$F$5:$F$22,Travel!$D$5:$D$22,Projects!$A$6,Travel!$E$5:$E$22,3)+SUMIFS('M&amp;E'!$F$5:$F$22,'M&amp;E'!$D$5:$D$22,Projects!$A$6,'M&amp;E'!$E$5:$E$22,3))*(((SUMPRODUCT((Labor!$G$6:$G$25=Projects!$A$6)*(Labor!$E$6:$E$25="Prime")*N(Labor!$S$6:$S$25))*(1+Rates!$B$6)*(1+Rates!$B$7)+SUMPRODUCT((Labor!$G$6:$G$25=Projects!$A$6)*(Labor!$E$6:$E$25="Sub")*N(Labor!$S$6:$S$25)))+SUMIFS(ODCs!$F$5:$F$22,ODCs!$D$5:$D$22,Projects!$A$6,ODCs!$E$5:$E$22,3)+SUMIFS(Travel!$F$5:$F$22,Travel!$D$5:$D$22,Projects!$A$6,Travel!$E$5:$E$22,3)+SUMIFS('M&amp;E'!$F$5:$F$22,'M&amp;E'!$D$5:$D$22,Projects!$A$6,'M&amp;E'!$E$5:$E$22,3))*Rates!$B$8),0))*Rates!$C$18+((SUMIFS(Travel!$F$5:$F$22,Travel!$D$5:$D$22,Projects!$A$6,Travel!$E$5:$E$22,3))+IFERROR((SUMIFS(Travel!$F$5:$F$22,Travel!$D$5:$D$22,Projects!$A$6,Travel!$E$5:$E$22,3))/((SUMPRODUCT((Labor!$G$6:$G$25=Projects!$A$6)*(Labor!$E$6:$E$25="Prime")*N(Labor!$S$6:$S$25))*(1+Rates!$B$6)*(1+Rates!$B$7)+SUMPRODUCT((Labor!$G$6:$G$25=Projects!$A$6)*(Labor!$E$6:$E$25="Sub")*N(Labor!$S$6:$S$25)))+SUMIFS(ODCs!$F$5:$F$22,ODCs!$D$5:$D$22,Projects!$A$6,ODCs!$E$5:$E$22,3)+SUMIFS(Travel!$F$5:$F$22,Travel!$D$5:$D$22,Projects!$A$6,Travel!$E$5:$E$22,3)+SUMIFS('M&amp;E'!$F$5:$F$22,'M&amp;E'!$D$5:$D$22,Projects!$A$6,'M&amp;E'!$E$5:$E$22,3))*(((SUMPRODUCT((Labor!$G$6:$G$25=Projects!$A$6)*(Labor!$E$6:$E$25="Prime")*N(Labor!$S$6:$S$25))*(1+Rates!$B$6)*(1+Rates!$B$7)+SUMPRODUCT((Labor!$G$6:$G$25=Projects!$A$6)*(Labor!$E$6:$E$25="Sub")*N(Labor!$S$6:$S$25)))+SUMIFS(ODCs!$F$5:$F$22,ODCs!$D$5:$D$22,Projects!$A$6,ODCs!$E$5:$E$22,3)+SUMIFS(Travel!$F$5:$F$22,Travel!$D$5:$D$22,Projects!$A$6,Travel!$E$5:$E$22,3)+SUMIFS('M&amp;E'!$F$5:$F$22,'M&amp;E'!$D$5:$D$22,Projects!$A$6,'M&amp;E'!$E$5:$E$22,3))*Rates!$B$8),0))*Rates!$C$19+((SUMIFS(ODCs!$F$5:$F$22,ODCs!$D$5:$D$22,Projects!$A$6,ODCs!$E$5:$E$22,3))+IFERROR((SUMIFS(ODCs!$F$5:$F$22,ODCs!$D$5:$D$22,Projects!$A$6,ODCs!$E$5:$E$22,3))/((SUMPRODUCT((Labor!$G$6:$G$25=Projects!$A$6)*(Labor!$E$6:$E$25="Prime")*N(Labor!$S$6:$S$25))*(1+Rates!$B$6)*(1+Rates!$B$7)+SUMPRODUCT((Labor!$G$6:$G$25=Projects!$A$6)*(Labor!$E$6:$E$25="Sub")*N(Labor!$S$6:$S$25)))+SUMIFS(ODCs!$F$5:$F$22,ODCs!$D$5:$D$22,Projects!$A$6,ODCs!$E$5:$E$22,3)+SUMIFS(Travel!$F$5:$F$22,Travel!$D$5:$D$22,Projects!$A$6,Travel!$E$5:$E$22,3)+SUMIFS('M&amp;E'!$F$5:$F$22,'M&amp;E'!$D$5:$D$22,Projects!$A$6,'M&amp;E'!$E$5:$E$22,3))*(((SUMPRODUCT((Labor!$G$6:$G$25=Projects!$A$6)*(Labor!$E$6:$E$25="Prime")*N(Labor!$S$6:$S$25))*(1+Rates!$B$6)*(1+Rates!$B$7)+SUMPRODUCT((Labor!$G$6:$G$25=Projects!$A$6)*(Labor!$E$6:$E$25="Sub")*N(Labor!$S$6:$S$25)))+SUMIFS(ODCs!$F$5:$F$22,ODCs!$D$5:$D$22,Projects!$A$6,ODCs!$E$5:$E$22,3)+SUMIFS(Travel!$F$5:$F$22,Travel!$D$5:$D$22,Projects!$A$6,Travel!$E$5:$E$22,3)+SUMIFS('M&amp;E'!$F$5:$F$22,'M&amp;E'!$D$5:$D$22,Projects!$A$6,'M&amp;E'!$E$5:$E$22,3))*Rates!$B$8),0))*Rates!$C$20+((SUMIFS('M&amp;E'!$F$5:$F$22,'M&amp;E'!$D$5:$D$22,Projects!$A$6,'M&amp;E'!$E$5:$E$22,3))+IFERROR((SUMIFS('M&amp;E'!$F$5:$F$22,'M&amp;E'!$D$5:$D$22,Projects!$A$6,'M&amp;E'!$E$5:$E$22,3))/((SUMPRODUCT((Labor!$G$6:$G$25=Projects!$A$6)*(Labor!$E$6:$E$25="Prime")*N(Labor!$S$6:$S$25))*(1+Rates!$B$6)*(1+Rates!$B$7)+SUMPRODUCT((Labor!$G$6:$G$25=Projects!$A$6)*(Labor!$E$6:$E$25="Sub")*N(Labor!$S$6:$S$25)))+SUMIFS(ODCs!$F$5:$F$22,ODCs!$D$5:$D$22,Projects!$A$6,ODCs!$E$5:$E$22,3)+SUMIFS(Travel!$F$5:$F$22,Travel!$D$5:$D$22,Projects!$A$6,Travel!$E$5:$E$22,3)+SUMIFS('M&amp;E'!$F$5:$F$22,'M&amp;E'!$D$5:$D$22,Projects!$A$6,'M&amp;E'!$E$5:$E$22,3))*(((SUMPRODUCT((Labor!$G$6:$G$25=Projects!$A$6)*(Labor!$E$6:$E$25="Prime")*N(Labor!$S$6:$S$25))*(1+Rates!$B$6)*(1+Rates!$B$7)+SUMPRODUCT((Labor!$G$6:$G$25=Projects!$A$6)*(Labor!$E$6:$E$25="Sub")*N(Labor!$S$6:$S$25)))+SUMIFS(ODCs!$F$5:$F$22,ODCs!$D$5:$D$22,Projects!$A$6,ODCs!$E$5:$E$22,3)+SUMIFS(Travel!$F$5:$F$22,Travel!$D$5:$D$22,Projects!$A$6,Travel!$E$5:$E$22,3)+SUMIFS('M&amp;E'!$F$5:$F$22,'M&amp;E'!$D$5:$D$22,Projects!$A$6,'M&amp;E'!$E$5:$E$22,3))*Rates!$B$8),0))*Rates!$C$21))</f>
        <v/>
      </c>
      <c r="E17" s="132">
        <f>IF(Projects!$A$6="","",(((SUMPRODUCT((Labor!$G$6:$G$25=Projects!$A$6)*(Labor!$E$6:$E$25="Prime")*N(Labor!$W$6:$W$25))*(1+Rates!$B$6)*(1+Rates!$B$7)+SUMPRODUCT((Labor!$G$6:$G$25=Projects!$A$6)*(Labor!$E$6:$E$25="Sub")*N(Labor!$W$6:$W$25)))+SUMIFS(ODCs!$F$5:$F$22,ODCs!$D$5:$D$22,Projects!$A$6,ODCs!$E$5:$E$22,4)+SUMIFS(Travel!$F$5:$F$22,Travel!$D$5:$D$22,Projects!$A$6,Travel!$E$5:$E$22,4)+SUMIFS('M&amp;E'!$F$5:$F$22,'M&amp;E'!$D$5:$D$22,Projects!$A$6,'M&amp;E'!$E$5:$E$22,4))+(((SUMPRODUCT((Labor!$G$6:$G$25=Projects!$A$6)*(Labor!$E$6:$E$25="Prime")*N(Labor!$W$6:$W$25))*(1+Rates!$B$6)*(1+Rates!$B$7)+SUMPRODUCT((Labor!$G$6:$G$25=Projects!$A$6)*(Labor!$E$6:$E$25="Sub")*N(Labor!$W$6:$W$25)))+SUMIFS(ODCs!$F$5:$F$22,ODCs!$D$5:$D$22,Projects!$A$6,ODCs!$E$5:$E$22,4)+SUMIFS(Travel!$F$5:$F$22,Travel!$D$5:$D$22,Projects!$A$6,Travel!$E$5:$E$22,4)+SUMIFS('M&amp;E'!$F$5:$F$22,'M&amp;E'!$D$5:$D$22,Projects!$A$6,'M&amp;E'!$E$5:$E$22,4))*Rates!$B$8))+((((SUMPRODUCT((Labor!$G$6:$G$25=Projects!$A$6)*(Labor!$E$6:$E$25="Prime")*N(Labor!$W$6:$W$25))*(1+Rates!$B$6)*(1+Rates!$B$7)+SUMPRODUCT((Labor!$G$6:$G$25=Projects!$A$6)*(Labor!$E$6:$E$25="Sub")*N(Labor!$W$6:$W$25))))+IFERROR(((SUMPRODUCT((Labor!$G$6:$G$25=Projects!$A$6)*(Labor!$E$6:$E$25="Prime")*N(Labor!$W$6:$W$25))*(1+Rates!$B$6)*(1+Rates!$B$7)+SUMPRODUCT((Labor!$G$6:$G$25=Projects!$A$6)*(Labor!$E$6:$E$25="Sub")*N(Labor!$W$6:$W$25))))/((SUMPRODUCT((Labor!$G$6:$G$25=Projects!$A$6)*(Labor!$E$6:$E$25="Prime")*N(Labor!$W$6:$W$25))*(1+Rates!$B$6)*(1+Rates!$B$7)+SUMPRODUCT((Labor!$G$6:$G$25=Projects!$A$6)*(Labor!$E$6:$E$25="Sub")*N(Labor!$W$6:$W$25)))+SUMIFS(ODCs!$F$5:$F$22,ODCs!$D$5:$D$22,Projects!$A$6,ODCs!$E$5:$E$22,4)+SUMIFS(Travel!$F$5:$F$22,Travel!$D$5:$D$22,Projects!$A$6,Travel!$E$5:$E$22,4)+SUMIFS('M&amp;E'!$F$5:$F$22,'M&amp;E'!$D$5:$D$22,Projects!$A$6,'M&amp;E'!$E$5:$E$22,4))*(((SUMPRODUCT((Labor!$G$6:$G$25=Projects!$A$6)*(Labor!$E$6:$E$25="Prime")*N(Labor!$W$6:$W$25))*(1+Rates!$B$6)*(1+Rates!$B$7)+SUMPRODUCT((Labor!$G$6:$G$25=Projects!$A$6)*(Labor!$E$6:$E$25="Sub")*N(Labor!$W$6:$W$25)))+SUMIFS(ODCs!$F$5:$F$22,ODCs!$D$5:$D$22,Projects!$A$6,ODCs!$E$5:$E$22,4)+SUMIFS(Travel!$F$5:$F$22,Travel!$D$5:$D$22,Projects!$A$6,Travel!$E$5:$E$22,4)+SUMIFS('M&amp;E'!$F$5:$F$22,'M&amp;E'!$D$5:$D$22,Projects!$A$6,'M&amp;E'!$E$5:$E$22,4))*Rates!$B$8),0))*Rates!$C$18+((SUMIFS(Travel!$F$5:$F$22,Travel!$D$5:$D$22,Projects!$A$6,Travel!$E$5:$E$22,4))+IFERROR((SUMIFS(Travel!$F$5:$F$22,Travel!$D$5:$D$22,Projects!$A$6,Travel!$E$5:$E$22,4))/((SUMPRODUCT((Labor!$G$6:$G$25=Projects!$A$6)*(Labor!$E$6:$E$25="Prime")*N(Labor!$W$6:$W$25))*(1+Rates!$B$6)*(1+Rates!$B$7)+SUMPRODUCT((Labor!$G$6:$G$25=Projects!$A$6)*(Labor!$E$6:$E$25="Sub")*N(Labor!$W$6:$W$25)))+SUMIFS(ODCs!$F$5:$F$22,ODCs!$D$5:$D$22,Projects!$A$6,ODCs!$E$5:$E$22,4)+SUMIFS(Travel!$F$5:$F$22,Travel!$D$5:$D$22,Projects!$A$6,Travel!$E$5:$E$22,4)+SUMIFS('M&amp;E'!$F$5:$F$22,'M&amp;E'!$D$5:$D$22,Projects!$A$6,'M&amp;E'!$E$5:$E$22,4))*(((SUMPRODUCT((Labor!$G$6:$G$25=Projects!$A$6)*(Labor!$E$6:$E$25="Prime")*N(Labor!$W$6:$W$25))*(1+Rates!$B$6)*(1+Rates!$B$7)+SUMPRODUCT((Labor!$G$6:$G$25=Projects!$A$6)*(Labor!$E$6:$E$25="Sub")*N(Labor!$W$6:$W$25)))+SUMIFS(ODCs!$F$5:$F$22,ODCs!$D$5:$D$22,Projects!$A$6,ODCs!$E$5:$E$22,4)+SUMIFS(Travel!$F$5:$F$22,Travel!$D$5:$D$22,Projects!$A$6,Travel!$E$5:$E$22,4)+SUMIFS('M&amp;E'!$F$5:$F$22,'M&amp;E'!$D$5:$D$22,Projects!$A$6,'M&amp;E'!$E$5:$E$22,4))*Rates!$B$8),0))*Rates!$C$19+((SUMIFS(ODCs!$F$5:$F$22,ODCs!$D$5:$D$22,Projects!$A$6,ODCs!$E$5:$E$22,4))+IFERROR((SUMIFS(ODCs!$F$5:$F$22,ODCs!$D$5:$D$22,Projects!$A$6,ODCs!$E$5:$E$22,4))/((SUMPRODUCT((Labor!$G$6:$G$25=Projects!$A$6)*(Labor!$E$6:$E$25="Prime")*N(Labor!$W$6:$W$25))*(1+Rates!$B$6)*(1+Rates!$B$7)+SUMPRODUCT((Labor!$G$6:$G$25=Projects!$A$6)*(Labor!$E$6:$E$25="Sub")*N(Labor!$W$6:$W$25)))+SUMIFS(ODCs!$F$5:$F$22,ODCs!$D$5:$D$22,Projects!$A$6,ODCs!$E$5:$E$22,4)+SUMIFS(Travel!$F$5:$F$22,Travel!$D$5:$D$22,Projects!$A$6,Travel!$E$5:$E$22,4)+SUMIFS('M&amp;E'!$F$5:$F$22,'M&amp;E'!$D$5:$D$22,Projects!$A$6,'M&amp;E'!$E$5:$E$22,4))*(((SUMPRODUCT((Labor!$G$6:$G$25=Projects!$A$6)*(Labor!$E$6:$E$25="Prime")*N(Labor!$W$6:$W$25))*(1+Rates!$B$6)*(1+Rates!$B$7)+SUMPRODUCT((Labor!$G$6:$G$25=Projects!$A$6)*(Labor!$E$6:$E$25="Sub")*N(Labor!$W$6:$W$25)))+SUMIFS(ODCs!$F$5:$F$22,ODCs!$D$5:$D$22,Projects!$A$6,ODCs!$E$5:$E$22,4)+SUMIFS(Travel!$F$5:$F$22,Travel!$D$5:$D$22,Projects!$A$6,Travel!$E$5:$E$22,4)+SUMIFS('M&amp;E'!$F$5:$F$22,'M&amp;E'!$D$5:$D$22,Projects!$A$6,'M&amp;E'!$E$5:$E$22,4))*Rates!$B$8),0))*Rates!$C$20+((SUMIFS('M&amp;E'!$F$5:$F$22,'M&amp;E'!$D$5:$D$22,Projects!$A$6,'M&amp;E'!$E$5:$E$22,4))+IFERROR((SUMIFS('M&amp;E'!$F$5:$F$22,'M&amp;E'!$D$5:$D$22,Projects!$A$6,'M&amp;E'!$E$5:$E$22,4))/((SUMPRODUCT((Labor!$G$6:$G$25=Projects!$A$6)*(Labor!$E$6:$E$25="Prime")*N(Labor!$W$6:$W$25))*(1+Rates!$B$6)*(1+Rates!$B$7)+SUMPRODUCT((Labor!$G$6:$G$25=Projects!$A$6)*(Labor!$E$6:$E$25="Sub")*N(Labor!$W$6:$W$25)))+SUMIFS(ODCs!$F$5:$F$22,ODCs!$D$5:$D$22,Projects!$A$6,ODCs!$E$5:$E$22,4)+SUMIFS(Travel!$F$5:$F$22,Travel!$D$5:$D$22,Projects!$A$6,Travel!$E$5:$E$22,4)+SUMIFS('M&amp;E'!$F$5:$F$22,'M&amp;E'!$D$5:$D$22,Projects!$A$6,'M&amp;E'!$E$5:$E$22,4))*(((SUMPRODUCT((Labor!$G$6:$G$25=Projects!$A$6)*(Labor!$E$6:$E$25="Prime")*N(Labor!$W$6:$W$25))*(1+Rates!$B$6)*(1+Rates!$B$7)+SUMPRODUCT((Labor!$G$6:$G$25=Projects!$A$6)*(Labor!$E$6:$E$25="Sub")*N(Labor!$W$6:$W$25)))+SUMIFS(ODCs!$F$5:$F$22,ODCs!$D$5:$D$22,Projects!$A$6,ODCs!$E$5:$E$22,4)+SUMIFS(Travel!$F$5:$F$22,Travel!$D$5:$D$22,Projects!$A$6,Travel!$E$5:$E$22,4)+SUMIFS('M&amp;E'!$F$5:$F$22,'M&amp;E'!$D$5:$D$22,Projects!$A$6,'M&amp;E'!$E$5:$E$22,4))*Rates!$B$8),0))*Rates!$C$21))</f>
        <v/>
      </c>
      <c r="F17" s="132">
        <f>IF(Projects!$A$6="","",(((SUMPRODUCT((Labor!$G$6:$G$25=Projects!$A$6)*(Labor!$E$6:$E$25="Prime")*N(Labor!$AA$6:$AA$25))*(1+Rates!$B$6)*(1+Rates!$B$7)+SUMPRODUCT((Labor!$G$6:$G$25=Projects!$A$6)*(Labor!$E$6:$E$25="Sub")*N(Labor!$AA$6:$AA$25)))+SUMIFS(ODCs!$F$5:$F$22,ODCs!$D$5:$D$22,Projects!$A$6,ODCs!$E$5:$E$22,5)+SUMIFS(Travel!$F$5:$F$22,Travel!$D$5:$D$22,Projects!$A$6,Travel!$E$5:$E$22,5)+SUMIFS('M&amp;E'!$F$5:$F$22,'M&amp;E'!$D$5:$D$22,Projects!$A$6,'M&amp;E'!$E$5:$E$22,5))+(((SUMPRODUCT((Labor!$G$6:$G$25=Projects!$A$6)*(Labor!$E$6:$E$25="Prime")*N(Labor!$AA$6:$AA$25))*(1+Rates!$B$6)*(1+Rates!$B$7)+SUMPRODUCT((Labor!$G$6:$G$25=Projects!$A$6)*(Labor!$E$6:$E$25="Sub")*N(Labor!$AA$6:$AA$25)))+SUMIFS(ODCs!$F$5:$F$22,ODCs!$D$5:$D$22,Projects!$A$6,ODCs!$E$5:$E$22,5)+SUMIFS(Travel!$F$5:$F$22,Travel!$D$5:$D$22,Projects!$A$6,Travel!$E$5:$E$22,5)+SUMIFS('M&amp;E'!$F$5:$F$22,'M&amp;E'!$D$5:$D$22,Projects!$A$6,'M&amp;E'!$E$5:$E$22,5))*Rates!$B$8))+((((SUMPRODUCT((Labor!$G$6:$G$25=Projects!$A$6)*(Labor!$E$6:$E$25="Prime")*N(Labor!$AA$6:$AA$25))*(1+Rates!$B$6)*(1+Rates!$B$7)+SUMPRODUCT((Labor!$G$6:$G$25=Projects!$A$6)*(Labor!$E$6:$E$25="Sub")*N(Labor!$AA$6:$AA$25))))+IFERROR(((SUMPRODUCT((Labor!$G$6:$G$25=Projects!$A$6)*(Labor!$E$6:$E$25="Prime")*N(Labor!$AA$6:$AA$25))*(1+Rates!$B$6)*(1+Rates!$B$7)+SUMPRODUCT((Labor!$G$6:$G$25=Projects!$A$6)*(Labor!$E$6:$E$25="Sub")*N(Labor!$AA$6:$AA$25))))/((SUMPRODUCT((Labor!$G$6:$G$25=Projects!$A$6)*(Labor!$E$6:$E$25="Prime")*N(Labor!$AA$6:$AA$25))*(1+Rates!$B$6)*(1+Rates!$B$7)+SUMPRODUCT((Labor!$G$6:$G$25=Projects!$A$6)*(Labor!$E$6:$E$25="Sub")*N(Labor!$AA$6:$AA$25)))+SUMIFS(ODCs!$F$5:$F$22,ODCs!$D$5:$D$22,Projects!$A$6,ODCs!$E$5:$E$22,5)+SUMIFS(Travel!$F$5:$F$22,Travel!$D$5:$D$22,Projects!$A$6,Travel!$E$5:$E$22,5)+SUMIFS('M&amp;E'!$F$5:$F$22,'M&amp;E'!$D$5:$D$22,Projects!$A$6,'M&amp;E'!$E$5:$E$22,5))*(((SUMPRODUCT((Labor!$G$6:$G$25=Projects!$A$6)*(Labor!$E$6:$E$25="Prime")*N(Labor!$AA$6:$AA$25))*(1+Rates!$B$6)*(1+Rates!$B$7)+SUMPRODUCT((Labor!$G$6:$G$25=Projects!$A$6)*(Labor!$E$6:$E$25="Sub")*N(Labor!$AA$6:$AA$25)))+SUMIFS(ODCs!$F$5:$F$22,ODCs!$D$5:$D$22,Projects!$A$6,ODCs!$E$5:$E$22,5)+SUMIFS(Travel!$F$5:$F$22,Travel!$D$5:$D$22,Projects!$A$6,Travel!$E$5:$E$22,5)+SUMIFS('M&amp;E'!$F$5:$F$22,'M&amp;E'!$D$5:$D$22,Projects!$A$6,'M&amp;E'!$E$5:$E$22,5))*Rates!$B$8),0))*Rates!$C$18+((SUMIFS(Travel!$F$5:$F$22,Travel!$D$5:$D$22,Projects!$A$6,Travel!$E$5:$E$22,5))+IFERROR((SUMIFS(Travel!$F$5:$F$22,Travel!$D$5:$D$22,Projects!$A$6,Travel!$E$5:$E$22,5))/((SUMPRODUCT((Labor!$G$6:$G$25=Projects!$A$6)*(Labor!$E$6:$E$25="Prime")*N(Labor!$AA$6:$AA$25))*(1+Rates!$B$6)*(1+Rates!$B$7)+SUMPRODUCT((Labor!$G$6:$G$25=Projects!$A$6)*(Labor!$E$6:$E$25="Sub")*N(Labor!$AA$6:$AA$25)))+SUMIFS(ODCs!$F$5:$F$22,ODCs!$D$5:$D$22,Projects!$A$6,ODCs!$E$5:$E$22,5)+SUMIFS(Travel!$F$5:$F$22,Travel!$D$5:$D$22,Projects!$A$6,Travel!$E$5:$E$22,5)+SUMIFS('M&amp;E'!$F$5:$F$22,'M&amp;E'!$D$5:$D$22,Projects!$A$6,'M&amp;E'!$E$5:$E$22,5))*(((SUMPRODUCT((Labor!$G$6:$G$25=Projects!$A$6)*(Labor!$E$6:$E$25="Prime")*N(Labor!$AA$6:$AA$25))*(1+Rates!$B$6)*(1+Rates!$B$7)+SUMPRODUCT((Labor!$G$6:$G$25=Projects!$A$6)*(Labor!$E$6:$E$25="Sub")*N(Labor!$AA$6:$AA$25)))+SUMIFS(ODCs!$F$5:$F$22,ODCs!$D$5:$D$22,Projects!$A$6,ODCs!$E$5:$E$22,5)+SUMIFS(Travel!$F$5:$F$22,Travel!$D$5:$D$22,Projects!$A$6,Travel!$E$5:$E$22,5)+SUMIFS('M&amp;E'!$F$5:$F$22,'M&amp;E'!$D$5:$D$22,Projects!$A$6,'M&amp;E'!$E$5:$E$22,5))*Rates!$B$8),0))*Rates!$C$19+((SUMIFS(ODCs!$F$5:$F$22,ODCs!$D$5:$D$22,Projects!$A$6,ODCs!$E$5:$E$22,5))+IFERROR((SUMIFS(ODCs!$F$5:$F$22,ODCs!$D$5:$D$22,Projects!$A$6,ODCs!$E$5:$E$22,5))/((SUMPRODUCT((Labor!$G$6:$G$25=Projects!$A$6)*(Labor!$E$6:$E$25="Prime")*N(Labor!$AA$6:$AA$25))*(1+Rates!$B$6)*(1+Rates!$B$7)+SUMPRODUCT((Labor!$G$6:$G$25=Projects!$A$6)*(Labor!$E$6:$E$25="Sub")*N(Labor!$AA$6:$AA$25)))+SUMIFS(ODCs!$F$5:$F$22,ODCs!$D$5:$D$22,Projects!$A$6,ODCs!$E$5:$E$22,5)+SUMIFS(Travel!$F$5:$F$22,Travel!$D$5:$D$22,Projects!$A$6,Travel!$E$5:$E$22,5)+SUMIFS('M&amp;E'!$F$5:$F$22,'M&amp;E'!$D$5:$D$22,Projects!$A$6,'M&amp;E'!$E$5:$E$22,5))*(((SUMPRODUCT((Labor!$G$6:$G$25=Projects!$A$6)*(Labor!$E$6:$E$25="Prime")*N(Labor!$AA$6:$AA$25))*(1+Rates!$B$6)*(1+Rates!$B$7)+SUMPRODUCT((Labor!$G$6:$G$25=Projects!$A$6)*(Labor!$E$6:$E$25="Sub")*N(Labor!$AA$6:$AA$25)))+SUMIFS(ODCs!$F$5:$F$22,ODCs!$D$5:$D$22,Projects!$A$6,ODCs!$E$5:$E$22,5)+SUMIFS(Travel!$F$5:$F$22,Travel!$D$5:$D$22,Projects!$A$6,Travel!$E$5:$E$22,5)+SUMIFS('M&amp;E'!$F$5:$F$22,'M&amp;E'!$D$5:$D$22,Projects!$A$6,'M&amp;E'!$E$5:$E$22,5))*Rates!$B$8),0))*Rates!$C$20+((SUMIFS('M&amp;E'!$F$5:$F$22,'M&amp;E'!$D$5:$D$22,Projects!$A$6,'M&amp;E'!$E$5:$E$22,5))+IFERROR((SUMIFS('M&amp;E'!$F$5:$F$22,'M&amp;E'!$D$5:$D$22,Projects!$A$6,'M&amp;E'!$E$5:$E$22,5))/((SUMPRODUCT((Labor!$G$6:$G$25=Projects!$A$6)*(Labor!$E$6:$E$25="Prime")*N(Labor!$AA$6:$AA$25))*(1+Rates!$B$6)*(1+Rates!$B$7)+SUMPRODUCT((Labor!$G$6:$G$25=Projects!$A$6)*(Labor!$E$6:$E$25="Sub")*N(Labor!$AA$6:$AA$25)))+SUMIFS(ODCs!$F$5:$F$22,ODCs!$D$5:$D$22,Projects!$A$6,ODCs!$E$5:$E$22,5)+SUMIFS(Travel!$F$5:$F$22,Travel!$D$5:$D$22,Projects!$A$6,Travel!$E$5:$E$22,5)+SUMIFS('M&amp;E'!$F$5:$F$22,'M&amp;E'!$D$5:$D$22,Projects!$A$6,'M&amp;E'!$E$5:$E$22,5))*(((SUMPRODUCT((Labor!$G$6:$G$25=Projects!$A$6)*(Labor!$E$6:$E$25="Prime")*N(Labor!$AA$6:$AA$25))*(1+Rates!$B$6)*(1+Rates!$B$7)+SUMPRODUCT((Labor!$G$6:$G$25=Projects!$A$6)*(Labor!$E$6:$E$25="Sub")*N(Labor!$AA$6:$AA$25)))+SUMIFS(ODCs!$F$5:$F$22,ODCs!$D$5:$D$22,Projects!$A$6,ODCs!$E$5:$E$22,5)+SUMIFS(Travel!$F$5:$F$22,Travel!$D$5:$D$22,Projects!$A$6,Travel!$E$5:$E$22,5)+SUMIFS('M&amp;E'!$F$5:$F$22,'M&amp;E'!$D$5:$D$22,Projects!$A$6,'M&amp;E'!$E$5:$E$22,5))*Rates!$B$8),0))*Rates!$C$21))</f>
        <v/>
      </c>
      <c r="G17" s="132">
        <f>IF(Projects!$A$6="","",(((SUMPRODUCT((Labor!$G$6:$G$25=Projects!$A$6)*(Labor!$E$6:$E$25="Prime")*N(Labor!$AE$6:$AE$25))*(1+Rates!$B$6)*(1+Rates!$B$7)+SUMPRODUCT((Labor!$G$6:$G$25=Projects!$A$6)*(Labor!$E$6:$E$25="Sub")*N(Labor!$AE$6:$AE$25)))+SUMIFS(ODCs!$F$5:$F$22,ODCs!$D$5:$D$22,Projects!$A$6,ODCs!$E$5:$E$22,6)+SUMIFS(Travel!$F$5:$F$22,Travel!$D$5:$D$22,Projects!$A$6,Travel!$E$5:$E$22,6)+SUMIFS('M&amp;E'!$F$5:$F$22,'M&amp;E'!$D$5:$D$22,Projects!$A$6,'M&amp;E'!$E$5:$E$22,6))+(((SUMPRODUCT((Labor!$G$6:$G$25=Projects!$A$6)*(Labor!$E$6:$E$25="Prime")*N(Labor!$AE$6:$AE$25))*(1+Rates!$B$6)*(1+Rates!$B$7)+SUMPRODUCT((Labor!$G$6:$G$25=Projects!$A$6)*(Labor!$E$6:$E$25="Sub")*N(Labor!$AE$6:$AE$25)))+SUMIFS(ODCs!$F$5:$F$22,ODCs!$D$5:$D$22,Projects!$A$6,ODCs!$E$5:$E$22,6)+SUMIFS(Travel!$F$5:$F$22,Travel!$D$5:$D$22,Projects!$A$6,Travel!$E$5:$E$22,6)+SUMIFS('M&amp;E'!$F$5:$F$22,'M&amp;E'!$D$5:$D$22,Projects!$A$6,'M&amp;E'!$E$5:$E$22,6))*Rates!$B$8))+((((SUMPRODUCT((Labor!$G$6:$G$25=Projects!$A$6)*(Labor!$E$6:$E$25="Prime")*N(Labor!$AE$6:$AE$25))*(1+Rates!$B$6)*(1+Rates!$B$7)+SUMPRODUCT((Labor!$G$6:$G$25=Projects!$A$6)*(Labor!$E$6:$E$25="Sub")*N(Labor!$AE$6:$AE$25))))+IFERROR(((SUMPRODUCT((Labor!$G$6:$G$25=Projects!$A$6)*(Labor!$E$6:$E$25="Prime")*N(Labor!$AE$6:$AE$25))*(1+Rates!$B$6)*(1+Rates!$B$7)+SUMPRODUCT((Labor!$G$6:$G$25=Projects!$A$6)*(Labor!$E$6:$E$25="Sub")*N(Labor!$AE$6:$AE$25))))/((SUMPRODUCT((Labor!$G$6:$G$25=Projects!$A$6)*(Labor!$E$6:$E$25="Prime")*N(Labor!$AE$6:$AE$25))*(1+Rates!$B$6)*(1+Rates!$B$7)+SUMPRODUCT((Labor!$G$6:$G$25=Projects!$A$6)*(Labor!$E$6:$E$25="Sub")*N(Labor!$AE$6:$AE$25)))+SUMIFS(ODCs!$F$5:$F$22,ODCs!$D$5:$D$22,Projects!$A$6,ODCs!$E$5:$E$22,6)+SUMIFS(Travel!$F$5:$F$22,Travel!$D$5:$D$22,Projects!$A$6,Travel!$E$5:$E$22,6)+SUMIFS('M&amp;E'!$F$5:$F$22,'M&amp;E'!$D$5:$D$22,Projects!$A$6,'M&amp;E'!$E$5:$E$22,6))*(((SUMPRODUCT((Labor!$G$6:$G$25=Projects!$A$6)*(Labor!$E$6:$E$25="Prime")*N(Labor!$AE$6:$AE$25))*(1+Rates!$B$6)*(1+Rates!$B$7)+SUMPRODUCT((Labor!$G$6:$G$25=Projects!$A$6)*(Labor!$E$6:$E$25="Sub")*N(Labor!$AE$6:$AE$25)))+SUMIFS(ODCs!$F$5:$F$22,ODCs!$D$5:$D$22,Projects!$A$6,ODCs!$E$5:$E$22,6)+SUMIFS(Travel!$F$5:$F$22,Travel!$D$5:$D$22,Projects!$A$6,Travel!$E$5:$E$22,6)+SUMIFS('M&amp;E'!$F$5:$F$22,'M&amp;E'!$D$5:$D$22,Projects!$A$6,'M&amp;E'!$E$5:$E$22,6))*Rates!$B$8),0))*Rates!$C$18+((SUMIFS(Travel!$F$5:$F$22,Travel!$D$5:$D$22,Projects!$A$6,Travel!$E$5:$E$22,6))+IFERROR((SUMIFS(Travel!$F$5:$F$22,Travel!$D$5:$D$22,Projects!$A$6,Travel!$E$5:$E$22,6))/((SUMPRODUCT((Labor!$G$6:$G$25=Projects!$A$6)*(Labor!$E$6:$E$25="Prime")*N(Labor!$AE$6:$AE$25))*(1+Rates!$B$6)*(1+Rates!$B$7)+SUMPRODUCT((Labor!$G$6:$G$25=Projects!$A$6)*(Labor!$E$6:$E$25="Sub")*N(Labor!$AE$6:$AE$25)))+SUMIFS(ODCs!$F$5:$F$22,ODCs!$D$5:$D$22,Projects!$A$6,ODCs!$E$5:$E$22,6)+SUMIFS(Travel!$F$5:$F$22,Travel!$D$5:$D$22,Projects!$A$6,Travel!$E$5:$E$22,6)+SUMIFS('M&amp;E'!$F$5:$F$22,'M&amp;E'!$D$5:$D$22,Projects!$A$6,'M&amp;E'!$E$5:$E$22,6))*(((SUMPRODUCT((Labor!$G$6:$G$25=Projects!$A$6)*(Labor!$E$6:$E$25="Prime")*N(Labor!$AE$6:$AE$25))*(1+Rates!$B$6)*(1+Rates!$B$7)+SUMPRODUCT((Labor!$G$6:$G$25=Projects!$A$6)*(Labor!$E$6:$E$25="Sub")*N(Labor!$AE$6:$AE$25)))+SUMIFS(ODCs!$F$5:$F$22,ODCs!$D$5:$D$22,Projects!$A$6,ODCs!$E$5:$E$22,6)+SUMIFS(Travel!$F$5:$F$22,Travel!$D$5:$D$22,Projects!$A$6,Travel!$E$5:$E$22,6)+SUMIFS('M&amp;E'!$F$5:$F$22,'M&amp;E'!$D$5:$D$22,Projects!$A$6,'M&amp;E'!$E$5:$E$22,6))*Rates!$B$8),0))*Rates!$C$19+((SUMIFS(ODCs!$F$5:$F$22,ODCs!$D$5:$D$22,Projects!$A$6,ODCs!$E$5:$E$22,6))+IFERROR((SUMIFS(ODCs!$F$5:$F$22,ODCs!$D$5:$D$22,Projects!$A$6,ODCs!$E$5:$E$22,6))/((SUMPRODUCT((Labor!$G$6:$G$25=Projects!$A$6)*(Labor!$E$6:$E$25="Prime")*N(Labor!$AE$6:$AE$25))*(1+Rates!$B$6)*(1+Rates!$B$7)+SUMPRODUCT((Labor!$G$6:$G$25=Projects!$A$6)*(Labor!$E$6:$E$25="Sub")*N(Labor!$AE$6:$AE$25)))+SUMIFS(ODCs!$F$5:$F$22,ODCs!$D$5:$D$22,Projects!$A$6,ODCs!$E$5:$E$22,6)+SUMIFS(Travel!$F$5:$F$22,Travel!$D$5:$D$22,Projects!$A$6,Travel!$E$5:$E$22,6)+SUMIFS('M&amp;E'!$F$5:$F$22,'M&amp;E'!$D$5:$D$22,Projects!$A$6,'M&amp;E'!$E$5:$E$22,6))*(((SUMPRODUCT((Labor!$G$6:$G$25=Projects!$A$6)*(Labor!$E$6:$E$25="Prime")*N(Labor!$AE$6:$AE$25))*(1+Rates!$B$6)*(1+Rates!$B$7)+SUMPRODUCT((Labor!$G$6:$G$25=Projects!$A$6)*(Labor!$E$6:$E$25="Sub")*N(Labor!$AE$6:$AE$25)))+SUMIFS(ODCs!$F$5:$F$22,ODCs!$D$5:$D$22,Projects!$A$6,ODCs!$E$5:$E$22,6)+SUMIFS(Travel!$F$5:$F$22,Travel!$D$5:$D$22,Projects!$A$6,Travel!$E$5:$E$22,6)+SUMIFS('M&amp;E'!$F$5:$F$22,'M&amp;E'!$D$5:$D$22,Projects!$A$6,'M&amp;E'!$E$5:$E$22,6))*Rates!$B$8),0))*Rates!$C$20+((SUMIFS('M&amp;E'!$F$5:$F$22,'M&amp;E'!$D$5:$D$22,Projects!$A$6,'M&amp;E'!$E$5:$E$22,6))+IFERROR((SUMIFS('M&amp;E'!$F$5:$F$22,'M&amp;E'!$D$5:$D$22,Projects!$A$6,'M&amp;E'!$E$5:$E$22,6))/((SUMPRODUCT((Labor!$G$6:$G$25=Projects!$A$6)*(Labor!$E$6:$E$25="Prime")*N(Labor!$AE$6:$AE$25))*(1+Rates!$B$6)*(1+Rates!$B$7)+SUMPRODUCT((Labor!$G$6:$G$25=Projects!$A$6)*(Labor!$E$6:$E$25="Sub")*N(Labor!$AE$6:$AE$25)))+SUMIFS(ODCs!$F$5:$F$22,ODCs!$D$5:$D$22,Projects!$A$6,ODCs!$E$5:$E$22,6)+SUMIFS(Travel!$F$5:$F$22,Travel!$D$5:$D$22,Projects!$A$6,Travel!$E$5:$E$22,6)+SUMIFS('M&amp;E'!$F$5:$F$22,'M&amp;E'!$D$5:$D$22,Projects!$A$6,'M&amp;E'!$E$5:$E$22,6))*(((SUMPRODUCT((Labor!$G$6:$G$25=Projects!$A$6)*(Labor!$E$6:$E$25="Prime")*N(Labor!$AE$6:$AE$25))*(1+Rates!$B$6)*(1+Rates!$B$7)+SUMPRODUCT((Labor!$G$6:$G$25=Projects!$A$6)*(Labor!$E$6:$E$25="Sub")*N(Labor!$AE$6:$AE$25)))+SUMIFS(ODCs!$F$5:$F$22,ODCs!$D$5:$D$22,Projects!$A$6,ODCs!$E$5:$E$22,6)+SUMIFS(Travel!$F$5:$F$22,Travel!$D$5:$D$22,Projects!$A$6,Travel!$E$5:$E$22,6)+SUMIFS('M&amp;E'!$F$5:$F$22,'M&amp;E'!$D$5:$D$22,Projects!$A$6,'M&amp;E'!$E$5:$E$22,6))*Rates!$B$8),0))*Rates!$C$21))</f>
        <v/>
      </c>
      <c r="H17" s="132">
        <f>IF(Projects!$A$6="","",(((SUMPRODUCT((Labor!$G$6:$G$25=Projects!$A$6)*(Labor!$E$6:$E$25="Prime")*N(Labor!$AI$6:$AI$25))*(1+Rates!$B$6)*(1+Rates!$B$7)+SUMPRODUCT((Labor!$G$6:$G$25=Projects!$A$6)*(Labor!$E$6:$E$25="Sub")*N(Labor!$AI$6:$AI$25)))+SUMIFS(ODCs!$F$5:$F$22,ODCs!$D$5:$D$22,Projects!$A$6,ODCs!$E$5:$E$22,7)+SUMIFS(Travel!$F$5:$F$22,Travel!$D$5:$D$22,Projects!$A$6,Travel!$E$5:$E$22,7)+SUMIFS('M&amp;E'!$F$5:$F$22,'M&amp;E'!$D$5:$D$22,Projects!$A$6,'M&amp;E'!$E$5:$E$22,7))+(((SUMPRODUCT((Labor!$G$6:$G$25=Projects!$A$6)*(Labor!$E$6:$E$25="Prime")*N(Labor!$AI$6:$AI$25))*(1+Rates!$B$6)*(1+Rates!$B$7)+SUMPRODUCT((Labor!$G$6:$G$25=Projects!$A$6)*(Labor!$E$6:$E$25="Sub")*N(Labor!$AI$6:$AI$25)))+SUMIFS(ODCs!$F$5:$F$22,ODCs!$D$5:$D$22,Projects!$A$6,ODCs!$E$5:$E$22,7)+SUMIFS(Travel!$F$5:$F$22,Travel!$D$5:$D$22,Projects!$A$6,Travel!$E$5:$E$22,7)+SUMIFS('M&amp;E'!$F$5:$F$22,'M&amp;E'!$D$5:$D$22,Projects!$A$6,'M&amp;E'!$E$5:$E$22,7))*Rates!$B$8))+((((SUMPRODUCT((Labor!$G$6:$G$25=Projects!$A$6)*(Labor!$E$6:$E$25="Prime")*N(Labor!$AI$6:$AI$25))*(1+Rates!$B$6)*(1+Rates!$B$7)+SUMPRODUCT((Labor!$G$6:$G$25=Projects!$A$6)*(Labor!$E$6:$E$25="Sub")*N(Labor!$AI$6:$AI$25))))+IFERROR(((SUMPRODUCT((Labor!$G$6:$G$25=Projects!$A$6)*(Labor!$E$6:$E$25="Prime")*N(Labor!$AI$6:$AI$25))*(1+Rates!$B$6)*(1+Rates!$B$7)+SUMPRODUCT((Labor!$G$6:$G$25=Projects!$A$6)*(Labor!$E$6:$E$25="Sub")*N(Labor!$AI$6:$AI$25))))/((SUMPRODUCT((Labor!$G$6:$G$25=Projects!$A$6)*(Labor!$E$6:$E$25="Prime")*N(Labor!$AI$6:$AI$25))*(1+Rates!$B$6)*(1+Rates!$B$7)+SUMPRODUCT((Labor!$G$6:$G$25=Projects!$A$6)*(Labor!$E$6:$E$25="Sub")*N(Labor!$AI$6:$AI$25)))+SUMIFS(ODCs!$F$5:$F$22,ODCs!$D$5:$D$22,Projects!$A$6,ODCs!$E$5:$E$22,7)+SUMIFS(Travel!$F$5:$F$22,Travel!$D$5:$D$22,Projects!$A$6,Travel!$E$5:$E$22,7)+SUMIFS('M&amp;E'!$F$5:$F$22,'M&amp;E'!$D$5:$D$22,Projects!$A$6,'M&amp;E'!$E$5:$E$22,7))*(((SUMPRODUCT((Labor!$G$6:$G$25=Projects!$A$6)*(Labor!$E$6:$E$25="Prime")*N(Labor!$AI$6:$AI$25))*(1+Rates!$B$6)*(1+Rates!$B$7)+SUMPRODUCT((Labor!$G$6:$G$25=Projects!$A$6)*(Labor!$E$6:$E$25="Sub")*N(Labor!$AI$6:$AI$25)))+SUMIFS(ODCs!$F$5:$F$22,ODCs!$D$5:$D$22,Projects!$A$6,ODCs!$E$5:$E$22,7)+SUMIFS(Travel!$F$5:$F$22,Travel!$D$5:$D$22,Projects!$A$6,Travel!$E$5:$E$22,7)+SUMIFS('M&amp;E'!$F$5:$F$22,'M&amp;E'!$D$5:$D$22,Projects!$A$6,'M&amp;E'!$E$5:$E$22,7))*Rates!$B$8),0))*Rates!$C$18+((SUMIFS(Travel!$F$5:$F$22,Travel!$D$5:$D$22,Projects!$A$6,Travel!$E$5:$E$22,7))+IFERROR((SUMIFS(Travel!$F$5:$F$22,Travel!$D$5:$D$22,Projects!$A$6,Travel!$E$5:$E$22,7))/((SUMPRODUCT((Labor!$G$6:$G$25=Projects!$A$6)*(Labor!$E$6:$E$25="Prime")*N(Labor!$AI$6:$AI$25))*(1+Rates!$B$6)*(1+Rates!$B$7)+SUMPRODUCT((Labor!$G$6:$G$25=Projects!$A$6)*(Labor!$E$6:$E$25="Sub")*N(Labor!$AI$6:$AI$25)))+SUMIFS(ODCs!$F$5:$F$22,ODCs!$D$5:$D$22,Projects!$A$6,ODCs!$E$5:$E$22,7)+SUMIFS(Travel!$F$5:$F$22,Travel!$D$5:$D$22,Projects!$A$6,Travel!$E$5:$E$22,7)+SUMIFS('M&amp;E'!$F$5:$F$22,'M&amp;E'!$D$5:$D$22,Projects!$A$6,'M&amp;E'!$E$5:$E$22,7))*(((SUMPRODUCT((Labor!$G$6:$G$25=Projects!$A$6)*(Labor!$E$6:$E$25="Prime")*N(Labor!$AI$6:$AI$25))*(1+Rates!$B$6)*(1+Rates!$B$7)+SUMPRODUCT((Labor!$G$6:$G$25=Projects!$A$6)*(Labor!$E$6:$E$25="Sub")*N(Labor!$AI$6:$AI$25)))+SUMIFS(ODCs!$F$5:$F$22,ODCs!$D$5:$D$22,Projects!$A$6,ODCs!$E$5:$E$22,7)+SUMIFS(Travel!$F$5:$F$22,Travel!$D$5:$D$22,Projects!$A$6,Travel!$E$5:$E$22,7)+SUMIFS('M&amp;E'!$F$5:$F$22,'M&amp;E'!$D$5:$D$22,Projects!$A$6,'M&amp;E'!$E$5:$E$22,7))*Rates!$B$8),0))*Rates!$C$19+((SUMIFS(ODCs!$F$5:$F$22,ODCs!$D$5:$D$22,Projects!$A$6,ODCs!$E$5:$E$22,7))+IFERROR((SUMIFS(ODCs!$F$5:$F$22,ODCs!$D$5:$D$22,Projects!$A$6,ODCs!$E$5:$E$22,7))/((SUMPRODUCT((Labor!$G$6:$G$25=Projects!$A$6)*(Labor!$E$6:$E$25="Prime")*N(Labor!$AI$6:$AI$25))*(1+Rates!$B$6)*(1+Rates!$B$7)+SUMPRODUCT((Labor!$G$6:$G$25=Projects!$A$6)*(Labor!$E$6:$E$25="Sub")*N(Labor!$AI$6:$AI$25)))+SUMIFS(ODCs!$F$5:$F$22,ODCs!$D$5:$D$22,Projects!$A$6,ODCs!$E$5:$E$22,7)+SUMIFS(Travel!$F$5:$F$22,Travel!$D$5:$D$22,Projects!$A$6,Travel!$E$5:$E$22,7)+SUMIFS('M&amp;E'!$F$5:$F$22,'M&amp;E'!$D$5:$D$22,Projects!$A$6,'M&amp;E'!$E$5:$E$22,7))*(((SUMPRODUCT((Labor!$G$6:$G$25=Projects!$A$6)*(Labor!$E$6:$E$25="Prime")*N(Labor!$AI$6:$AI$25))*(1+Rates!$B$6)*(1+Rates!$B$7)+SUMPRODUCT((Labor!$G$6:$G$25=Projects!$A$6)*(Labor!$E$6:$E$25="Sub")*N(Labor!$AI$6:$AI$25)))+SUMIFS(ODCs!$F$5:$F$22,ODCs!$D$5:$D$22,Projects!$A$6,ODCs!$E$5:$E$22,7)+SUMIFS(Travel!$F$5:$F$22,Travel!$D$5:$D$22,Projects!$A$6,Travel!$E$5:$E$22,7)+SUMIFS('M&amp;E'!$F$5:$F$22,'M&amp;E'!$D$5:$D$22,Projects!$A$6,'M&amp;E'!$E$5:$E$22,7))*Rates!$B$8),0))*Rates!$C$20+((SUMIFS('M&amp;E'!$F$5:$F$22,'M&amp;E'!$D$5:$D$22,Projects!$A$6,'M&amp;E'!$E$5:$E$22,7))+IFERROR((SUMIFS('M&amp;E'!$F$5:$F$22,'M&amp;E'!$D$5:$D$22,Projects!$A$6,'M&amp;E'!$E$5:$E$22,7))/((SUMPRODUCT((Labor!$G$6:$G$25=Projects!$A$6)*(Labor!$E$6:$E$25="Prime")*N(Labor!$AI$6:$AI$25))*(1+Rates!$B$6)*(1+Rates!$B$7)+SUMPRODUCT((Labor!$G$6:$G$25=Projects!$A$6)*(Labor!$E$6:$E$25="Sub")*N(Labor!$AI$6:$AI$25)))+SUMIFS(ODCs!$F$5:$F$22,ODCs!$D$5:$D$22,Projects!$A$6,ODCs!$E$5:$E$22,7)+SUMIFS(Travel!$F$5:$F$22,Travel!$D$5:$D$22,Projects!$A$6,Travel!$E$5:$E$22,7)+SUMIFS('M&amp;E'!$F$5:$F$22,'M&amp;E'!$D$5:$D$22,Projects!$A$6,'M&amp;E'!$E$5:$E$22,7))*(((SUMPRODUCT((Labor!$G$6:$G$25=Projects!$A$6)*(Labor!$E$6:$E$25="Prime")*N(Labor!$AI$6:$AI$25))*(1+Rates!$B$6)*(1+Rates!$B$7)+SUMPRODUCT((Labor!$G$6:$G$25=Projects!$A$6)*(Labor!$E$6:$E$25="Sub")*N(Labor!$AI$6:$AI$25)))+SUMIFS(ODCs!$F$5:$F$22,ODCs!$D$5:$D$22,Projects!$A$6,ODCs!$E$5:$E$22,7)+SUMIFS(Travel!$F$5:$F$22,Travel!$D$5:$D$22,Projects!$A$6,Travel!$E$5:$E$22,7)+SUMIFS('M&amp;E'!$F$5:$F$22,'M&amp;E'!$D$5:$D$22,Projects!$A$6,'M&amp;E'!$E$5:$E$22,7))*Rates!$B$8),0))*Rates!$C$21))</f>
        <v/>
      </c>
      <c r="I17" s="132">
        <f>IF(Projects!$A$6="","",(((SUMPRODUCT((Labor!$G$6:$G$25=Projects!$A$6)*(Labor!$E$6:$E$25="Prime")*N(Labor!$AM$6:$AM$25))*(1+Rates!$B$6)*(1+Rates!$B$7)+SUMPRODUCT((Labor!$G$6:$G$25=Projects!$A$6)*(Labor!$E$6:$E$25="Sub")*N(Labor!$AM$6:$AM$25)))+SUMIFS(ODCs!$F$5:$F$22,ODCs!$D$5:$D$22,Projects!$A$6,ODCs!$E$5:$E$22,8)+SUMIFS(Travel!$F$5:$F$22,Travel!$D$5:$D$22,Projects!$A$6,Travel!$E$5:$E$22,8)+SUMIFS('M&amp;E'!$F$5:$F$22,'M&amp;E'!$D$5:$D$22,Projects!$A$6,'M&amp;E'!$E$5:$E$22,8))+(((SUMPRODUCT((Labor!$G$6:$G$25=Projects!$A$6)*(Labor!$E$6:$E$25="Prime")*N(Labor!$AM$6:$AM$25))*(1+Rates!$B$6)*(1+Rates!$B$7)+SUMPRODUCT((Labor!$G$6:$G$25=Projects!$A$6)*(Labor!$E$6:$E$25="Sub")*N(Labor!$AM$6:$AM$25)))+SUMIFS(ODCs!$F$5:$F$22,ODCs!$D$5:$D$22,Projects!$A$6,ODCs!$E$5:$E$22,8)+SUMIFS(Travel!$F$5:$F$22,Travel!$D$5:$D$22,Projects!$A$6,Travel!$E$5:$E$22,8)+SUMIFS('M&amp;E'!$F$5:$F$22,'M&amp;E'!$D$5:$D$22,Projects!$A$6,'M&amp;E'!$E$5:$E$22,8))*Rates!$B$8))+((((SUMPRODUCT((Labor!$G$6:$G$25=Projects!$A$6)*(Labor!$E$6:$E$25="Prime")*N(Labor!$AM$6:$AM$25))*(1+Rates!$B$6)*(1+Rates!$B$7)+SUMPRODUCT((Labor!$G$6:$G$25=Projects!$A$6)*(Labor!$E$6:$E$25="Sub")*N(Labor!$AM$6:$AM$25))))+IFERROR(((SUMPRODUCT((Labor!$G$6:$G$25=Projects!$A$6)*(Labor!$E$6:$E$25="Prime")*N(Labor!$AM$6:$AM$25))*(1+Rates!$B$6)*(1+Rates!$B$7)+SUMPRODUCT((Labor!$G$6:$G$25=Projects!$A$6)*(Labor!$E$6:$E$25="Sub")*N(Labor!$AM$6:$AM$25))))/((SUMPRODUCT((Labor!$G$6:$G$25=Projects!$A$6)*(Labor!$E$6:$E$25="Prime")*N(Labor!$AM$6:$AM$25))*(1+Rates!$B$6)*(1+Rates!$B$7)+SUMPRODUCT((Labor!$G$6:$G$25=Projects!$A$6)*(Labor!$E$6:$E$25="Sub")*N(Labor!$AM$6:$AM$25)))+SUMIFS(ODCs!$F$5:$F$22,ODCs!$D$5:$D$22,Projects!$A$6,ODCs!$E$5:$E$22,8)+SUMIFS(Travel!$F$5:$F$22,Travel!$D$5:$D$22,Projects!$A$6,Travel!$E$5:$E$22,8)+SUMIFS('M&amp;E'!$F$5:$F$22,'M&amp;E'!$D$5:$D$22,Projects!$A$6,'M&amp;E'!$E$5:$E$22,8))*(((SUMPRODUCT((Labor!$G$6:$G$25=Projects!$A$6)*(Labor!$E$6:$E$25="Prime")*N(Labor!$AM$6:$AM$25))*(1+Rates!$B$6)*(1+Rates!$B$7)+SUMPRODUCT((Labor!$G$6:$G$25=Projects!$A$6)*(Labor!$E$6:$E$25="Sub")*N(Labor!$AM$6:$AM$25)))+SUMIFS(ODCs!$F$5:$F$22,ODCs!$D$5:$D$22,Projects!$A$6,ODCs!$E$5:$E$22,8)+SUMIFS(Travel!$F$5:$F$22,Travel!$D$5:$D$22,Projects!$A$6,Travel!$E$5:$E$22,8)+SUMIFS('M&amp;E'!$F$5:$F$22,'M&amp;E'!$D$5:$D$22,Projects!$A$6,'M&amp;E'!$E$5:$E$22,8))*Rates!$B$8),0))*Rates!$C$18+((SUMIFS(Travel!$F$5:$F$22,Travel!$D$5:$D$22,Projects!$A$6,Travel!$E$5:$E$22,8))+IFERROR((SUMIFS(Travel!$F$5:$F$22,Travel!$D$5:$D$22,Projects!$A$6,Travel!$E$5:$E$22,8))/((SUMPRODUCT((Labor!$G$6:$G$25=Projects!$A$6)*(Labor!$E$6:$E$25="Prime")*N(Labor!$AM$6:$AM$25))*(1+Rates!$B$6)*(1+Rates!$B$7)+SUMPRODUCT((Labor!$G$6:$G$25=Projects!$A$6)*(Labor!$E$6:$E$25="Sub")*N(Labor!$AM$6:$AM$25)))+SUMIFS(ODCs!$F$5:$F$22,ODCs!$D$5:$D$22,Projects!$A$6,ODCs!$E$5:$E$22,8)+SUMIFS(Travel!$F$5:$F$22,Travel!$D$5:$D$22,Projects!$A$6,Travel!$E$5:$E$22,8)+SUMIFS('M&amp;E'!$F$5:$F$22,'M&amp;E'!$D$5:$D$22,Projects!$A$6,'M&amp;E'!$E$5:$E$22,8))*(((SUMPRODUCT((Labor!$G$6:$G$25=Projects!$A$6)*(Labor!$E$6:$E$25="Prime")*N(Labor!$AM$6:$AM$25))*(1+Rates!$B$6)*(1+Rates!$B$7)+SUMPRODUCT((Labor!$G$6:$G$25=Projects!$A$6)*(Labor!$E$6:$E$25="Sub")*N(Labor!$AM$6:$AM$25)))+SUMIFS(ODCs!$F$5:$F$22,ODCs!$D$5:$D$22,Projects!$A$6,ODCs!$E$5:$E$22,8)+SUMIFS(Travel!$F$5:$F$22,Travel!$D$5:$D$22,Projects!$A$6,Travel!$E$5:$E$22,8)+SUMIFS('M&amp;E'!$F$5:$F$22,'M&amp;E'!$D$5:$D$22,Projects!$A$6,'M&amp;E'!$E$5:$E$22,8))*Rates!$B$8),0))*Rates!$C$19+((SUMIFS(ODCs!$F$5:$F$22,ODCs!$D$5:$D$22,Projects!$A$6,ODCs!$E$5:$E$22,8))+IFERROR((SUMIFS(ODCs!$F$5:$F$22,ODCs!$D$5:$D$22,Projects!$A$6,ODCs!$E$5:$E$22,8))/((SUMPRODUCT((Labor!$G$6:$G$25=Projects!$A$6)*(Labor!$E$6:$E$25="Prime")*N(Labor!$AM$6:$AM$25))*(1+Rates!$B$6)*(1+Rates!$B$7)+SUMPRODUCT((Labor!$G$6:$G$25=Projects!$A$6)*(Labor!$E$6:$E$25="Sub")*N(Labor!$AM$6:$AM$25)))+SUMIFS(ODCs!$F$5:$F$22,ODCs!$D$5:$D$22,Projects!$A$6,ODCs!$E$5:$E$22,8)+SUMIFS(Travel!$F$5:$F$22,Travel!$D$5:$D$22,Projects!$A$6,Travel!$E$5:$E$22,8)+SUMIFS('M&amp;E'!$F$5:$F$22,'M&amp;E'!$D$5:$D$22,Projects!$A$6,'M&amp;E'!$E$5:$E$22,8))*(((SUMPRODUCT((Labor!$G$6:$G$25=Projects!$A$6)*(Labor!$E$6:$E$25="Prime")*N(Labor!$AM$6:$AM$25))*(1+Rates!$B$6)*(1+Rates!$B$7)+SUMPRODUCT((Labor!$G$6:$G$25=Projects!$A$6)*(Labor!$E$6:$E$25="Sub")*N(Labor!$AM$6:$AM$25)))+SUMIFS(ODCs!$F$5:$F$22,ODCs!$D$5:$D$22,Projects!$A$6,ODCs!$E$5:$E$22,8)+SUMIFS(Travel!$F$5:$F$22,Travel!$D$5:$D$22,Projects!$A$6,Travel!$E$5:$E$22,8)+SUMIFS('M&amp;E'!$F$5:$F$22,'M&amp;E'!$D$5:$D$22,Projects!$A$6,'M&amp;E'!$E$5:$E$22,8))*Rates!$B$8),0))*Rates!$C$20+((SUMIFS('M&amp;E'!$F$5:$F$22,'M&amp;E'!$D$5:$D$22,Projects!$A$6,'M&amp;E'!$E$5:$E$22,8))+IFERROR((SUMIFS('M&amp;E'!$F$5:$F$22,'M&amp;E'!$D$5:$D$22,Projects!$A$6,'M&amp;E'!$E$5:$E$22,8))/((SUMPRODUCT((Labor!$G$6:$G$25=Projects!$A$6)*(Labor!$E$6:$E$25="Prime")*N(Labor!$AM$6:$AM$25))*(1+Rates!$B$6)*(1+Rates!$B$7)+SUMPRODUCT((Labor!$G$6:$G$25=Projects!$A$6)*(Labor!$E$6:$E$25="Sub")*N(Labor!$AM$6:$AM$25)))+SUMIFS(ODCs!$F$5:$F$22,ODCs!$D$5:$D$22,Projects!$A$6,ODCs!$E$5:$E$22,8)+SUMIFS(Travel!$F$5:$F$22,Travel!$D$5:$D$22,Projects!$A$6,Travel!$E$5:$E$22,8)+SUMIFS('M&amp;E'!$F$5:$F$22,'M&amp;E'!$D$5:$D$22,Projects!$A$6,'M&amp;E'!$E$5:$E$22,8))*(((SUMPRODUCT((Labor!$G$6:$G$25=Projects!$A$6)*(Labor!$E$6:$E$25="Prime")*N(Labor!$AM$6:$AM$25))*(1+Rates!$B$6)*(1+Rates!$B$7)+SUMPRODUCT((Labor!$G$6:$G$25=Projects!$A$6)*(Labor!$E$6:$E$25="Sub")*N(Labor!$AM$6:$AM$25)))+SUMIFS(ODCs!$F$5:$F$22,ODCs!$D$5:$D$22,Projects!$A$6,ODCs!$E$5:$E$22,8)+SUMIFS(Travel!$F$5:$F$22,Travel!$D$5:$D$22,Projects!$A$6,Travel!$E$5:$E$22,8)+SUMIFS('M&amp;E'!$F$5:$F$22,'M&amp;E'!$D$5:$D$22,Projects!$A$6,'M&amp;E'!$E$5:$E$22,8))*Rates!$B$8),0))*Rates!$C$21))</f>
        <v/>
      </c>
      <c r="J17" s="132">
        <f>IF(Projects!$A$6="","",(((SUMPRODUCT((Labor!$G$6:$G$25=Projects!$A$6)*(Labor!$E$6:$E$25="Prime")*N(Labor!$AQ$6:$AQ$25))*(1+Rates!$B$6)*(1+Rates!$B$7)+SUMPRODUCT((Labor!$G$6:$G$25=Projects!$A$6)*(Labor!$E$6:$E$25="Sub")*N(Labor!$AQ$6:$AQ$25)))+SUMIFS(ODCs!$F$5:$F$22,ODCs!$D$5:$D$22,Projects!$A$6,ODCs!$E$5:$E$22,9)+SUMIFS(Travel!$F$5:$F$22,Travel!$D$5:$D$22,Projects!$A$6,Travel!$E$5:$E$22,9)+SUMIFS('M&amp;E'!$F$5:$F$22,'M&amp;E'!$D$5:$D$22,Projects!$A$6,'M&amp;E'!$E$5:$E$22,9))+(((SUMPRODUCT((Labor!$G$6:$G$25=Projects!$A$6)*(Labor!$E$6:$E$25="Prime")*N(Labor!$AQ$6:$AQ$25))*(1+Rates!$B$6)*(1+Rates!$B$7)+SUMPRODUCT((Labor!$G$6:$G$25=Projects!$A$6)*(Labor!$E$6:$E$25="Sub")*N(Labor!$AQ$6:$AQ$25)))+SUMIFS(ODCs!$F$5:$F$22,ODCs!$D$5:$D$22,Projects!$A$6,ODCs!$E$5:$E$22,9)+SUMIFS(Travel!$F$5:$F$22,Travel!$D$5:$D$22,Projects!$A$6,Travel!$E$5:$E$22,9)+SUMIFS('M&amp;E'!$F$5:$F$22,'M&amp;E'!$D$5:$D$22,Projects!$A$6,'M&amp;E'!$E$5:$E$22,9))*Rates!$B$8))+((((SUMPRODUCT((Labor!$G$6:$G$25=Projects!$A$6)*(Labor!$E$6:$E$25="Prime")*N(Labor!$AQ$6:$AQ$25))*(1+Rates!$B$6)*(1+Rates!$B$7)+SUMPRODUCT((Labor!$G$6:$G$25=Projects!$A$6)*(Labor!$E$6:$E$25="Sub")*N(Labor!$AQ$6:$AQ$25))))+IFERROR(((SUMPRODUCT((Labor!$G$6:$G$25=Projects!$A$6)*(Labor!$E$6:$E$25="Prime")*N(Labor!$AQ$6:$AQ$25))*(1+Rates!$B$6)*(1+Rates!$B$7)+SUMPRODUCT((Labor!$G$6:$G$25=Projects!$A$6)*(Labor!$E$6:$E$25="Sub")*N(Labor!$AQ$6:$AQ$25))))/((SUMPRODUCT((Labor!$G$6:$G$25=Projects!$A$6)*(Labor!$E$6:$E$25="Prime")*N(Labor!$AQ$6:$AQ$25))*(1+Rates!$B$6)*(1+Rates!$B$7)+SUMPRODUCT((Labor!$G$6:$G$25=Projects!$A$6)*(Labor!$E$6:$E$25="Sub")*N(Labor!$AQ$6:$AQ$25)))+SUMIFS(ODCs!$F$5:$F$22,ODCs!$D$5:$D$22,Projects!$A$6,ODCs!$E$5:$E$22,9)+SUMIFS(Travel!$F$5:$F$22,Travel!$D$5:$D$22,Projects!$A$6,Travel!$E$5:$E$22,9)+SUMIFS('M&amp;E'!$F$5:$F$22,'M&amp;E'!$D$5:$D$22,Projects!$A$6,'M&amp;E'!$E$5:$E$22,9))*(((SUMPRODUCT((Labor!$G$6:$G$25=Projects!$A$6)*(Labor!$E$6:$E$25="Prime")*N(Labor!$AQ$6:$AQ$25))*(1+Rates!$B$6)*(1+Rates!$B$7)+SUMPRODUCT((Labor!$G$6:$G$25=Projects!$A$6)*(Labor!$E$6:$E$25="Sub")*N(Labor!$AQ$6:$AQ$25)))+SUMIFS(ODCs!$F$5:$F$22,ODCs!$D$5:$D$22,Projects!$A$6,ODCs!$E$5:$E$22,9)+SUMIFS(Travel!$F$5:$F$22,Travel!$D$5:$D$22,Projects!$A$6,Travel!$E$5:$E$22,9)+SUMIFS('M&amp;E'!$F$5:$F$22,'M&amp;E'!$D$5:$D$22,Projects!$A$6,'M&amp;E'!$E$5:$E$22,9))*Rates!$B$8),0))*Rates!$C$18+((SUMIFS(Travel!$F$5:$F$22,Travel!$D$5:$D$22,Projects!$A$6,Travel!$E$5:$E$22,9))+IFERROR((SUMIFS(Travel!$F$5:$F$22,Travel!$D$5:$D$22,Projects!$A$6,Travel!$E$5:$E$22,9))/((SUMPRODUCT((Labor!$G$6:$G$25=Projects!$A$6)*(Labor!$E$6:$E$25="Prime")*N(Labor!$AQ$6:$AQ$25))*(1+Rates!$B$6)*(1+Rates!$B$7)+SUMPRODUCT((Labor!$G$6:$G$25=Projects!$A$6)*(Labor!$E$6:$E$25="Sub")*N(Labor!$AQ$6:$AQ$25)))+SUMIFS(ODCs!$F$5:$F$22,ODCs!$D$5:$D$22,Projects!$A$6,ODCs!$E$5:$E$22,9)+SUMIFS(Travel!$F$5:$F$22,Travel!$D$5:$D$22,Projects!$A$6,Travel!$E$5:$E$22,9)+SUMIFS('M&amp;E'!$F$5:$F$22,'M&amp;E'!$D$5:$D$22,Projects!$A$6,'M&amp;E'!$E$5:$E$22,9))*(((SUMPRODUCT((Labor!$G$6:$G$25=Projects!$A$6)*(Labor!$E$6:$E$25="Prime")*N(Labor!$AQ$6:$AQ$25))*(1+Rates!$B$6)*(1+Rates!$B$7)+SUMPRODUCT((Labor!$G$6:$G$25=Projects!$A$6)*(Labor!$E$6:$E$25="Sub")*N(Labor!$AQ$6:$AQ$25)))+SUMIFS(ODCs!$F$5:$F$22,ODCs!$D$5:$D$22,Projects!$A$6,ODCs!$E$5:$E$22,9)+SUMIFS(Travel!$F$5:$F$22,Travel!$D$5:$D$22,Projects!$A$6,Travel!$E$5:$E$22,9)+SUMIFS('M&amp;E'!$F$5:$F$22,'M&amp;E'!$D$5:$D$22,Projects!$A$6,'M&amp;E'!$E$5:$E$22,9))*Rates!$B$8),0))*Rates!$C$19+((SUMIFS(ODCs!$F$5:$F$22,ODCs!$D$5:$D$22,Projects!$A$6,ODCs!$E$5:$E$22,9))+IFERROR((SUMIFS(ODCs!$F$5:$F$22,ODCs!$D$5:$D$22,Projects!$A$6,ODCs!$E$5:$E$22,9))/((SUMPRODUCT((Labor!$G$6:$G$25=Projects!$A$6)*(Labor!$E$6:$E$25="Prime")*N(Labor!$AQ$6:$AQ$25))*(1+Rates!$B$6)*(1+Rates!$B$7)+SUMPRODUCT((Labor!$G$6:$G$25=Projects!$A$6)*(Labor!$E$6:$E$25="Sub")*N(Labor!$AQ$6:$AQ$25)))+SUMIFS(ODCs!$F$5:$F$22,ODCs!$D$5:$D$22,Projects!$A$6,ODCs!$E$5:$E$22,9)+SUMIFS(Travel!$F$5:$F$22,Travel!$D$5:$D$22,Projects!$A$6,Travel!$E$5:$E$22,9)+SUMIFS('M&amp;E'!$F$5:$F$22,'M&amp;E'!$D$5:$D$22,Projects!$A$6,'M&amp;E'!$E$5:$E$22,9))*(((SUMPRODUCT((Labor!$G$6:$G$25=Projects!$A$6)*(Labor!$E$6:$E$25="Prime")*N(Labor!$AQ$6:$AQ$25))*(1+Rates!$B$6)*(1+Rates!$B$7)+SUMPRODUCT((Labor!$G$6:$G$25=Projects!$A$6)*(Labor!$E$6:$E$25="Sub")*N(Labor!$AQ$6:$AQ$25)))+SUMIFS(ODCs!$F$5:$F$22,ODCs!$D$5:$D$22,Projects!$A$6,ODCs!$E$5:$E$22,9)+SUMIFS(Travel!$F$5:$F$22,Travel!$D$5:$D$22,Projects!$A$6,Travel!$E$5:$E$22,9)+SUMIFS('M&amp;E'!$F$5:$F$22,'M&amp;E'!$D$5:$D$22,Projects!$A$6,'M&amp;E'!$E$5:$E$22,9))*Rates!$B$8),0))*Rates!$C$20+((SUMIFS('M&amp;E'!$F$5:$F$22,'M&amp;E'!$D$5:$D$22,Projects!$A$6,'M&amp;E'!$E$5:$E$22,9))+IFERROR((SUMIFS('M&amp;E'!$F$5:$F$22,'M&amp;E'!$D$5:$D$22,Projects!$A$6,'M&amp;E'!$E$5:$E$22,9))/((SUMPRODUCT((Labor!$G$6:$G$25=Projects!$A$6)*(Labor!$E$6:$E$25="Prime")*N(Labor!$AQ$6:$AQ$25))*(1+Rates!$B$6)*(1+Rates!$B$7)+SUMPRODUCT((Labor!$G$6:$G$25=Projects!$A$6)*(Labor!$E$6:$E$25="Sub")*N(Labor!$AQ$6:$AQ$25)))+SUMIFS(ODCs!$F$5:$F$22,ODCs!$D$5:$D$22,Projects!$A$6,ODCs!$E$5:$E$22,9)+SUMIFS(Travel!$F$5:$F$22,Travel!$D$5:$D$22,Projects!$A$6,Travel!$E$5:$E$22,9)+SUMIFS('M&amp;E'!$F$5:$F$22,'M&amp;E'!$D$5:$D$22,Projects!$A$6,'M&amp;E'!$E$5:$E$22,9))*(((SUMPRODUCT((Labor!$G$6:$G$25=Projects!$A$6)*(Labor!$E$6:$E$25="Prime")*N(Labor!$AQ$6:$AQ$25))*(1+Rates!$B$6)*(1+Rates!$B$7)+SUMPRODUCT((Labor!$G$6:$G$25=Projects!$A$6)*(Labor!$E$6:$E$25="Sub")*N(Labor!$AQ$6:$AQ$25)))+SUMIFS(ODCs!$F$5:$F$22,ODCs!$D$5:$D$22,Projects!$A$6,ODCs!$E$5:$E$22,9)+SUMIFS(Travel!$F$5:$F$22,Travel!$D$5:$D$22,Projects!$A$6,Travel!$E$5:$E$22,9)+SUMIFS('M&amp;E'!$F$5:$F$22,'M&amp;E'!$D$5:$D$22,Projects!$A$6,'M&amp;E'!$E$5:$E$22,9))*Rates!$B$8),0))*Rates!$C$21))</f>
        <v/>
      </c>
      <c r="K17" s="132">
        <f>IF(Projects!$A$6="","",(((SUMPRODUCT((Labor!$G$6:$G$25=Projects!$A$6)*(Labor!$E$6:$E$25="Prime")*N(Labor!$AU$6:$AU$25))*(1+Rates!$B$6)*(1+Rates!$B$7)+SUMPRODUCT((Labor!$G$6:$G$25=Projects!$A$6)*(Labor!$E$6:$E$25="Sub")*N(Labor!$AU$6:$AU$25)))+SUMIFS(ODCs!$F$5:$F$22,ODCs!$D$5:$D$22,Projects!$A$6,ODCs!$E$5:$E$22,10)+SUMIFS(Travel!$F$5:$F$22,Travel!$D$5:$D$22,Projects!$A$6,Travel!$E$5:$E$22,10)+SUMIFS('M&amp;E'!$F$5:$F$22,'M&amp;E'!$D$5:$D$22,Projects!$A$6,'M&amp;E'!$E$5:$E$22,10))+(((SUMPRODUCT((Labor!$G$6:$G$25=Projects!$A$6)*(Labor!$E$6:$E$25="Prime")*N(Labor!$AU$6:$AU$25))*(1+Rates!$B$6)*(1+Rates!$B$7)+SUMPRODUCT((Labor!$G$6:$G$25=Projects!$A$6)*(Labor!$E$6:$E$25="Sub")*N(Labor!$AU$6:$AU$25)))+SUMIFS(ODCs!$F$5:$F$22,ODCs!$D$5:$D$22,Projects!$A$6,ODCs!$E$5:$E$22,10)+SUMIFS(Travel!$F$5:$F$22,Travel!$D$5:$D$22,Projects!$A$6,Travel!$E$5:$E$22,10)+SUMIFS('M&amp;E'!$F$5:$F$22,'M&amp;E'!$D$5:$D$22,Projects!$A$6,'M&amp;E'!$E$5:$E$22,10))*Rates!$B$8))+((((SUMPRODUCT((Labor!$G$6:$G$25=Projects!$A$6)*(Labor!$E$6:$E$25="Prime")*N(Labor!$AU$6:$AU$25))*(1+Rates!$B$6)*(1+Rates!$B$7)+SUMPRODUCT((Labor!$G$6:$G$25=Projects!$A$6)*(Labor!$E$6:$E$25="Sub")*N(Labor!$AU$6:$AU$25))))+IFERROR(((SUMPRODUCT((Labor!$G$6:$G$25=Projects!$A$6)*(Labor!$E$6:$E$25="Prime")*N(Labor!$AU$6:$AU$25))*(1+Rates!$B$6)*(1+Rates!$B$7)+SUMPRODUCT((Labor!$G$6:$G$25=Projects!$A$6)*(Labor!$E$6:$E$25="Sub")*N(Labor!$AU$6:$AU$25))))/((SUMPRODUCT((Labor!$G$6:$G$25=Projects!$A$6)*(Labor!$E$6:$E$25="Prime")*N(Labor!$AU$6:$AU$25))*(1+Rates!$B$6)*(1+Rates!$B$7)+SUMPRODUCT((Labor!$G$6:$G$25=Projects!$A$6)*(Labor!$E$6:$E$25="Sub")*N(Labor!$AU$6:$AU$25)))+SUMIFS(ODCs!$F$5:$F$22,ODCs!$D$5:$D$22,Projects!$A$6,ODCs!$E$5:$E$22,10)+SUMIFS(Travel!$F$5:$F$22,Travel!$D$5:$D$22,Projects!$A$6,Travel!$E$5:$E$22,10)+SUMIFS('M&amp;E'!$F$5:$F$22,'M&amp;E'!$D$5:$D$22,Projects!$A$6,'M&amp;E'!$E$5:$E$22,10))*(((SUMPRODUCT((Labor!$G$6:$G$25=Projects!$A$6)*(Labor!$E$6:$E$25="Prime")*N(Labor!$AU$6:$AU$25))*(1+Rates!$B$6)*(1+Rates!$B$7)+SUMPRODUCT((Labor!$G$6:$G$25=Projects!$A$6)*(Labor!$E$6:$E$25="Sub")*N(Labor!$AU$6:$AU$25)))+SUMIFS(ODCs!$F$5:$F$22,ODCs!$D$5:$D$22,Projects!$A$6,ODCs!$E$5:$E$22,10)+SUMIFS(Travel!$F$5:$F$22,Travel!$D$5:$D$22,Projects!$A$6,Travel!$E$5:$E$22,10)+SUMIFS('M&amp;E'!$F$5:$F$22,'M&amp;E'!$D$5:$D$22,Projects!$A$6,'M&amp;E'!$E$5:$E$22,10))*Rates!$B$8),0))*Rates!$C$18+((SUMIFS(Travel!$F$5:$F$22,Travel!$D$5:$D$22,Projects!$A$6,Travel!$E$5:$E$22,10))+IFERROR((SUMIFS(Travel!$F$5:$F$22,Travel!$D$5:$D$22,Projects!$A$6,Travel!$E$5:$E$22,10))/((SUMPRODUCT((Labor!$G$6:$G$25=Projects!$A$6)*(Labor!$E$6:$E$25="Prime")*N(Labor!$AU$6:$AU$25))*(1+Rates!$B$6)*(1+Rates!$B$7)+SUMPRODUCT((Labor!$G$6:$G$25=Projects!$A$6)*(Labor!$E$6:$E$25="Sub")*N(Labor!$AU$6:$AU$25)))+SUMIFS(ODCs!$F$5:$F$22,ODCs!$D$5:$D$22,Projects!$A$6,ODCs!$E$5:$E$22,10)+SUMIFS(Travel!$F$5:$F$22,Travel!$D$5:$D$22,Projects!$A$6,Travel!$E$5:$E$22,10)+SUMIFS('M&amp;E'!$F$5:$F$22,'M&amp;E'!$D$5:$D$22,Projects!$A$6,'M&amp;E'!$E$5:$E$22,10))*(((SUMPRODUCT((Labor!$G$6:$G$25=Projects!$A$6)*(Labor!$E$6:$E$25="Prime")*N(Labor!$AU$6:$AU$25))*(1+Rates!$B$6)*(1+Rates!$B$7)+SUMPRODUCT((Labor!$G$6:$G$25=Projects!$A$6)*(Labor!$E$6:$E$25="Sub")*N(Labor!$AU$6:$AU$25)))+SUMIFS(ODCs!$F$5:$F$22,ODCs!$D$5:$D$22,Projects!$A$6,ODCs!$E$5:$E$22,10)+SUMIFS(Travel!$F$5:$F$22,Travel!$D$5:$D$22,Projects!$A$6,Travel!$E$5:$E$22,10)+SUMIFS('M&amp;E'!$F$5:$F$22,'M&amp;E'!$D$5:$D$22,Projects!$A$6,'M&amp;E'!$E$5:$E$22,10))*Rates!$B$8),0))*Rates!$C$19+((SUMIFS(ODCs!$F$5:$F$22,ODCs!$D$5:$D$22,Projects!$A$6,ODCs!$E$5:$E$22,10))+IFERROR((SUMIFS(ODCs!$F$5:$F$22,ODCs!$D$5:$D$22,Projects!$A$6,ODCs!$E$5:$E$22,10))/((SUMPRODUCT((Labor!$G$6:$G$25=Projects!$A$6)*(Labor!$E$6:$E$25="Prime")*N(Labor!$AU$6:$AU$25))*(1+Rates!$B$6)*(1+Rates!$B$7)+SUMPRODUCT((Labor!$G$6:$G$25=Projects!$A$6)*(Labor!$E$6:$E$25="Sub")*N(Labor!$AU$6:$AU$25)))+SUMIFS(ODCs!$F$5:$F$22,ODCs!$D$5:$D$22,Projects!$A$6,ODCs!$E$5:$E$22,10)+SUMIFS(Travel!$F$5:$F$22,Travel!$D$5:$D$22,Projects!$A$6,Travel!$E$5:$E$22,10)+SUMIFS('M&amp;E'!$F$5:$F$22,'M&amp;E'!$D$5:$D$22,Projects!$A$6,'M&amp;E'!$E$5:$E$22,10))*(((SUMPRODUCT((Labor!$G$6:$G$25=Projects!$A$6)*(Labor!$E$6:$E$25="Prime")*N(Labor!$AU$6:$AU$25))*(1+Rates!$B$6)*(1+Rates!$B$7)+SUMPRODUCT((Labor!$G$6:$G$25=Projects!$A$6)*(Labor!$E$6:$E$25="Sub")*N(Labor!$AU$6:$AU$25)))+SUMIFS(ODCs!$F$5:$F$22,ODCs!$D$5:$D$22,Projects!$A$6,ODCs!$E$5:$E$22,10)+SUMIFS(Travel!$F$5:$F$22,Travel!$D$5:$D$22,Projects!$A$6,Travel!$E$5:$E$22,10)+SUMIFS('M&amp;E'!$F$5:$F$22,'M&amp;E'!$D$5:$D$22,Projects!$A$6,'M&amp;E'!$E$5:$E$22,10))*Rates!$B$8),0))*Rates!$C$20+((SUMIFS('M&amp;E'!$F$5:$F$22,'M&amp;E'!$D$5:$D$22,Projects!$A$6,'M&amp;E'!$E$5:$E$22,10))+IFERROR((SUMIFS('M&amp;E'!$F$5:$F$22,'M&amp;E'!$D$5:$D$22,Projects!$A$6,'M&amp;E'!$E$5:$E$22,10))/((SUMPRODUCT((Labor!$G$6:$G$25=Projects!$A$6)*(Labor!$E$6:$E$25="Prime")*N(Labor!$AU$6:$AU$25))*(1+Rates!$B$6)*(1+Rates!$B$7)+SUMPRODUCT((Labor!$G$6:$G$25=Projects!$A$6)*(Labor!$E$6:$E$25="Sub")*N(Labor!$AU$6:$AU$25)))+SUMIFS(ODCs!$F$5:$F$22,ODCs!$D$5:$D$22,Projects!$A$6,ODCs!$E$5:$E$22,10)+SUMIFS(Travel!$F$5:$F$22,Travel!$D$5:$D$22,Projects!$A$6,Travel!$E$5:$E$22,10)+SUMIFS('M&amp;E'!$F$5:$F$22,'M&amp;E'!$D$5:$D$22,Projects!$A$6,'M&amp;E'!$E$5:$E$22,10))*(((SUMPRODUCT((Labor!$G$6:$G$25=Projects!$A$6)*(Labor!$E$6:$E$25="Prime")*N(Labor!$AU$6:$AU$25))*(1+Rates!$B$6)*(1+Rates!$B$7)+SUMPRODUCT((Labor!$G$6:$G$25=Projects!$A$6)*(Labor!$E$6:$E$25="Sub")*N(Labor!$AU$6:$AU$25)))+SUMIFS(ODCs!$F$5:$F$22,ODCs!$D$5:$D$22,Projects!$A$6,ODCs!$E$5:$E$22,10)+SUMIFS(Travel!$F$5:$F$22,Travel!$D$5:$D$22,Projects!$A$6,Travel!$E$5:$E$22,10)+SUMIFS('M&amp;E'!$F$5:$F$22,'M&amp;E'!$D$5:$D$22,Projects!$A$6,'M&amp;E'!$E$5:$E$22,10))*Rates!$B$8),0))*Rates!$C$21))</f>
        <v/>
      </c>
      <c r="L17" s="132">
        <f>IF(Projects!$A$6="","",(((SUMPRODUCT((Labor!$G$6:$G$25=Projects!$A$6)*(Labor!$E$6:$E$25="Prime")*N(Labor!$AY$6:$AY$25))*(1+Rates!$B$6)*(1+Rates!$B$7)+SUMPRODUCT((Labor!$G$6:$G$25=Projects!$A$6)*(Labor!$E$6:$E$25="Sub")*N(Labor!$AY$6:$AY$25)))+SUMIFS(ODCs!$F$5:$F$22,ODCs!$D$5:$D$22,Projects!$A$6,ODCs!$E$5:$E$22,11)+SUMIFS(Travel!$F$5:$F$22,Travel!$D$5:$D$22,Projects!$A$6,Travel!$E$5:$E$22,11)+SUMIFS('M&amp;E'!$F$5:$F$22,'M&amp;E'!$D$5:$D$22,Projects!$A$6,'M&amp;E'!$E$5:$E$22,11))+(((SUMPRODUCT((Labor!$G$6:$G$25=Projects!$A$6)*(Labor!$E$6:$E$25="Prime")*N(Labor!$AY$6:$AY$25))*(1+Rates!$B$6)*(1+Rates!$B$7)+SUMPRODUCT((Labor!$G$6:$G$25=Projects!$A$6)*(Labor!$E$6:$E$25="Sub")*N(Labor!$AY$6:$AY$25)))+SUMIFS(ODCs!$F$5:$F$22,ODCs!$D$5:$D$22,Projects!$A$6,ODCs!$E$5:$E$22,11)+SUMIFS(Travel!$F$5:$F$22,Travel!$D$5:$D$22,Projects!$A$6,Travel!$E$5:$E$22,11)+SUMIFS('M&amp;E'!$F$5:$F$22,'M&amp;E'!$D$5:$D$22,Projects!$A$6,'M&amp;E'!$E$5:$E$22,11))*Rates!$B$8))+((((SUMPRODUCT((Labor!$G$6:$G$25=Projects!$A$6)*(Labor!$E$6:$E$25="Prime")*N(Labor!$AY$6:$AY$25))*(1+Rates!$B$6)*(1+Rates!$B$7)+SUMPRODUCT((Labor!$G$6:$G$25=Projects!$A$6)*(Labor!$E$6:$E$25="Sub")*N(Labor!$AY$6:$AY$25))))+IFERROR(((SUMPRODUCT((Labor!$G$6:$G$25=Projects!$A$6)*(Labor!$E$6:$E$25="Prime")*N(Labor!$AY$6:$AY$25))*(1+Rates!$B$6)*(1+Rates!$B$7)+SUMPRODUCT((Labor!$G$6:$G$25=Projects!$A$6)*(Labor!$E$6:$E$25="Sub")*N(Labor!$AY$6:$AY$25))))/((SUMPRODUCT((Labor!$G$6:$G$25=Projects!$A$6)*(Labor!$E$6:$E$25="Prime")*N(Labor!$AY$6:$AY$25))*(1+Rates!$B$6)*(1+Rates!$B$7)+SUMPRODUCT((Labor!$G$6:$G$25=Projects!$A$6)*(Labor!$E$6:$E$25="Sub")*N(Labor!$AY$6:$AY$25)))+SUMIFS(ODCs!$F$5:$F$22,ODCs!$D$5:$D$22,Projects!$A$6,ODCs!$E$5:$E$22,11)+SUMIFS(Travel!$F$5:$F$22,Travel!$D$5:$D$22,Projects!$A$6,Travel!$E$5:$E$22,11)+SUMIFS('M&amp;E'!$F$5:$F$22,'M&amp;E'!$D$5:$D$22,Projects!$A$6,'M&amp;E'!$E$5:$E$22,11))*(((SUMPRODUCT((Labor!$G$6:$G$25=Projects!$A$6)*(Labor!$E$6:$E$25="Prime")*N(Labor!$AY$6:$AY$25))*(1+Rates!$B$6)*(1+Rates!$B$7)+SUMPRODUCT((Labor!$G$6:$G$25=Projects!$A$6)*(Labor!$E$6:$E$25="Sub")*N(Labor!$AY$6:$AY$25)))+SUMIFS(ODCs!$F$5:$F$22,ODCs!$D$5:$D$22,Projects!$A$6,ODCs!$E$5:$E$22,11)+SUMIFS(Travel!$F$5:$F$22,Travel!$D$5:$D$22,Projects!$A$6,Travel!$E$5:$E$22,11)+SUMIFS('M&amp;E'!$F$5:$F$22,'M&amp;E'!$D$5:$D$22,Projects!$A$6,'M&amp;E'!$E$5:$E$22,11))*Rates!$B$8),0))*Rates!$C$18+((SUMIFS(Travel!$F$5:$F$22,Travel!$D$5:$D$22,Projects!$A$6,Travel!$E$5:$E$22,11))+IFERROR((SUMIFS(Travel!$F$5:$F$22,Travel!$D$5:$D$22,Projects!$A$6,Travel!$E$5:$E$22,11))/((SUMPRODUCT((Labor!$G$6:$G$25=Projects!$A$6)*(Labor!$E$6:$E$25="Prime")*N(Labor!$AY$6:$AY$25))*(1+Rates!$B$6)*(1+Rates!$B$7)+SUMPRODUCT((Labor!$G$6:$G$25=Projects!$A$6)*(Labor!$E$6:$E$25="Sub")*N(Labor!$AY$6:$AY$25)))+SUMIFS(ODCs!$F$5:$F$22,ODCs!$D$5:$D$22,Projects!$A$6,ODCs!$E$5:$E$22,11)+SUMIFS(Travel!$F$5:$F$22,Travel!$D$5:$D$22,Projects!$A$6,Travel!$E$5:$E$22,11)+SUMIFS('M&amp;E'!$F$5:$F$22,'M&amp;E'!$D$5:$D$22,Projects!$A$6,'M&amp;E'!$E$5:$E$22,11))*(((SUMPRODUCT((Labor!$G$6:$G$25=Projects!$A$6)*(Labor!$E$6:$E$25="Prime")*N(Labor!$AY$6:$AY$25))*(1+Rates!$B$6)*(1+Rates!$B$7)+SUMPRODUCT((Labor!$G$6:$G$25=Projects!$A$6)*(Labor!$E$6:$E$25="Sub")*N(Labor!$AY$6:$AY$25)))+SUMIFS(ODCs!$F$5:$F$22,ODCs!$D$5:$D$22,Projects!$A$6,ODCs!$E$5:$E$22,11)+SUMIFS(Travel!$F$5:$F$22,Travel!$D$5:$D$22,Projects!$A$6,Travel!$E$5:$E$22,11)+SUMIFS('M&amp;E'!$F$5:$F$22,'M&amp;E'!$D$5:$D$22,Projects!$A$6,'M&amp;E'!$E$5:$E$22,11))*Rates!$B$8),0))*Rates!$C$19+((SUMIFS(ODCs!$F$5:$F$22,ODCs!$D$5:$D$22,Projects!$A$6,ODCs!$E$5:$E$22,11))+IFERROR((SUMIFS(ODCs!$F$5:$F$22,ODCs!$D$5:$D$22,Projects!$A$6,ODCs!$E$5:$E$22,11))/((SUMPRODUCT((Labor!$G$6:$G$25=Projects!$A$6)*(Labor!$E$6:$E$25="Prime")*N(Labor!$AY$6:$AY$25))*(1+Rates!$B$6)*(1+Rates!$B$7)+SUMPRODUCT((Labor!$G$6:$G$25=Projects!$A$6)*(Labor!$E$6:$E$25="Sub")*N(Labor!$AY$6:$AY$25)))+SUMIFS(ODCs!$F$5:$F$22,ODCs!$D$5:$D$22,Projects!$A$6,ODCs!$E$5:$E$22,11)+SUMIFS(Travel!$F$5:$F$22,Travel!$D$5:$D$22,Projects!$A$6,Travel!$E$5:$E$22,11)+SUMIFS('M&amp;E'!$F$5:$F$22,'M&amp;E'!$D$5:$D$22,Projects!$A$6,'M&amp;E'!$E$5:$E$22,11))*(((SUMPRODUCT((Labor!$G$6:$G$25=Projects!$A$6)*(Labor!$E$6:$E$25="Prime")*N(Labor!$AY$6:$AY$25))*(1+Rates!$B$6)*(1+Rates!$B$7)+SUMPRODUCT((Labor!$G$6:$G$25=Projects!$A$6)*(Labor!$E$6:$E$25="Sub")*N(Labor!$AY$6:$AY$25)))+SUMIFS(ODCs!$F$5:$F$22,ODCs!$D$5:$D$22,Projects!$A$6,ODCs!$E$5:$E$22,11)+SUMIFS(Travel!$F$5:$F$22,Travel!$D$5:$D$22,Projects!$A$6,Travel!$E$5:$E$22,11)+SUMIFS('M&amp;E'!$F$5:$F$22,'M&amp;E'!$D$5:$D$22,Projects!$A$6,'M&amp;E'!$E$5:$E$22,11))*Rates!$B$8),0))*Rates!$C$20+((SUMIFS('M&amp;E'!$F$5:$F$22,'M&amp;E'!$D$5:$D$22,Projects!$A$6,'M&amp;E'!$E$5:$E$22,11))+IFERROR((SUMIFS('M&amp;E'!$F$5:$F$22,'M&amp;E'!$D$5:$D$22,Projects!$A$6,'M&amp;E'!$E$5:$E$22,11))/((SUMPRODUCT((Labor!$G$6:$G$25=Projects!$A$6)*(Labor!$E$6:$E$25="Prime")*N(Labor!$AY$6:$AY$25))*(1+Rates!$B$6)*(1+Rates!$B$7)+SUMPRODUCT((Labor!$G$6:$G$25=Projects!$A$6)*(Labor!$E$6:$E$25="Sub")*N(Labor!$AY$6:$AY$25)))+SUMIFS(ODCs!$F$5:$F$22,ODCs!$D$5:$D$22,Projects!$A$6,ODCs!$E$5:$E$22,11)+SUMIFS(Travel!$F$5:$F$22,Travel!$D$5:$D$22,Projects!$A$6,Travel!$E$5:$E$22,11)+SUMIFS('M&amp;E'!$F$5:$F$22,'M&amp;E'!$D$5:$D$22,Projects!$A$6,'M&amp;E'!$E$5:$E$22,11))*(((SUMPRODUCT((Labor!$G$6:$G$25=Projects!$A$6)*(Labor!$E$6:$E$25="Prime")*N(Labor!$AY$6:$AY$25))*(1+Rates!$B$6)*(1+Rates!$B$7)+SUMPRODUCT((Labor!$G$6:$G$25=Projects!$A$6)*(Labor!$E$6:$E$25="Sub")*N(Labor!$AY$6:$AY$25)))+SUMIFS(ODCs!$F$5:$F$22,ODCs!$D$5:$D$22,Projects!$A$6,ODCs!$E$5:$E$22,11)+SUMIFS(Travel!$F$5:$F$22,Travel!$D$5:$D$22,Projects!$A$6,Travel!$E$5:$E$22,11)+SUMIFS('M&amp;E'!$F$5:$F$22,'M&amp;E'!$D$5:$D$22,Projects!$A$6,'M&amp;E'!$E$5:$E$22,11))*Rates!$B$8),0))*Rates!$C$21))</f>
        <v/>
      </c>
      <c r="M17" s="132">
        <f>IF(Projects!$A$6="","",(((SUMPRODUCT((Labor!$G$6:$G$25=Projects!$A$6)*(Labor!$E$6:$E$25="Prime")*N(Labor!$BC$6:$BC$25))*(1+Rates!$B$6)*(1+Rates!$B$7)+SUMPRODUCT((Labor!$G$6:$G$25=Projects!$A$6)*(Labor!$E$6:$E$25="Sub")*N(Labor!$BC$6:$BC$25)))+SUMIFS(ODCs!$F$5:$F$22,ODCs!$D$5:$D$22,Projects!$A$6,ODCs!$E$5:$E$22,12)+SUMIFS(Travel!$F$5:$F$22,Travel!$D$5:$D$22,Projects!$A$6,Travel!$E$5:$E$22,12)+SUMIFS('M&amp;E'!$F$5:$F$22,'M&amp;E'!$D$5:$D$22,Projects!$A$6,'M&amp;E'!$E$5:$E$22,12))+(((SUMPRODUCT((Labor!$G$6:$G$25=Projects!$A$6)*(Labor!$E$6:$E$25="Prime")*N(Labor!$BC$6:$BC$25))*(1+Rates!$B$6)*(1+Rates!$B$7)+SUMPRODUCT((Labor!$G$6:$G$25=Projects!$A$6)*(Labor!$E$6:$E$25="Sub")*N(Labor!$BC$6:$BC$25)))+SUMIFS(ODCs!$F$5:$F$22,ODCs!$D$5:$D$22,Projects!$A$6,ODCs!$E$5:$E$22,12)+SUMIFS(Travel!$F$5:$F$22,Travel!$D$5:$D$22,Projects!$A$6,Travel!$E$5:$E$22,12)+SUMIFS('M&amp;E'!$F$5:$F$22,'M&amp;E'!$D$5:$D$22,Projects!$A$6,'M&amp;E'!$E$5:$E$22,12))*Rates!$B$8))+((((SUMPRODUCT((Labor!$G$6:$G$25=Projects!$A$6)*(Labor!$E$6:$E$25="Prime")*N(Labor!$BC$6:$BC$25))*(1+Rates!$B$6)*(1+Rates!$B$7)+SUMPRODUCT((Labor!$G$6:$G$25=Projects!$A$6)*(Labor!$E$6:$E$25="Sub")*N(Labor!$BC$6:$BC$25))))+IFERROR(((SUMPRODUCT((Labor!$G$6:$G$25=Projects!$A$6)*(Labor!$E$6:$E$25="Prime")*N(Labor!$BC$6:$BC$25))*(1+Rates!$B$6)*(1+Rates!$B$7)+SUMPRODUCT((Labor!$G$6:$G$25=Projects!$A$6)*(Labor!$E$6:$E$25="Sub")*N(Labor!$BC$6:$BC$25))))/((SUMPRODUCT((Labor!$G$6:$G$25=Projects!$A$6)*(Labor!$E$6:$E$25="Prime")*N(Labor!$BC$6:$BC$25))*(1+Rates!$B$6)*(1+Rates!$B$7)+SUMPRODUCT((Labor!$G$6:$G$25=Projects!$A$6)*(Labor!$E$6:$E$25="Sub")*N(Labor!$BC$6:$BC$25)))+SUMIFS(ODCs!$F$5:$F$22,ODCs!$D$5:$D$22,Projects!$A$6,ODCs!$E$5:$E$22,12)+SUMIFS(Travel!$F$5:$F$22,Travel!$D$5:$D$22,Projects!$A$6,Travel!$E$5:$E$22,12)+SUMIFS('M&amp;E'!$F$5:$F$22,'M&amp;E'!$D$5:$D$22,Projects!$A$6,'M&amp;E'!$E$5:$E$22,12))*(((SUMPRODUCT((Labor!$G$6:$G$25=Projects!$A$6)*(Labor!$E$6:$E$25="Prime")*N(Labor!$BC$6:$BC$25))*(1+Rates!$B$6)*(1+Rates!$B$7)+SUMPRODUCT((Labor!$G$6:$G$25=Projects!$A$6)*(Labor!$E$6:$E$25="Sub")*N(Labor!$BC$6:$BC$25)))+SUMIFS(ODCs!$F$5:$F$22,ODCs!$D$5:$D$22,Projects!$A$6,ODCs!$E$5:$E$22,12)+SUMIFS(Travel!$F$5:$F$22,Travel!$D$5:$D$22,Projects!$A$6,Travel!$E$5:$E$22,12)+SUMIFS('M&amp;E'!$F$5:$F$22,'M&amp;E'!$D$5:$D$22,Projects!$A$6,'M&amp;E'!$E$5:$E$22,12))*Rates!$B$8),0))*Rates!$C$18+((SUMIFS(Travel!$F$5:$F$22,Travel!$D$5:$D$22,Projects!$A$6,Travel!$E$5:$E$22,12))+IFERROR((SUMIFS(Travel!$F$5:$F$22,Travel!$D$5:$D$22,Projects!$A$6,Travel!$E$5:$E$22,12))/((SUMPRODUCT((Labor!$G$6:$G$25=Projects!$A$6)*(Labor!$E$6:$E$25="Prime")*N(Labor!$BC$6:$BC$25))*(1+Rates!$B$6)*(1+Rates!$B$7)+SUMPRODUCT((Labor!$G$6:$G$25=Projects!$A$6)*(Labor!$E$6:$E$25="Sub")*N(Labor!$BC$6:$BC$25)))+SUMIFS(ODCs!$F$5:$F$22,ODCs!$D$5:$D$22,Projects!$A$6,ODCs!$E$5:$E$22,12)+SUMIFS(Travel!$F$5:$F$22,Travel!$D$5:$D$22,Projects!$A$6,Travel!$E$5:$E$22,12)+SUMIFS('M&amp;E'!$F$5:$F$22,'M&amp;E'!$D$5:$D$22,Projects!$A$6,'M&amp;E'!$E$5:$E$22,12))*(((SUMPRODUCT((Labor!$G$6:$G$25=Projects!$A$6)*(Labor!$E$6:$E$25="Prime")*N(Labor!$BC$6:$BC$25))*(1+Rates!$B$6)*(1+Rates!$B$7)+SUMPRODUCT((Labor!$G$6:$G$25=Projects!$A$6)*(Labor!$E$6:$E$25="Sub")*N(Labor!$BC$6:$BC$25)))+SUMIFS(ODCs!$F$5:$F$22,ODCs!$D$5:$D$22,Projects!$A$6,ODCs!$E$5:$E$22,12)+SUMIFS(Travel!$F$5:$F$22,Travel!$D$5:$D$22,Projects!$A$6,Travel!$E$5:$E$22,12)+SUMIFS('M&amp;E'!$F$5:$F$22,'M&amp;E'!$D$5:$D$22,Projects!$A$6,'M&amp;E'!$E$5:$E$22,12))*Rates!$B$8),0))*Rates!$C$19+((SUMIFS(ODCs!$F$5:$F$22,ODCs!$D$5:$D$22,Projects!$A$6,ODCs!$E$5:$E$22,12))+IFERROR((SUMIFS(ODCs!$F$5:$F$22,ODCs!$D$5:$D$22,Projects!$A$6,ODCs!$E$5:$E$22,12))/((SUMPRODUCT((Labor!$G$6:$G$25=Projects!$A$6)*(Labor!$E$6:$E$25="Prime")*N(Labor!$BC$6:$BC$25))*(1+Rates!$B$6)*(1+Rates!$B$7)+SUMPRODUCT((Labor!$G$6:$G$25=Projects!$A$6)*(Labor!$E$6:$E$25="Sub")*N(Labor!$BC$6:$BC$25)))+SUMIFS(ODCs!$F$5:$F$22,ODCs!$D$5:$D$22,Projects!$A$6,ODCs!$E$5:$E$22,12)+SUMIFS(Travel!$F$5:$F$22,Travel!$D$5:$D$22,Projects!$A$6,Travel!$E$5:$E$22,12)+SUMIFS('M&amp;E'!$F$5:$F$22,'M&amp;E'!$D$5:$D$22,Projects!$A$6,'M&amp;E'!$E$5:$E$22,12))*(((SUMPRODUCT((Labor!$G$6:$G$25=Projects!$A$6)*(Labor!$E$6:$E$25="Prime")*N(Labor!$BC$6:$BC$25))*(1+Rates!$B$6)*(1+Rates!$B$7)+SUMPRODUCT((Labor!$G$6:$G$25=Projects!$A$6)*(Labor!$E$6:$E$25="Sub")*N(Labor!$BC$6:$BC$25)))+SUMIFS(ODCs!$F$5:$F$22,ODCs!$D$5:$D$22,Projects!$A$6,ODCs!$E$5:$E$22,12)+SUMIFS(Travel!$F$5:$F$22,Travel!$D$5:$D$22,Projects!$A$6,Travel!$E$5:$E$22,12)+SUMIFS('M&amp;E'!$F$5:$F$22,'M&amp;E'!$D$5:$D$22,Projects!$A$6,'M&amp;E'!$E$5:$E$22,12))*Rates!$B$8),0))*Rates!$C$20+((SUMIFS('M&amp;E'!$F$5:$F$22,'M&amp;E'!$D$5:$D$22,Projects!$A$6,'M&amp;E'!$E$5:$E$22,12))+IFERROR((SUMIFS('M&amp;E'!$F$5:$F$22,'M&amp;E'!$D$5:$D$22,Projects!$A$6,'M&amp;E'!$E$5:$E$22,12))/((SUMPRODUCT((Labor!$G$6:$G$25=Projects!$A$6)*(Labor!$E$6:$E$25="Prime")*N(Labor!$BC$6:$BC$25))*(1+Rates!$B$6)*(1+Rates!$B$7)+SUMPRODUCT((Labor!$G$6:$G$25=Projects!$A$6)*(Labor!$E$6:$E$25="Sub")*N(Labor!$BC$6:$BC$25)))+SUMIFS(ODCs!$F$5:$F$22,ODCs!$D$5:$D$22,Projects!$A$6,ODCs!$E$5:$E$22,12)+SUMIFS(Travel!$F$5:$F$22,Travel!$D$5:$D$22,Projects!$A$6,Travel!$E$5:$E$22,12)+SUMIFS('M&amp;E'!$F$5:$F$22,'M&amp;E'!$D$5:$D$22,Projects!$A$6,'M&amp;E'!$E$5:$E$22,12))*(((SUMPRODUCT((Labor!$G$6:$G$25=Projects!$A$6)*(Labor!$E$6:$E$25="Prime")*N(Labor!$BC$6:$BC$25))*(1+Rates!$B$6)*(1+Rates!$B$7)+SUMPRODUCT((Labor!$G$6:$G$25=Projects!$A$6)*(Labor!$E$6:$E$25="Sub")*N(Labor!$BC$6:$BC$25)))+SUMIFS(ODCs!$F$5:$F$22,ODCs!$D$5:$D$22,Projects!$A$6,ODCs!$E$5:$E$22,12)+SUMIFS(Travel!$F$5:$F$22,Travel!$D$5:$D$22,Projects!$A$6,Travel!$E$5:$E$22,12)+SUMIFS('M&amp;E'!$F$5:$F$22,'M&amp;E'!$D$5:$D$22,Projects!$A$6,'M&amp;E'!$E$5:$E$22,12))*Rates!$B$8),0))*Rates!$C$21))</f>
        <v/>
      </c>
      <c r="N17" s="135">
        <f>SUM(B17,C17,D17)</f>
        <v/>
      </c>
      <c r="O17" s="135">
        <f>SUM(E17,F17,G17)</f>
        <v/>
      </c>
      <c r="P17" s="135">
        <f>SUM(H17,I17,J17)</f>
        <v/>
      </c>
      <c r="Q17" s="135">
        <f>SUM(K17,L17,M17)</f>
        <v/>
      </c>
      <c r="R17" s="135">
        <f>SUM(N17,O17,P17,Q17)</f>
        <v/>
      </c>
    </row>
    <row r="18">
      <c r="A18" s="117" t="inlineStr">
        <is>
          <t>Variance $</t>
        </is>
      </c>
      <c r="B18" s="204">
        <f>IFERROR(IF(B17="","",B17-B16),0)</f>
        <v/>
      </c>
      <c r="C18" s="204">
        <f>IFERROR(IF(C17="","",C17-C16),0)</f>
        <v/>
      </c>
      <c r="D18" s="204">
        <f>IFERROR(IF(D17="","",D17-D16),0)</f>
        <v/>
      </c>
      <c r="E18" s="204">
        <f>IFERROR(IF(E17="","",E17-E16),0)</f>
        <v/>
      </c>
      <c r="F18" s="204">
        <f>IFERROR(IF(F17="","",F17-F16),0)</f>
        <v/>
      </c>
      <c r="G18" s="204">
        <f>IFERROR(IF(G17="","",G17-G16),0)</f>
        <v/>
      </c>
      <c r="H18" s="204">
        <f>IFERROR(IF(H17="","",H17-H16),0)</f>
        <v/>
      </c>
      <c r="I18" s="204">
        <f>IFERROR(IF(I17="","",I17-I16),0)</f>
        <v/>
      </c>
      <c r="J18" s="204">
        <f>IFERROR(IF(J17="","",J17-J16),0)</f>
        <v/>
      </c>
      <c r="K18" s="204">
        <f>IFERROR(IF(K17="","",K17-K16),0)</f>
        <v/>
      </c>
      <c r="L18" s="204">
        <f>IFERROR(IF(L17="","",L17-L16),0)</f>
        <v/>
      </c>
      <c r="M18" s="204">
        <f>IFERROR(IF(M17="","",M17-M16),0)</f>
        <v/>
      </c>
      <c r="N18" s="135">
        <f>SUM(B18,C18,D18)</f>
        <v/>
      </c>
      <c r="O18" s="135">
        <f>SUM(E18,F18,G18)</f>
        <v/>
      </c>
      <c r="P18" s="135">
        <f>SUM(H18,I18,J18)</f>
        <v/>
      </c>
      <c r="Q18" s="135">
        <f>SUM(K18,L18,M18)</f>
        <v/>
      </c>
      <c r="R18" s="135">
        <f>SUM(N18,O18,P18,Q18)</f>
        <v/>
      </c>
    </row>
    <row r="19">
      <c r="A19" s="117" t="inlineStr">
        <is>
          <t>Variance %</t>
        </is>
      </c>
      <c r="B19" s="205">
        <f>IFERROR(B18/B16,0)</f>
        <v/>
      </c>
      <c r="C19" s="205">
        <f>IFERROR(C18/C16,0)</f>
        <v/>
      </c>
      <c r="D19" s="205">
        <f>IFERROR(D18/D16,0)</f>
        <v/>
      </c>
      <c r="E19" s="205">
        <f>IFERROR(E18/E16,0)</f>
        <v/>
      </c>
      <c r="F19" s="205">
        <f>IFERROR(F18/F16,0)</f>
        <v/>
      </c>
      <c r="G19" s="205">
        <f>IFERROR(G18/G16,0)</f>
        <v/>
      </c>
      <c r="H19" s="205">
        <f>IFERROR(H18/H16,0)</f>
        <v/>
      </c>
      <c r="I19" s="205">
        <f>IFERROR(I18/I16,0)</f>
        <v/>
      </c>
      <c r="J19" s="205">
        <f>IFERROR(J18/J16,0)</f>
        <v/>
      </c>
      <c r="K19" s="205">
        <f>IFERROR(K18/K16,0)</f>
        <v/>
      </c>
      <c r="L19" s="205">
        <f>IFERROR(L18/L16,0)</f>
        <v/>
      </c>
      <c r="M19" s="205">
        <f>IFERROR(M18/M16,0)</f>
        <v/>
      </c>
      <c r="N19" s="140">
        <f>IFERROR(N18/N16,0)</f>
        <v/>
      </c>
      <c r="O19" s="140">
        <f>IFERROR(O18/O16,0)</f>
        <v/>
      </c>
      <c r="P19" s="140">
        <f>IFERROR(P18/P16,0)</f>
        <v/>
      </c>
      <c r="Q19" s="140">
        <f>IFERROR(Q18/Q16,0)</f>
        <v/>
      </c>
      <c r="R19" s="140">
        <f>IFERROR(R18/R16,0)</f>
        <v/>
      </c>
    </row>
    <row r="21">
      <c r="A21" s="136">
        <f>IF(Projects!$A$7="","",Projects!$A$7&amp;" — "&amp;Projects!$B$7)</f>
        <v/>
      </c>
    </row>
    <row r="22">
      <c r="A22" s="124" t="inlineStr">
        <is>
          <t>Forecasted Revenue $</t>
        </is>
      </c>
      <c r="B22" s="131" t="n">
        <v>70000</v>
      </c>
      <c r="C22" s="131" t="n">
        <v>70000</v>
      </c>
      <c r="D22" s="131" t="n">
        <v>75000</v>
      </c>
      <c r="E22" s="131" t="n">
        <v>80000</v>
      </c>
      <c r="F22" s="131" t="n">
        <v>80000</v>
      </c>
      <c r="G22" s="131" t="n">
        <v>85000</v>
      </c>
      <c r="H22" s="131" t="n">
        <v>90000</v>
      </c>
      <c r="I22" s="131" t="n">
        <v>95000</v>
      </c>
      <c r="J22" s="131" t="n">
        <v>100000</v>
      </c>
      <c r="K22" s="131" t="n">
        <v>105000</v>
      </c>
      <c r="L22" s="131" t="n">
        <v>110000</v>
      </c>
      <c r="M22" s="131" t="n">
        <v>115000</v>
      </c>
      <c r="N22" s="135">
        <f>SUM(B22,C22,D22)</f>
        <v/>
      </c>
      <c r="O22" s="135">
        <f>SUM(E22,F22,G22)</f>
        <v/>
      </c>
      <c r="P22" s="135">
        <f>SUM(H22,I22,J22)</f>
        <v/>
      </c>
      <c r="Q22" s="135">
        <f>SUM(K22,L22,M22)</f>
        <v/>
      </c>
      <c r="R22" s="135">
        <f>SUM(N22,O22,P22,Q22)</f>
        <v/>
      </c>
    </row>
    <row r="23">
      <c r="A23" s="124" t="inlineStr">
        <is>
          <t>Actual Revenue $</t>
        </is>
      </c>
      <c r="B23" s="132">
        <f>IF(Projects!$A$7="","",(((SUMPRODUCT((Labor!$G$6:$G$25=Projects!$A$7)*(Labor!$E$6:$E$25="Prime")*N(Labor!$K$6:$K$25))*(1+Rates!$B$6)*(1+Rates!$B$7)+SUMPRODUCT((Labor!$G$6:$G$25=Projects!$A$7)*(Labor!$E$6:$E$25="Sub")*N(Labor!$K$6:$K$25)))+SUMIFS(ODCs!$F$5:$F$22,ODCs!$D$5:$D$22,Projects!$A$7,ODCs!$E$5:$E$22,1)+SUMIFS(Travel!$F$5:$F$22,Travel!$D$5:$D$22,Projects!$A$7,Travel!$E$5:$E$22,1)+SUMIFS('M&amp;E'!$F$5:$F$22,'M&amp;E'!$D$5:$D$22,Projects!$A$7,'M&amp;E'!$E$5:$E$22,1))+(((SUMPRODUCT((Labor!$G$6:$G$25=Projects!$A$7)*(Labor!$E$6:$E$25="Prime")*N(Labor!$K$6:$K$25))*(1+Rates!$B$6)*(1+Rates!$B$7)+SUMPRODUCT((Labor!$G$6:$G$25=Projects!$A$7)*(Labor!$E$6:$E$25="Sub")*N(Labor!$K$6:$K$25)))+SUMIFS(ODCs!$F$5:$F$22,ODCs!$D$5:$D$22,Projects!$A$7,ODCs!$E$5:$E$22,1)+SUMIFS(Travel!$F$5:$F$22,Travel!$D$5:$D$22,Projects!$A$7,Travel!$E$5:$E$22,1)+SUMIFS('M&amp;E'!$F$5:$F$22,'M&amp;E'!$D$5:$D$22,Projects!$A$7,'M&amp;E'!$E$5:$E$22,1))*Rates!$B$8))+((((SUMPRODUCT((Labor!$G$6:$G$25=Projects!$A$7)*(Labor!$E$6:$E$25="Prime")*N(Labor!$K$6:$K$25))*(1+Rates!$B$6)*(1+Rates!$B$7)+SUMPRODUCT((Labor!$G$6:$G$25=Projects!$A$7)*(Labor!$E$6:$E$25="Sub")*N(Labor!$K$6:$K$25))))+IFERROR(((SUMPRODUCT((Labor!$G$6:$G$25=Projects!$A$7)*(Labor!$E$6:$E$25="Prime")*N(Labor!$K$6:$K$25))*(1+Rates!$B$6)*(1+Rates!$B$7)+SUMPRODUCT((Labor!$G$6:$G$25=Projects!$A$7)*(Labor!$E$6:$E$25="Sub")*N(Labor!$K$6:$K$25))))/((SUMPRODUCT((Labor!$G$6:$G$25=Projects!$A$7)*(Labor!$E$6:$E$25="Prime")*N(Labor!$K$6:$K$25))*(1+Rates!$B$6)*(1+Rates!$B$7)+SUMPRODUCT((Labor!$G$6:$G$25=Projects!$A$7)*(Labor!$E$6:$E$25="Sub")*N(Labor!$K$6:$K$25)))+SUMIFS(ODCs!$F$5:$F$22,ODCs!$D$5:$D$22,Projects!$A$7,ODCs!$E$5:$E$22,1)+SUMIFS(Travel!$F$5:$F$22,Travel!$D$5:$D$22,Projects!$A$7,Travel!$E$5:$E$22,1)+SUMIFS('M&amp;E'!$F$5:$F$22,'M&amp;E'!$D$5:$D$22,Projects!$A$7,'M&amp;E'!$E$5:$E$22,1))*(((SUMPRODUCT((Labor!$G$6:$G$25=Projects!$A$7)*(Labor!$E$6:$E$25="Prime")*N(Labor!$K$6:$K$25))*(1+Rates!$B$6)*(1+Rates!$B$7)+SUMPRODUCT((Labor!$G$6:$G$25=Projects!$A$7)*(Labor!$E$6:$E$25="Sub")*N(Labor!$K$6:$K$25)))+SUMIFS(ODCs!$F$5:$F$22,ODCs!$D$5:$D$22,Projects!$A$7,ODCs!$E$5:$E$22,1)+SUMIFS(Travel!$F$5:$F$22,Travel!$D$5:$D$22,Projects!$A$7,Travel!$E$5:$E$22,1)+SUMIFS('M&amp;E'!$F$5:$F$22,'M&amp;E'!$D$5:$D$22,Projects!$A$7,'M&amp;E'!$E$5:$E$22,1))*Rates!$B$8),0))*Rates!$C$18+((SUMIFS(Travel!$F$5:$F$22,Travel!$D$5:$D$22,Projects!$A$7,Travel!$E$5:$E$22,1))+IFERROR((SUMIFS(Travel!$F$5:$F$22,Travel!$D$5:$D$22,Projects!$A$7,Travel!$E$5:$E$22,1))/((SUMPRODUCT((Labor!$G$6:$G$25=Projects!$A$7)*(Labor!$E$6:$E$25="Prime")*N(Labor!$K$6:$K$25))*(1+Rates!$B$6)*(1+Rates!$B$7)+SUMPRODUCT((Labor!$G$6:$G$25=Projects!$A$7)*(Labor!$E$6:$E$25="Sub")*N(Labor!$K$6:$K$25)))+SUMIFS(ODCs!$F$5:$F$22,ODCs!$D$5:$D$22,Projects!$A$7,ODCs!$E$5:$E$22,1)+SUMIFS(Travel!$F$5:$F$22,Travel!$D$5:$D$22,Projects!$A$7,Travel!$E$5:$E$22,1)+SUMIFS('M&amp;E'!$F$5:$F$22,'M&amp;E'!$D$5:$D$22,Projects!$A$7,'M&amp;E'!$E$5:$E$22,1))*(((SUMPRODUCT((Labor!$G$6:$G$25=Projects!$A$7)*(Labor!$E$6:$E$25="Prime")*N(Labor!$K$6:$K$25))*(1+Rates!$B$6)*(1+Rates!$B$7)+SUMPRODUCT((Labor!$G$6:$G$25=Projects!$A$7)*(Labor!$E$6:$E$25="Sub")*N(Labor!$K$6:$K$25)))+SUMIFS(ODCs!$F$5:$F$22,ODCs!$D$5:$D$22,Projects!$A$7,ODCs!$E$5:$E$22,1)+SUMIFS(Travel!$F$5:$F$22,Travel!$D$5:$D$22,Projects!$A$7,Travel!$E$5:$E$22,1)+SUMIFS('M&amp;E'!$F$5:$F$22,'M&amp;E'!$D$5:$D$22,Projects!$A$7,'M&amp;E'!$E$5:$E$22,1))*Rates!$B$8),0))*Rates!$C$19+((SUMIFS(ODCs!$F$5:$F$22,ODCs!$D$5:$D$22,Projects!$A$7,ODCs!$E$5:$E$22,1))+IFERROR((SUMIFS(ODCs!$F$5:$F$22,ODCs!$D$5:$D$22,Projects!$A$7,ODCs!$E$5:$E$22,1))/((SUMPRODUCT((Labor!$G$6:$G$25=Projects!$A$7)*(Labor!$E$6:$E$25="Prime")*N(Labor!$K$6:$K$25))*(1+Rates!$B$6)*(1+Rates!$B$7)+SUMPRODUCT((Labor!$G$6:$G$25=Projects!$A$7)*(Labor!$E$6:$E$25="Sub")*N(Labor!$K$6:$K$25)))+SUMIFS(ODCs!$F$5:$F$22,ODCs!$D$5:$D$22,Projects!$A$7,ODCs!$E$5:$E$22,1)+SUMIFS(Travel!$F$5:$F$22,Travel!$D$5:$D$22,Projects!$A$7,Travel!$E$5:$E$22,1)+SUMIFS('M&amp;E'!$F$5:$F$22,'M&amp;E'!$D$5:$D$22,Projects!$A$7,'M&amp;E'!$E$5:$E$22,1))*(((SUMPRODUCT((Labor!$G$6:$G$25=Projects!$A$7)*(Labor!$E$6:$E$25="Prime")*N(Labor!$K$6:$K$25))*(1+Rates!$B$6)*(1+Rates!$B$7)+SUMPRODUCT((Labor!$G$6:$G$25=Projects!$A$7)*(Labor!$E$6:$E$25="Sub")*N(Labor!$K$6:$K$25)))+SUMIFS(ODCs!$F$5:$F$22,ODCs!$D$5:$D$22,Projects!$A$7,ODCs!$E$5:$E$22,1)+SUMIFS(Travel!$F$5:$F$22,Travel!$D$5:$D$22,Projects!$A$7,Travel!$E$5:$E$22,1)+SUMIFS('M&amp;E'!$F$5:$F$22,'M&amp;E'!$D$5:$D$22,Projects!$A$7,'M&amp;E'!$E$5:$E$22,1))*Rates!$B$8),0))*Rates!$C$20+((SUMIFS('M&amp;E'!$F$5:$F$22,'M&amp;E'!$D$5:$D$22,Projects!$A$7,'M&amp;E'!$E$5:$E$22,1))+IFERROR((SUMIFS('M&amp;E'!$F$5:$F$22,'M&amp;E'!$D$5:$D$22,Projects!$A$7,'M&amp;E'!$E$5:$E$22,1))/((SUMPRODUCT((Labor!$G$6:$G$25=Projects!$A$7)*(Labor!$E$6:$E$25="Prime")*N(Labor!$K$6:$K$25))*(1+Rates!$B$6)*(1+Rates!$B$7)+SUMPRODUCT((Labor!$G$6:$G$25=Projects!$A$7)*(Labor!$E$6:$E$25="Sub")*N(Labor!$K$6:$K$25)))+SUMIFS(ODCs!$F$5:$F$22,ODCs!$D$5:$D$22,Projects!$A$7,ODCs!$E$5:$E$22,1)+SUMIFS(Travel!$F$5:$F$22,Travel!$D$5:$D$22,Projects!$A$7,Travel!$E$5:$E$22,1)+SUMIFS('M&amp;E'!$F$5:$F$22,'M&amp;E'!$D$5:$D$22,Projects!$A$7,'M&amp;E'!$E$5:$E$22,1))*(((SUMPRODUCT((Labor!$G$6:$G$25=Projects!$A$7)*(Labor!$E$6:$E$25="Prime")*N(Labor!$K$6:$K$25))*(1+Rates!$B$6)*(1+Rates!$B$7)+SUMPRODUCT((Labor!$G$6:$G$25=Projects!$A$7)*(Labor!$E$6:$E$25="Sub")*N(Labor!$K$6:$K$25)))+SUMIFS(ODCs!$F$5:$F$22,ODCs!$D$5:$D$22,Projects!$A$7,ODCs!$E$5:$E$22,1)+SUMIFS(Travel!$F$5:$F$22,Travel!$D$5:$D$22,Projects!$A$7,Travel!$E$5:$E$22,1)+SUMIFS('M&amp;E'!$F$5:$F$22,'M&amp;E'!$D$5:$D$22,Projects!$A$7,'M&amp;E'!$E$5:$E$22,1))*Rates!$B$8),0))*Rates!$C$21))</f>
        <v/>
      </c>
      <c r="C23" s="132">
        <f>IF(Projects!$A$7="","",(((SUMPRODUCT((Labor!$G$6:$G$25=Projects!$A$7)*(Labor!$E$6:$E$25="Prime")*N(Labor!$O$6:$O$25))*(1+Rates!$B$6)*(1+Rates!$B$7)+SUMPRODUCT((Labor!$G$6:$G$25=Projects!$A$7)*(Labor!$E$6:$E$25="Sub")*N(Labor!$O$6:$O$25)))+SUMIFS(ODCs!$F$5:$F$22,ODCs!$D$5:$D$22,Projects!$A$7,ODCs!$E$5:$E$22,2)+SUMIFS(Travel!$F$5:$F$22,Travel!$D$5:$D$22,Projects!$A$7,Travel!$E$5:$E$22,2)+SUMIFS('M&amp;E'!$F$5:$F$22,'M&amp;E'!$D$5:$D$22,Projects!$A$7,'M&amp;E'!$E$5:$E$22,2))+(((SUMPRODUCT((Labor!$G$6:$G$25=Projects!$A$7)*(Labor!$E$6:$E$25="Prime")*N(Labor!$O$6:$O$25))*(1+Rates!$B$6)*(1+Rates!$B$7)+SUMPRODUCT((Labor!$G$6:$G$25=Projects!$A$7)*(Labor!$E$6:$E$25="Sub")*N(Labor!$O$6:$O$25)))+SUMIFS(ODCs!$F$5:$F$22,ODCs!$D$5:$D$22,Projects!$A$7,ODCs!$E$5:$E$22,2)+SUMIFS(Travel!$F$5:$F$22,Travel!$D$5:$D$22,Projects!$A$7,Travel!$E$5:$E$22,2)+SUMIFS('M&amp;E'!$F$5:$F$22,'M&amp;E'!$D$5:$D$22,Projects!$A$7,'M&amp;E'!$E$5:$E$22,2))*Rates!$B$8))+((((SUMPRODUCT((Labor!$G$6:$G$25=Projects!$A$7)*(Labor!$E$6:$E$25="Prime")*N(Labor!$O$6:$O$25))*(1+Rates!$B$6)*(1+Rates!$B$7)+SUMPRODUCT((Labor!$G$6:$G$25=Projects!$A$7)*(Labor!$E$6:$E$25="Sub")*N(Labor!$O$6:$O$25))))+IFERROR(((SUMPRODUCT((Labor!$G$6:$G$25=Projects!$A$7)*(Labor!$E$6:$E$25="Prime")*N(Labor!$O$6:$O$25))*(1+Rates!$B$6)*(1+Rates!$B$7)+SUMPRODUCT((Labor!$G$6:$G$25=Projects!$A$7)*(Labor!$E$6:$E$25="Sub")*N(Labor!$O$6:$O$25))))/((SUMPRODUCT((Labor!$G$6:$G$25=Projects!$A$7)*(Labor!$E$6:$E$25="Prime")*N(Labor!$O$6:$O$25))*(1+Rates!$B$6)*(1+Rates!$B$7)+SUMPRODUCT((Labor!$G$6:$G$25=Projects!$A$7)*(Labor!$E$6:$E$25="Sub")*N(Labor!$O$6:$O$25)))+SUMIFS(ODCs!$F$5:$F$22,ODCs!$D$5:$D$22,Projects!$A$7,ODCs!$E$5:$E$22,2)+SUMIFS(Travel!$F$5:$F$22,Travel!$D$5:$D$22,Projects!$A$7,Travel!$E$5:$E$22,2)+SUMIFS('M&amp;E'!$F$5:$F$22,'M&amp;E'!$D$5:$D$22,Projects!$A$7,'M&amp;E'!$E$5:$E$22,2))*(((SUMPRODUCT((Labor!$G$6:$G$25=Projects!$A$7)*(Labor!$E$6:$E$25="Prime")*N(Labor!$O$6:$O$25))*(1+Rates!$B$6)*(1+Rates!$B$7)+SUMPRODUCT((Labor!$G$6:$G$25=Projects!$A$7)*(Labor!$E$6:$E$25="Sub")*N(Labor!$O$6:$O$25)))+SUMIFS(ODCs!$F$5:$F$22,ODCs!$D$5:$D$22,Projects!$A$7,ODCs!$E$5:$E$22,2)+SUMIFS(Travel!$F$5:$F$22,Travel!$D$5:$D$22,Projects!$A$7,Travel!$E$5:$E$22,2)+SUMIFS('M&amp;E'!$F$5:$F$22,'M&amp;E'!$D$5:$D$22,Projects!$A$7,'M&amp;E'!$E$5:$E$22,2))*Rates!$B$8),0))*Rates!$C$18+((SUMIFS(Travel!$F$5:$F$22,Travel!$D$5:$D$22,Projects!$A$7,Travel!$E$5:$E$22,2))+IFERROR((SUMIFS(Travel!$F$5:$F$22,Travel!$D$5:$D$22,Projects!$A$7,Travel!$E$5:$E$22,2))/((SUMPRODUCT((Labor!$G$6:$G$25=Projects!$A$7)*(Labor!$E$6:$E$25="Prime")*N(Labor!$O$6:$O$25))*(1+Rates!$B$6)*(1+Rates!$B$7)+SUMPRODUCT((Labor!$G$6:$G$25=Projects!$A$7)*(Labor!$E$6:$E$25="Sub")*N(Labor!$O$6:$O$25)))+SUMIFS(ODCs!$F$5:$F$22,ODCs!$D$5:$D$22,Projects!$A$7,ODCs!$E$5:$E$22,2)+SUMIFS(Travel!$F$5:$F$22,Travel!$D$5:$D$22,Projects!$A$7,Travel!$E$5:$E$22,2)+SUMIFS('M&amp;E'!$F$5:$F$22,'M&amp;E'!$D$5:$D$22,Projects!$A$7,'M&amp;E'!$E$5:$E$22,2))*(((SUMPRODUCT((Labor!$G$6:$G$25=Projects!$A$7)*(Labor!$E$6:$E$25="Prime")*N(Labor!$O$6:$O$25))*(1+Rates!$B$6)*(1+Rates!$B$7)+SUMPRODUCT((Labor!$G$6:$G$25=Projects!$A$7)*(Labor!$E$6:$E$25="Sub")*N(Labor!$O$6:$O$25)))+SUMIFS(ODCs!$F$5:$F$22,ODCs!$D$5:$D$22,Projects!$A$7,ODCs!$E$5:$E$22,2)+SUMIFS(Travel!$F$5:$F$22,Travel!$D$5:$D$22,Projects!$A$7,Travel!$E$5:$E$22,2)+SUMIFS('M&amp;E'!$F$5:$F$22,'M&amp;E'!$D$5:$D$22,Projects!$A$7,'M&amp;E'!$E$5:$E$22,2))*Rates!$B$8),0))*Rates!$C$19+((SUMIFS(ODCs!$F$5:$F$22,ODCs!$D$5:$D$22,Projects!$A$7,ODCs!$E$5:$E$22,2))+IFERROR((SUMIFS(ODCs!$F$5:$F$22,ODCs!$D$5:$D$22,Projects!$A$7,ODCs!$E$5:$E$22,2))/((SUMPRODUCT((Labor!$G$6:$G$25=Projects!$A$7)*(Labor!$E$6:$E$25="Prime")*N(Labor!$O$6:$O$25))*(1+Rates!$B$6)*(1+Rates!$B$7)+SUMPRODUCT((Labor!$G$6:$G$25=Projects!$A$7)*(Labor!$E$6:$E$25="Sub")*N(Labor!$O$6:$O$25)))+SUMIFS(ODCs!$F$5:$F$22,ODCs!$D$5:$D$22,Projects!$A$7,ODCs!$E$5:$E$22,2)+SUMIFS(Travel!$F$5:$F$22,Travel!$D$5:$D$22,Projects!$A$7,Travel!$E$5:$E$22,2)+SUMIFS('M&amp;E'!$F$5:$F$22,'M&amp;E'!$D$5:$D$22,Projects!$A$7,'M&amp;E'!$E$5:$E$22,2))*(((SUMPRODUCT((Labor!$G$6:$G$25=Projects!$A$7)*(Labor!$E$6:$E$25="Prime")*N(Labor!$O$6:$O$25))*(1+Rates!$B$6)*(1+Rates!$B$7)+SUMPRODUCT((Labor!$G$6:$G$25=Projects!$A$7)*(Labor!$E$6:$E$25="Sub")*N(Labor!$O$6:$O$25)))+SUMIFS(ODCs!$F$5:$F$22,ODCs!$D$5:$D$22,Projects!$A$7,ODCs!$E$5:$E$22,2)+SUMIFS(Travel!$F$5:$F$22,Travel!$D$5:$D$22,Projects!$A$7,Travel!$E$5:$E$22,2)+SUMIFS('M&amp;E'!$F$5:$F$22,'M&amp;E'!$D$5:$D$22,Projects!$A$7,'M&amp;E'!$E$5:$E$22,2))*Rates!$B$8),0))*Rates!$C$20+((SUMIFS('M&amp;E'!$F$5:$F$22,'M&amp;E'!$D$5:$D$22,Projects!$A$7,'M&amp;E'!$E$5:$E$22,2))+IFERROR((SUMIFS('M&amp;E'!$F$5:$F$22,'M&amp;E'!$D$5:$D$22,Projects!$A$7,'M&amp;E'!$E$5:$E$22,2))/((SUMPRODUCT((Labor!$G$6:$G$25=Projects!$A$7)*(Labor!$E$6:$E$25="Prime")*N(Labor!$O$6:$O$25))*(1+Rates!$B$6)*(1+Rates!$B$7)+SUMPRODUCT((Labor!$G$6:$G$25=Projects!$A$7)*(Labor!$E$6:$E$25="Sub")*N(Labor!$O$6:$O$25)))+SUMIFS(ODCs!$F$5:$F$22,ODCs!$D$5:$D$22,Projects!$A$7,ODCs!$E$5:$E$22,2)+SUMIFS(Travel!$F$5:$F$22,Travel!$D$5:$D$22,Projects!$A$7,Travel!$E$5:$E$22,2)+SUMIFS('M&amp;E'!$F$5:$F$22,'M&amp;E'!$D$5:$D$22,Projects!$A$7,'M&amp;E'!$E$5:$E$22,2))*(((SUMPRODUCT((Labor!$G$6:$G$25=Projects!$A$7)*(Labor!$E$6:$E$25="Prime")*N(Labor!$O$6:$O$25))*(1+Rates!$B$6)*(1+Rates!$B$7)+SUMPRODUCT((Labor!$G$6:$G$25=Projects!$A$7)*(Labor!$E$6:$E$25="Sub")*N(Labor!$O$6:$O$25)))+SUMIFS(ODCs!$F$5:$F$22,ODCs!$D$5:$D$22,Projects!$A$7,ODCs!$E$5:$E$22,2)+SUMIFS(Travel!$F$5:$F$22,Travel!$D$5:$D$22,Projects!$A$7,Travel!$E$5:$E$22,2)+SUMIFS('M&amp;E'!$F$5:$F$22,'M&amp;E'!$D$5:$D$22,Projects!$A$7,'M&amp;E'!$E$5:$E$22,2))*Rates!$B$8),0))*Rates!$C$21))</f>
        <v/>
      </c>
      <c r="D23" s="132">
        <f>IF(Projects!$A$7="","",(((SUMPRODUCT((Labor!$G$6:$G$25=Projects!$A$7)*(Labor!$E$6:$E$25="Prime")*N(Labor!$S$6:$S$25))*(1+Rates!$B$6)*(1+Rates!$B$7)+SUMPRODUCT((Labor!$G$6:$G$25=Projects!$A$7)*(Labor!$E$6:$E$25="Sub")*N(Labor!$S$6:$S$25)))+SUMIFS(ODCs!$F$5:$F$22,ODCs!$D$5:$D$22,Projects!$A$7,ODCs!$E$5:$E$22,3)+SUMIFS(Travel!$F$5:$F$22,Travel!$D$5:$D$22,Projects!$A$7,Travel!$E$5:$E$22,3)+SUMIFS('M&amp;E'!$F$5:$F$22,'M&amp;E'!$D$5:$D$22,Projects!$A$7,'M&amp;E'!$E$5:$E$22,3))+(((SUMPRODUCT((Labor!$G$6:$G$25=Projects!$A$7)*(Labor!$E$6:$E$25="Prime")*N(Labor!$S$6:$S$25))*(1+Rates!$B$6)*(1+Rates!$B$7)+SUMPRODUCT((Labor!$G$6:$G$25=Projects!$A$7)*(Labor!$E$6:$E$25="Sub")*N(Labor!$S$6:$S$25)))+SUMIFS(ODCs!$F$5:$F$22,ODCs!$D$5:$D$22,Projects!$A$7,ODCs!$E$5:$E$22,3)+SUMIFS(Travel!$F$5:$F$22,Travel!$D$5:$D$22,Projects!$A$7,Travel!$E$5:$E$22,3)+SUMIFS('M&amp;E'!$F$5:$F$22,'M&amp;E'!$D$5:$D$22,Projects!$A$7,'M&amp;E'!$E$5:$E$22,3))*Rates!$B$8))+((((SUMPRODUCT((Labor!$G$6:$G$25=Projects!$A$7)*(Labor!$E$6:$E$25="Prime")*N(Labor!$S$6:$S$25))*(1+Rates!$B$6)*(1+Rates!$B$7)+SUMPRODUCT((Labor!$G$6:$G$25=Projects!$A$7)*(Labor!$E$6:$E$25="Sub")*N(Labor!$S$6:$S$25))))+IFERROR(((SUMPRODUCT((Labor!$G$6:$G$25=Projects!$A$7)*(Labor!$E$6:$E$25="Prime")*N(Labor!$S$6:$S$25))*(1+Rates!$B$6)*(1+Rates!$B$7)+SUMPRODUCT((Labor!$G$6:$G$25=Projects!$A$7)*(Labor!$E$6:$E$25="Sub")*N(Labor!$S$6:$S$25))))/((SUMPRODUCT((Labor!$G$6:$G$25=Projects!$A$7)*(Labor!$E$6:$E$25="Prime")*N(Labor!$S$6:$S$25))*(1+Rates!$B$6)*(1+Rates!$B$7)+SUMPRODUCT((Labor!$G$6:$G$25=Projects!$A$7)*(Labor!$E$6:$E$25="Sub")*N(Labor!$S$6:$S$25)))+SUMIFS(ODCs!$F$5:$F$22,ODCs!$D$5:$D$22,Projects!$A$7,ODCs!$E$5:$E$22,3)+SUMIFS(Travel!$F$5:$F$22,Travel!$D$5:$D$22,Projects!$A$7,Travel!$E$5:$E$22,3)+SUMIFS('M&amp;E'!$F$5:$F$22,'M&amp;E'!$D$5:$D$22,Projects!$A$7,'M&amp;E'!$E$5:$E$22,3))*(((SUMPRODUCT((Labor!$G$6:$G$25=Projects!$A$7)*(Labor!$E$6:$E$25="Prime")*N(Labor!$S$6:$S$25))*(1+Rates!$B$6)*(1+Rates!$B$7)+SUMPRODUCT((Labor!$G$6:$G$25=Projects!$A$7)*(Labor!$E$6:$E$25="Sub")*N(Labor!$S$6:$S$25)))+SUMIFS(ODCs!$F$5:$F$22,ODCs!$D$5:$D$22,Projects!$A$7,ODCs!$E$5:$E$22,3)+SUMIFS(Travel!$F$5:$F$22,Travel!$D$5:$D$22,Projects!$A$7,Travel!$E$5:$E$22,3)+SUMIFS('M&amp;E'!$F$5:$F$22,'M&amp;E'!$D$5:$D$22,Projects!$A$7,'M&amp;E'!$E$5:$E$22,3))*Rates!$B$8),0))*Rates!$C$18+((SUMIFS(Travel!$F$5:$F$22,Travel!$D$5:$D$22,Projects!$A$7,Travel!$E$5:$E$22,3))+IFERROR((SUMIFS(Travel!$F$5:$F$22,Travel!$D$5:$D$22,Projects!$A$7,Travel!$E$5:$E$22,3))/((SUMPRODUCT((Labor!$G$6:$G$25=Projects!$A$7)*(Labor!$E$6:$E$25="Prime")*N(Labor!$S$6:$S$25))*(1+Rates!$B$6)*(1+Rates!$B$7)+SUMPRODUCT((Labor!$G$6:$G$25=Projects!$A$7)*(Labor!$E$6:$E$25="Sub")*N(Labor!$S$6:$S$25)))+SUMIFS(ODCs!$F$5:$F$22,ODCs!$D$5:$D$22,Projects!$A$7,ODCs!$E$5:$E$22,3)+SUMIFS(Travel!$F$5:$F$22,Travel!$D$5:$D$22,Projects!$A$7,Travel!$E$5:$E$22,3)+SUMIFS('M&amp;E'!$F$5:$F$22,'M&amp;E'!$D$5:$D$22,Projects!$A$7,'M&amp;E'!$E$5:$E$22,3))*(((SUMPRODUCT((Labor!$G$6:$G$25=Projects!$A$7)*(Labor!$E$6:$E$25="Prime")*N(Labor!$S$6:$S$25))*(1+Rates!$B$6)*(1+Rates!$B$7)+SUMPRODUCT((Labor!$G$6:$G$25=Projects!$A$7)*(Labor!$E$6:$E$25="Sub")*N(Labor!$S$6:$S$25)))+SUMIFS(ODCs!$F$5:$F$22,ODCs!$D$5:$D$22,Projects!$A$7,ODCs!$E$5:$E$22,3)+SUMIFS(Travel!$F$5:$F$22,Travel!$D$5:$D$22,Projects!$A$7,Travel!$E$5:$E$22,3)+SUMIFS('M&amp;E'!$F$5:$F$22,'M&amp;E'!$D$5:$D$22,Projects!$A$7,'M&amp;E'!$E$5:$E$22,3))*Rates!$B$8),0))*Rates!$C$19+((SUMIFS(ODCs!$F$5:$F$22,ODCs!$D$5:$D$22,Projects!$A$7,ODCs!$E$5:$E$22,3))+IFERROR((SUMIFS(ODCs!$F$5:$F$22,ODCs!$D$5:$D$22,Projects!$A$7,ODCs!$E$5:$E$22,3))/((SUMPRODUCT((Labor!$G$6:$G$25=Projects!$A$7)*(Labor!$E$6:$E$25="Prime")*N(Labor!$S$6:$S$25))*(1+Rates!$B$6)*(1+Rates!$B$7)+SUMPRODUCT((Labor!$G$6:$G$25=Projects!$A$7)*(Labor!$E$6:$E$25="Sub")*N(Labor!$S$6:$S$25)))+SUMIFS(ODCs!$F$5:$F$22,ODCs!$D$5:$D$22,Projects!$A$7,ODCs!$E$5:$E$22,3)+SUMIFS(Travel!$F$5:$F$22,Travel!$D$5:$D$22,Projects!$A$7,Travel!$E$5:$E$22,3)+SUMIFS('M&amp;E'!$F$5:$F$22,'M&amp;E'!$D$5:$D$22,Projects!$A$7,'M&amp;E'!$E$5:$E$22,3))*(((SUMPRODUCT((Labor!$G$6:$G$25=Projects!$A$7)*(Labor!$E$6:$E$25="Prime")*N(Labor!$S$6:$S$25))*(1+Rates!$B$6)*(1+Rates!$B$7)+SUMPRODUCT((Labor!$G$6:$G$25=Projects!$A$7)*(Labor!$E$6:$E$25="Sub")*N(Labor!$S$6:$S$25)))+SUMIFS(ODCs!$F$5:$F$22,ODCs!$D$5:$D$22,Projects!$A$7,ODCs!$E$5:$E$22,3)+SUMIFS(Travel!$F$5:$F$22,Travel!$D$5:$D$22,Projects!$A$7,Travel!$E$5:$E$22,3)+SUMIFS('M&amp;E'!$F$5:$F$22,'M&amp;E'!$D$5:$D$22,Projects!$A$7,'M&amp;E'!$E$5:$E$22,3))*Rates!$B$8),0))*Rates!$C$20+((SUMIFS('M&amp;E'!$F$5:$F$22,'M&amp;E'!$D$5:$D$22,Projects!$A$7,'M&amp;E'!$E$5:$E$22,3))+IFERROR((SUMIFS('M&amp;E'!$F$5:$F$22,'M&amp;E'!$D$5:$D$22,Projects!$A$7,'M&amp;E'!$E$5:$E$22,3))/((SUMPRODUCT((Labor!$G$6:$G$25=Projects!$A$7)*(Labor!$E$6:$E$25="Prime")*N(Labor!$S$6:$S$25))*(1+Rates!$B$6)*(1+Rates!$B$7)+SUMPRODUCT((Labor!$G$6:$G$25=Projects!$A$7)*(Labor!$E$6:$E$25="Sub")*N(Labor!$S$6:$S$25)))+SUMIFS(ODCs!$F$5:$F$22,ODCs!$D$5:$D$22,Projects!$A$7,ODCs!$E$5:$E$22,3)+SUMIFS(Travel!$F$5:$F$22,Travel!$D$5:$D$22,Projects!$A$7,Travel!$E$5:$E$22,3)+SUMIFS('M&amp;E'!$F$5:$F$22,'M&amp;E'!$D$5:$D$22,Projects!$A$7,'M&amp;E'!$E$5:$E$22,3))*(((SUMPRODUCT((Labor!$G$6:$G$25=Projects!$A$7)*(Labor!$E$6:$E$25="Prime")*N(Labor!$S$6:$S$25))*(1+Rates!$B$6)*(1+Rates!$B$7)+SUMPRODUCT((Labor!$G$6:$G$25=Projects!$A$7)*(Labor!$E$6:$E$25="Sub")*N(Labor!$S$6:$S$25)))+SUMIFS(ODCs!$F$5:$F$22,ODCs!$D$5:$D$22,Projects!$A$7,ODCs!$E$5:$E$22,3)+SUMIFS(Travel!$F$5:$F$22,Travel!$D$5:$D$22,Projects!$A$7,Travel!$E$5:$E$22,3)+SUMIFS('M&amp;E'!$F$5:$F$22,'M&amp;E'!$D$5:$D$22,Projects!$A$7,'M&amp;E'!$E$5:$E$22,3))*Rates!$B$8),0))*Rates!$C$21))</f>
        <v/>
      </c>
      <c r="E23" s="132">
        <f>IF(Projects!$A$7="","",(((SUMPRODUCT((Labor!$G$6:$G$25=Projects!$A$7)*(Labor!$E$6:$E$25="Prime")*N(Labor!$W$6:$W$25))*(1+Rates!$B$6)*(1+Rates!$B$7)+SUMPRODUCT((Labor!$G$6:$G$25=Projects!$A$7)*(Labor!$E$6:$E$25="Sub")*N(Labor!$W$6:$W$25)))+SUMIFS(ODCs!$F$5:$F$22,ODCs!$D$5:$D$22,Projects!$A$7,ODCs!$E$5:$E$22,4)+SUMIFS(Travel!$F$5:$F$22,Travel!$D$5:$D$22,Projects!$A$7,Travel!$E$5:$E$22,4)+SUMIFS('M&amp;E'!$F$5:$F$22,'M&amp;E'!$D$5:$D$22,Projects!$A$7,'M&amp;E'!$E$5:$E$22,4))+(((SUMPRODUCT((Labor!$G$6:$G$25=Projects!$A$7)*(Labor!$E$6:$E$25="Prime")*N(Labor!$W$6:$W$25))*(1+Rates!$B$6)*(1+Rates!$B$7)+SUMPRODUCT((Labor!$G$6:$G$25=Projects!$A$7)*(Labor!$E$6:$E$25="Sub")*N(Labor!$W$6:$W$25)))+SUMIFS(ODCs!$F$5:$F$22,ODCs!$D$5:$D$22,Projects!$A$7,ODCs!$E$5:$E$22,4)+SUMIFS(Travel!$F$5:$F$22,Travel!$D$5:$D$22,Projects!$A$7,Travel!$E$5:$E$22,4)+SUMIFS('M&amp;E'!$F$5:$F$22,'M&amp;E'!$D$5:$D$22,Projects!$A$7,'M&amp;E'!$E$5:$E$22,4))*Rates!$B$8))+((((SUMPRODUCT((Labor!$G$6:$G$25=Projects!$A$7)*(Labor!$E$6:$E$25="Prime")*N(Labor!$W$6:$W$25))*(1+Rates!$B$6)*(1+Rates!$B$7)+SUMPRODUCT((Labor!$G$6:$G$25=Projects!$A$7)*(Labor!$E$6:$E$25="Sub")*N(Labor!$W$6:$W$25))))+IFERROR(((SUMPRODUCT((Labor!$G$6:$G$25=Projects!$A$7)*(Labor!$E$6:$E$25="Prime")*N(Labor!$W$6:$W$25))*(1+Rates!$B$6)*(1+Rates!$B$7)+SUMPRODUCT((Labor!$G$6:$G$25=Projects!$A$7)*(Labor!$E$6:$E$25="Sub")*N(Labor!$W$6:$W$25))))/((SUMPRODUCT((Labor!$G$6:$G$25=Projects!$A$7)*(Labor!$E$6:$E$25="Prime")*N(Labor!$W$6:$W$25))*(1+Rates!$B$6)*(1+Rates!$B$7)+SUMPRODUCT((Labor!$G$6:$G$25=Projects!$A$7)*(Labor!$E$6:$E$25="Sub")*N(Labor!$W$6:$W$25)))+SUMIFS(ODCs!$F$5:$F$22,ODCs!$D$5:$D$22,Projects!$A$7,ODCs!$E$5:$E$22,4)+SUMIFS(Travel!$F$5:$F$22,Travel!$D$5:$D$22,Projects!$A$7,Travel!$E$5:$E$22,4)+SUMIFS('M&amp;E'!$F$5:$F$22,'M&amp;E'!$D$5:$D$22,Projects!$A$7,'M&amp;E'!$E$5:$E$22,4))*(((SUMPRODUCT((Labor!$G$6:$G$25=Projects!$A$7)*(Labor!$E$6:$E$25="Prime")*N(Labor!$W$6:$W$25))*(1+Rates!$B$6)*(1+Rates!$B$7)+SUMPRODUCT((Labor!$G$6:$G$25=Projects!$A$7)*(Labor!$E$6:$E$25="Sub")*N(Labor!$W$6:$W$25)))+SUMIFS(ODCs!$F$5:$F$22,ODCs!$D$5:$D$22,Projects!$A$7,ODCs!$E$5:$E$22,4)+SUMIFS(Travel!$F$5:$F$22,Travel!$D$5:$D$22,Projects!$A$7,Travel!$E$5:$E$22,4)+SUMIFS('M&amp;E'!$F$5:$F$22,'M&amp;E'!$D$5:$D$22,Projects!$A$7,'M&amp;E'!$E$5:$E$22,4))*Rates!$B$8),0))*Rates!$C$18+((SUMIFS(Travel!$F$5:$F$22,Travel!$D$5:$D$22,Projects!$A$7,Travel!$E$5:$E$22,4))+IFERROR((SUMIFS(Travel!$F$5:$F$22,Travel!$D$5:$D$22,Projects!$A$7,Travel!$E$5:$E$22,4))/((SUMPRODUCT((Labor!$G$6:$G$25=Projects!$A$7)*(Labor!$E$6:$E$25="Prime")*N(Labor!$W$6:$W$25))*(1+Rates!$B$6)*(1+Rates!$B$7)+SUMPRODUCT((Labor!$G$6:$G$25=Projects!$A$7)*(Labor!$E$6:$E$25="Sub")*N(Labor!$W$6:$W$25)))+SUMIFS(ODCs!$F$5:$F$22,ODCs!$D$5:$D$22,Projects!$A$7,ODCs!$E$5:$E$22,4)+SUMIFS(Travel!$F$5:$F$22,Travel!$D$5:$D$22,Projects!$A$7,Travel!$E$5:$E$22,4)+SUMIFS('M&amp;E'!$F$5:$F$22,'M&amp;E'!$D$5:$D$22,Projects!$A$7,'M&amp;E'!$E$5:$E$22,4))*(((SUMPRODUCT((Labor!$G$6:$G$25=Projects!$A$7)*(Labor!$E$6:$E$25="Prime")*N(Labor!$W$6:$W$25))*(1+Rates!$B$6)*(1+Rates!$B$7)+SUMPRODUCT((Labor!$G$6:$G$25=Projects!$A$7)*(Labor!$E$6:$E$25="Sub")*N(Labor!$W$6:$W$25)))+SUMIFS(ODCs!$F$5:$F$22,ODCs!$D$5:$D$22,Projects!$A$7,ODCs!$E$5:$E$22,4)+SUMIFS(Travel!$F$5:$F$22,Travel!$D$5:$D$22,Projects!$A$7,Travel!$E$5:$E$22,4)+SUMIFS('M&amp;E'!$F$5:$F$22,'M&amp;E'!$D$5:$D$22,Projects!$A$7,'M&amp;E'!$E$5:$E$22,4))*Rates!$B$8),0))*Rates!$C$19+((SUMIFS(ODCs!$F$5:$F$22,ODCs!$D$5:$D$22,Projects!$A$7,ODCs!$E$5:$E$22,4))+IFERROR((SUMIFS(ODCs!$F$5:$F$22,ODCs!$D$5:$D$22,Projects!$A$7,ODCs!$E$5:$E$22,4))/((SUMPRODUCT((Labor!$G$6:$G$25=Projects!$A$7)*(Labor!$E$6:$E$25="Prime")*N(Labor!$W$6:$W$25))*(1+Rates!$B$6)*(1+Rates!$B$7)+SUMPRODUCT((Labor!$G$6:$G$25=Projects!$A$7)*(Labor!$E$6:$E$25="Sub")*N(Labor!$W$6:$W$25)))+SUMIFS(ODCs!$F$5:$F$22,ODCs!$D$5:$D$22,Projects!$A$7,ODCs!$E$5:$E$22,4)+SUMIFS(Travel!$F$5:$F$22,Travel!$D$5:$D$22,Projects!$A$7,Travel!$E$5:$E$22,4)+SUMIFS('M&amp;E'!$F$5:$F$22,'M&amp;E'!$D$5:$D$22,Projects!$A$7,'M&amp;E'!$E$5:$E$22,4))*(((SUMPRODUCT((Labor!$G$6:$G$25=Projects!$A$7)*(Labor!$E$6:$E$25="Prime")*N(Labor!$W$6:$W$25))*(1+Rates!$B$6)*(1+Rates!$B$7)+SUMPRODUCT((Labor!$G$6:$G$25=Projects!$A$7)*(Labor!$E$6:$E$25="Sub")*N(Labor!$W$6:$W$25)))+SUMIFS(ODCs!$F$5:$F$22,ODCs!$D$5:$D$22,Projects!$A$7,ODCs!$E$5:$E$22,4)+SUMIFS(Travel!$F$5:$F$22,Travel!$D$5:$D$22,Projects!$A$7,Travel!$E$5:$E$22,4)+SUMIFS('M&amp;E'!$F$5:$F$22,'M&amp;E'!$D$5:$D$22,Projects!$A$7,'M&amp;E'!$E$5:$E$22,4))*Rates!$B$8),0))*Rates!$C$20+((SUMIFS('M&amp;E'!$F$5:$F$22,'M&amp;E'!$D$5:$D$22,Projects!$A$7,'M&amp;E'!$E$5:$E$22,4))+IFERROR((SUMIFS('M&amp;E'!$F$5:$F$22,'M&amp;E'!$D$5:$D$22,Projects!$A$7,'M&amp;E'!$E$5:$E$22,4))/((SUMPRODUCT((Labor!$G$6:$G$25=Projects!$A$7)*(Labor!$E$6:$E$25="Prime")*N(Labor!$W$6:$W$25))*(1+Rates!$B$6)*(1+Rates!$B$7)+SUMPRODUCT((Labor!$G$6:$G$25=Projects!$A$7)*(Labor!$E$6:$E$25="Sub")*N(Labor!$W$6:$W$25)))+SUMIFS(ODCs!$F$5:$F$22,ODCs!$D$5:$D$22,Projects!$A$7,ODCs!$E$5:$E$22,4)+SUMIFS(Travel!$F$5:$F$22,Travel!$D$5:$D$22,Projects!$A$7,Travel!$E$5:$E$22,4)+SUMIFS('M&amp;E'!$F$5:$F$22,'M&amp;E'!$D$5:$D$22,Projects!$A$7,'M&amp;E'!$E$5:$E$22,4))*(((SUMPRODUCT((Labor!$G$6:$G$25=Projects!$A$7)*(Labor!$E$6:$E$25="Prime")*N(Labor!$W$6:$W$25))*(1+Rates!$B$6)*(1+Rates!$B$7)+SUMPRODUCT((Labor!$G$6:$G$25=Projects!$A$7)*(Labor!$E$6:$E$25="Sub")*N(Labor!$W$6:$W$25)))+SUMIFS(ODCs!$F$5:$F$22,ODCs!$D$5:$D$22,Projects!$A$7,ODCs!$E$5:$E$22,4)+SUMIFS(Travel!$F$5:$F$22,Travel!$D$5:$D$22,Projects!$A$7,Travel!$E$5:$E$22,4)+SUMIFS('M&amp;E'!$F$5:$F$22,'M&amp;E'!$D$5:$D$22,Projects!$A$7,'M&amp;E'!$E$5:$E$22,4))*Rates!$B$8),0))*Rates!$C$21))</f>
        <v/>
      </c>
      <c r="F23" s="132">
        <f>IF(Projects!$A$7="","",(((SUMPRODUCT((Labor!$G$6:$G$25=Projects!$A$7)*(Labor!$E$6:$E$25="Prime")*N(Labor!$AA$6:$AA$25))*(1+Rates!$B$6)*(1+Rates!$B$7)+SUMPRODUCT((Labor!$G$6:$G$25=Projects!$A$7)*(Labor!$E$6:$E$25="Sub")*N(Labor!$AA$6:$AA$25)))+SUMIFS(ODCs!$F$5:$F$22,ODCs!$D$5:$D$22,Projects!$A$7,ODCs!$E$5:$E$22,5)+SUMIFS(Travel!$F$5:$F$22,Travel!$D$5:$D$22,Projects!$A$7,Travel!$E$5:$E$22,5)+SUMIFS('M&amp;E'!$F$5:$F$22,'M&amp;E'!$D$5:$D$22,Projects!$A$7,'M&amp;E'!$E$5:$E$22,5))+(((SUMPRODUCT((Labor!$G$6:$G$25=Projects!$A$7)*(Labor!$E$6:$E$25="Prime")*N(Labor!$AA$6:$AA$25))*(1+Rates!$B$6)*(1+Rates!$B$7)+SUMPRODUCT((Labor!$G$6:$G$25=Projects!$A$7)*(Labor!$E$6:$E$25="Sub")*N(Labor!$AA$6:$AA$25)))+SUMIFS(ODCs!$F$5:$F$22,ODCs!$D$5:$D$22,Projects!$A$7,ODCs!$E$5:$E$22,5)+SUMIFS(Travel!$F$5:$F$22,Travel!$D$5:$D$22,Projects!$A$7,Travel!$E$5:$E$22,5)+SUMIFS('M&amp;E'!$F$5:$F$22,'M&amp;E'!$D$5:$D$22,Projects!$A$7,'M&amp;E'!$E$5:$E$22,5))*Rates!$B$8))+((((SUMPRODUCT((Labor!$G$6:$G$25=Projects!$A$7)*(Labor!$E$6:$E$25="Prime")*N(Labor!$AA$6:$AA$25))*(1+Rates!$B$6)*(1+Rates!$B$7)+SUMPRODUCT((Labor!$G$6:$G$25=Projects!$A$7)*(Labor!$E$6:$E$25="Sub")*N(Labor!$AA$6:$AA$25))))+IFERROR(((SUMPRODUCT((Labor!$G$6:$G$25=Projects!$A$7)*(Labor!$E$6:$E$25="Prime")*N(Labor!$AA$6:$AA$25))*(1+Rates!$B$6)*(1+Rates!$B$7)+SUMPRODUCT((Labor!$G$6:$G$25=Projects!$A$7)*(Labor!$E$6:$E$25="Sub")*N(Labor!$AA$6:$AA$25))))/((SUMPRODUCT((Labor!$G$6:$G$25=Projects!$A$7)*(Labor!$E$6:$E$25="Prime")*N(Labor!$AA$6:$AA$25))*(1+Rates!$B$6)*(1+Rates!$B$7)+SUMPRODUCT((Labor!$G$6:$G$25=Projects!$A$7)*(Labor!$E$6:$E$25="Sub")*N(Labor!$AA$6:$AA$25)))+SUMIFS(ODCs!$F$5:$F$22,ODCs!$D$5:$D$22,Projects!$A$7,ODCs!$E$5:$E$22,5)+SUMIFS(Travel!$F$5:$F$22,Travel!$D$5:$D$22,Projects!$A$7,Travel!$E$5:$E$22,5)+SUMIFS('M&amp;E'!$F$5:$F$22,'M&amp;E'!$D$5:$D$22,Projects!$A$7,'M&amp;E'!$E$5:$E$22,5))*(((SUMPRODUCT((Labor!$G$6:$G$25=Projects!$A$7)*(Labor!$E$6:$E$25="Prime")*N(Labor!$AA$6:$AA$25))*(1+Rates!$B$6)*(1+Rates!$B$7)+SUMPRODUCT((Labor!$G$6:$G$25=Projects!$A$7)*(Labor!$E$6:$E$25="Sub")*N(Labor!$AA$6:$AA$25)))+SUMIFS(ODCs!$F$5:$F$22,ODCs!$D$5:$D$22,Projects!$A$7,ODCs!$E$5:$E$22,5)+SUMIFS(Travel!$F$5:$F$22,Travel!$D$5:$D$22,Projects!$A$7,Travel!$E$5:$E$22,5)+SUMIFS('M&amp;E'!$F$5:$F$22,'M&amp;E'!$D$5:$D$22,Projects!$A$7,'M&amp;E'!$E$5:$E$22,5))*Rates!$B$8),0))*Rates!$C$18+((SUMIFS(Travel!$F$5:$F$22,Travel!$D$5:$D$22,Projects!$A$7,Travel!$E$5:$E$22,5))+IFERROR((SUMIFS(Travel!$F$5:$F$22,Travel!$D$5:$D$22,Projects!$A$7,Travel!$E$5:$E$22,5))/((SUMPRODUCT((Labor!$G$6:$G$25=Projects!$A$7)*(Labor!$E$6:$E$25="Prime")*N(Labor!$AA$6:$AA$25))*(1+Rates!$B$6)*(1+Rates!$B$7)+SUMPRODUCT((Labor!$G$6:$G$25=Projects!$A$7)*(Labor!$E$6:$E$25="Sub")*N(Labor!$AA$6:$AA$25)))+SUMIFS(ODCs!$F$5:$F$22,ODCs!$D$5:$D$22,Projects!$A$7,ODCs!$E$5:$E$22,5)+SUMIFS(Travel!$F$5:$F$22,Travel!$D$5:$D$22,Projects!$A$7,Travel!$E$5:$E$22,5)+SUMIFS('M&amp;E'!$F$5:$F$22,'M&amp;E'!$D$5:$D$22,Projects!$A$7,'M&amp;E'!$E$5:$E$22,5))*(((SUMPRODUCT((Labor!$G$6:$G$25=Projects!$A$7)*(Labor!$E$6:$E$25="Prime")*N(Labor!$AA$6:$AA$25))*(1+Rates!$B$6)*(1+Rates!$B$7)+SUMPRODUCT((Labor!$G$6:$G$25=Projects!$A$7)*(Labor!$E$6:$E$25="Sub")*N(Labor!$AA$6:$AA$25)))+SUMIFS(ODCs!$F$5:$F$22,ODCs!$D$5:$D$22,Projects!$A$7,ODCs!$E$5:$E$22,5)+SUMIFS(Travel!$F$5:$F$22,Travel!$D$5:$D$22,Projects!$A$7,Travel!$E$5:$E$22,5)+SUMIFS('M&amp;E'!$F$5:$F$22,'M&amp;E'!$D$5:$D$22,Projects!$A$7,'M&amp;E'!$E$5:$E$22,5))*Rates!$B$8),0))*Rates!$C$19+((SUMIFS(ODCs!$F$5:$F$22,ODCs!$D$5:$D$22,Projects!$A$7,ODCs!$E$5:$E$22,5))+IFERROR((SUMIFS(ODCs!$F$5:$F$22,ODCs!$D$5:$D$22,Projects!$A$7,ODCs!$E$5:$E$22,5))/((SUMPRODUCT((Labor!$G$6:$G$25=Projects!$A$7)*(Labor!$E$6:$E$25="Prime")*N(Labor!$AA$6:$AA$25))*(1+Rates!$B$6)*(1+Rates!$B$7)+SUMPRODUCT((Labor!$G$6:$G$25=Projects!$A$7)*(Labor!$E$6:$E$25="Sub")*N(Labor!$AA$6:$AA$25)))+SUMIFS(ODCs!$F$5:$F$22,ODCs!$D$5:$D$22,Projects!$A$7,ODCs!$E$5:$E$22,5)+SUMIFS(Travel!$F$5:$F$22,Travel!$D$5:$D$22,Projects!$A$7,Travel!$E$5:$E$22,5)+SUMIFS('M&amp;E'!$F$5:$F$22,'M&amp;E'!$D$5:$D$22,Projects!$A$7,'M&amp;E'!$E$5:$E$22,5))*(((SUMPRODUCT((Labor!$G$6:$G$25=Projects!$A$7)*(Labor!$E$6:$E$25="Prime")*N(Labor!$AA$6:$AA$25))*(1+Rates!$B$6)*(1+Rates!$B$7)+SUMPRODUCT((Labor!$G$6:$G$25=Projects!$A$7)*(Labor!$E$6:$E$25="Sub")*N(Labor!$AA$6:$AA$25)))+SUMIFS(ODCs!$F$5:$F$22,ODCs!$D$5:$D$22,Projects!$A$7,ODCs!$E$5:$E$22,5)+SUMIFS(Travel!$F$5:$F$22,Travel!$D$5:$D$22,Projects!$A$7,Travel!$E$5:$E$22,5)+SUMIFS('M&amp;E'!$F$5:$F$22,'M&amp;E'!$D$5:$D$22,Projects!$A$7,'M&amp;E'!$E$5:$E$22,5))*Rates!$B$8),0))*Rates!$C$20+((SUMIFS('M&amp;E'!$F$5:$F$22,'M&amp;E'!$D$5:$D$22,Projects!$A$7,'M&amp;E'!$E$5:$E$22,5))+IFERROR((SUMIFS('M&amp;E'!$F$5:$F$22,'M&amp;E'!$D$5:$D$22,Projects!$A$7,'M&amp;E'!$E$5:$E$22,5))/((SUMPRODUCT((Labor!$G$6:$G$25=Projects!$A$7)*(Labor!$E$6:$E$25="Prime")*N(Labor!$AA$6:$AA$25))*(1+Rates!$B$6)*(1+Rates!$B$7)+SUMPRODUCT((Labor!$G$6:$G$25=Projects!$A$7)*(Labor!$E$6:$E$25="Sub")*N(Labor!$AA$6:$AA$25)))+SUMIFS(ODCs!$F$5:$F$22,ODCs!$D$5:$D$22,Projects!$A$7,ODCs!$E$5:$E$22,5)+SUMIFS(Travel!$F$5:$F$22,Travel!$D$5:$D$22,Projects!$A$7,Travel!$E$5:$E$22,5)+SUMIFS('M&amp;E'!$F$5:$F$22,'M&amp;E'!$D$5:$D$22,Projects!$A$7,'M&amp;E'!$E$5:$E$22,5))*(((SUMPRODUCT((Labor!$G$6:$G$25=Projects!$A$7)*(Labor!$E$6:$E$25="Prime")*N(Labor!$AA$6:$AA$25))*(1+Rates!$B$6)*(1+Rates!$B$7)+SUMPRODUCT((Labor!$G$6:$G$25=Projects!$A$7)*(Labor!$E$6:$E$25="Sub")*N(Labor!$AA$6:$AA$25)))+SUMIFS(ODCs!$F$5:$F$22,ODCs!$D$5:$D$22,Projects!$A$7,ODCs!$E$5:$E$22,5)+SUMIFS(Travel!$F$5:$F$22,Travel!$D$5:$D$22,Projects!$A$7,Travel!$E$5:$E$22,5)+SUMIFS('M&amp;E'!$F$5:$F$22,'M&amp;E'!$D$5:$D$22,Projects!$A$7,'M&amp;E'!$E$5:$E$22,5))*Rates!$B$8),0))*Rates!$C$21))</f>
        <v/>
      </c>
      <c r="G23" s="132">
        <f>IF(Projects!$A$7="","",(((SUMPRODUCT((Labor!$G$6:$G$25=Projects!$A$7)*(Labor!$E$6:$E$25="Prime")*N(Labor!$AE$6:$AE$25))*(1+Rates!$B$6)*(1+Rates!$B$7)+SUMPRODUCT((Labor!$G$6:$G$25=Projects!$A$7)*(Labor!$E$6:$E$25="Sub")*N(Labor!$AE$6:$AE$25)))+SUMIFS(ODCs!$F$5:$F$22,ODCs!$D$5:$D$22,Projects!$A$7,ODCs!$E$5:$E$22,6)+SUMIFS(Travel!$F$5:$F$22,Travel!$D$5:$D$22,Projects!$A$7,Travel!$E$5:$E$22,6)+SUMIFS('M&amp;E'!$F$5:$F$22,'M&amp;E'!$D$5:$D$22,Projects!$A$7,'M&amp;E'!$E$5:$E$22,6))+(((SUMPRODUCT((Labor!$G$6:$G$25=Projects!$A$7)*(Labor!$E$6:$E$25="Prime")*N(Labor!$AE$6:$AE$25))*(1+Rates!$B$6)*(1+Rates!$B$7)+SUMPRODUCT((Labor!$G$6:$G$25=Projects!$A$7)*(Labor!$E$6:$E$25="Sub")*N(Labor!$AE$6:$AE$25)))+SUMIFS(ODCs!$F$5:$F$22,ODCs!$D$5:$D$22,Projects!$A$7,ODCs!$E$5:$E$22,6)+SUMIFS(Travel!$F$5:$F$22,Travel!$D$5:$D$22,Projects!$A$7,Travel!$E$5:$E$22,6)+SUMIFS('M&amp;E'!$F$5:$F$22,'M&amp;E'!$D$5:$D$22,Projects!$A$7,'M&amp;E'!$E$5:$E$22,6))*Rates!$B$8))+((((SUMPRODUCT((Labor!$G$6:$G$25=Projects!$A$7)*(Labor!$E$6:$E$25="Prime")*N(Labor!$AE$6:$AE$25))*(1+Rates!$B$6)*(1+Rates!$B$7)+SUMPRODUCT((Labor!$G$6:$G$25=Projects!$A$7)*(Labor!$E$6:$E$25="Sub")*N(Labor!$AE$6:$AE$25))))+IFERROR(((SUMPRODUCT((Labor!$G$6:$G$25=Projects!$A$7)*(Labor!$E$6:$E$25="Prime")*N(Labor!$AE$6:$AE$25))*(1+Rates!$B$6)*(1+Rates!$B$7)+SUMPRODUCT((Labor!$G$6:$G$25=Projects!$A$7)*(Labor!$E$6:$E$25="Sub")*N(Labor!$AE$6:$AE$25))))/((SUMPRODUCT((Labor!$G$6:$G$25=Projects!$A$7)*(Labor!$E$6:$E$25="Prime")*N(Labor!$AE$6:$AE$25))*(1+Rates!$B$6)*(1+Rates!$B$7)+SUMPRODUCT((Labor!$G$6:$G$25=Projects!$A$7)*(Labor!$E$6:$E$25="Sub")*N(Labor!$AE$6:$AE$25)))+SUMIFS(ODCs!$F$5:$F$22,ODCs!$D$5:$D$22,Projects!$A$7,ODCs!$E$5:$E$22,6)+SUMIFS(Travel!$F$5:$F$22,Travel!$D$5:$D$22,Projects!$A$7,Travel!$E$5:$E$22,6)+SUMIFS('M&amp;E'!$F$5:$F$22,'M&amp;E'!$D$5:$D$22,Projects!$A$7,'M&amp;E'!$E$5:$E$22,6))*(((SUMPRODUCT((Labor!$G$6:$G$25=Projects!$A$7)*(Labor!$E$6:$E$25="Prime")*N(Labor!$AE$6:$AE$25))*(1+Rates!$B$6)*(1+Rates!$B$7)+SUMPRODUCT((Labor!$G$6:$G$25=Projects!$A$7)*(Labor!$E$6:$E$25="Sub")*N(Labor!$AE$6:$AE$25)))+SUMIFS(ODCs!$F$5:$F$22,ODCs!$D$5:$D$22,Projects!$A$7,ODCs!$E$5:$E$22,6)+SUMIFS(Travel!$F$5:$F$22,Travel!$D$5:$D$22,Projects!$A$7,Travel!$E$5:$E$22,6)+SUMIFS('M&amp;E'!$F$5:$F$22,'M&amp;E'!$D$5:$D$22,Projects!$A$7,'M&amp;E'!$E$5:$E$22,6))*Rates!$B$8),0))*Rates!$C$18+((SUMIFS(Travel!$F$5:$F$22,Travel!$D$5:$D$22,Projects!$A$7,Travel!$E$5:$E$22,6))+IFERROR((SUMIFS(Travel!$F$5:$F$22,Travel!$D$5:$D$22,Projects!$A$7,Travel!$E$5:$E$22,6))/((SUMPRODUCT((Labor!$G$6:$G$25=Projects!$A$7)*(Labor!$E$6:$E$25="Prime")*N(Labor!$AE$6:$AE$25))*(1+Rates!$B$6)*(1+Rates!$B$7)+SUMPRODUCT((Labor!$G$6:$G$25=Projects!$A$7)*(Labor!$E$6:$E$25="Sub")*N(Labor!$AE$6:$AE$25)))+SUMIFS(ODCs!$F$5:$F$22,ODCs!$D$5:$D$22,Projects!$A$7,ODCs!$E$5:$E$22,6)+SUMIFS(Travel!$F$5:$F$22,Travel!$D$5:$D$22,Projects!$A$7,Travel!$E$5:$E$22,6)+SUMIFS('M&amp;E'!$F$5:$F$22,'M&amp;E'!$D$5:$D$22,Projects!$A$7,'M&amp;E'!$E$5:$E$22,6))*(((SUMPRODUCT((Labor!$G$6:$G$25=Projects!$A$7)*(Labor!$E$6:$E$25="Prime")*N(Labor!$AE$6:$AE$25))*(1+Rates!$B$6)*(1+Rates!$B$7)+SUMPRODUCT((Labor!$G$6:$G$25=Projects!$A$7)*(Labor!$E$6:$E$25="Sub")*N(Labor!$AE$6:$AE$25)))+SUMIFS(ODCs!$F$5:$F$22,ODCs!$D$5:$D$22,Projects!$A$7,ODCs!$E$5:$E$22,6)+SUMIFS(Travel!$F$5:$F$22,Travel!$D$5:$D$22,Projects!$A$7,Travel!$E$5:$E$22,6)+SUMIFS('M&amp;E'!$F$5:$F$22,'M&amp;E'!$D$5:$D$22,Projects!$A$7,'M&amp;E'!$E$5:$E$22,6))*Rates!$B$8),0))*Rates!$C$19+((SUMIFS(ODCs!$F$5:$F$22,ODCs!$D$5:$D$22,Projects!$A$7,ODCs!$E$5:$E$22,6))+IFERROR((SUMIFS(ODCs!$F$5:$F$22,ODCs!$D$5:$D$22,Projects!$A$7,ODCs!$E$5:$E$22,6))/((SUMPRODUCT((Labor!$G$6:$G$25=Projects!$A$7)*(Labor!$E$6:$E$25="Prime")*N(Labor!$AE$6:$AE$25))*(1+Rates!$B$6)*(1+Rates!$B$7)+SUMPRODUCT((Labor!$G$6:$G$25=Projects!$A$7)*(Labor!$E$6:$E$25="Sub")*N(Labor!$AE$6:$AE$25)))+SUMIFS(ODCs!$F$5:$F$22,ODCs!$D$5:$D$22,Projects!$A$7,ODCs!$E$5:$E$22,6)+SUMIFS(Travel!$F$5:$F$22,Travel!$D$5:$D$22,Projects!$A$7,Travel!$E$5:$E$22,6)+SUMIFS('M&amp;E'!$F$5:$F$22,'M&amp;E'!$D$5:$D$22,Projects!$A$7,'M&amp;E'!$E$5:$E$22,6))*(((SUMPRODUCT((Labor!$G$6:$G$25=Projects!$A$7)*(Labor!$E$6:$E$25="Prime")*N(Labor!$AE$6:$AE$25))*(1+Rates!$B$6)*(1+Rates!$B$7)+SUMPRODUCT((Labor!$G$6:$G$25=Projects!$A$7)*(Labor!$E$6:$E$25="Sub")*N(Labor!$AE$6:$AE$25)))+SUMIFS(ODCs!$F$5:$F$22,ODCs!$D$5:$D$22,Projects!$A$7,ODCs!$E$5:$E$22,6)+SUMIFS(Travel!$F$5:$F$22,Travel!$D$5:$D$22,Projects!$A$7,Travel!$E$5:$E$22,6)+SUMIFS('M&amp;E'!$F$5:$F$22,'M&amp;E'!$D$5:$D$22,Projects!$A$7,'M&amp;E'!$E$5:$E$22,6))*Rates!$B$8),0))*Rates!$C$20+((SUMIFS('M&amp;E'!$F$5:$F$22,'M&amp;E'!$D$5:$D$22,Projects!$A$7,'M&amp;E'!$E$5:$E$22,6))+IFERROR((SUMIFS('M&amp;E'!$F$5:$F$22,'M&amp;E'!$D$5:$D$22,Projects!$A$7,'M&amp;E'!$E$5:$E$22,6))/((SUMPRODUCT((Labor!$G$6:$G$25=Projects!$A$7)*(Labor!$E$6:$E$25="Prime")*N(Labor!$AE$6:$AE$25))*(1+Rates!$B$6)*(1+Rates!$B$7)+SUMPRODUCT((Labor!$G$6:$G$25=Projects!$A$7)*(Labor!$E$6:$E$25="Sub")*N(Labor!$AE$6:$AE$25)))+SUMIFS(ODCs!$F$5:$F$22,ODCs!$D$5:$D$22,Projects!$A$7,ODCs!$E$5:$E$22,6)+SUMIFS(Travel!$F$5:$F$22,Travel!$D$5:$D$22,Projects!$A$7,Travel!$E$5:$E$22,6)+SUMIFS('M&amp;E'!$F$5:$F$22,'M&amp;E'!$D$5:$D$22,Projects!$A$7,'M&amp;E'!$E$5:$E$22,6))*(((SUMPRODUCT((Labor!$G$6:$G$25=Projects!$A$7)*(Labor!$E$6:$E$25="Prime")*N(Labor!$AE$6:$AE$25))*(1+Rates!$B$6)*(1+Rates!$B$7)+SUMPRODUCT((Labor!$G$6:$G$25=Projects!$A$7)*(Labor!$E$6:$E$25="Sub")*N(Labor!$AE$6:$AE$25)))+SUMIFS(ODCs!$F$5:$F$22,ODCs!$D$5:$D$22,Projects!$A$7,ODCs!$E$5:$E$22,6)+SUMIFS(Travel!$F$5:$F$22,Travel!$D$5:$D$22,Projects!$A$7,Travel!$E$5:$E$22,6)+SUMIFS('M&amp;E'!$F$5:$F$22,'M&amp;E'!$D$5:$D$22,Projects!$A$7,'M&amp;E'!$E$5:$E$22,6))*Rates!$B$8),0))*Rates!$C$21))</f>
        <v/>
      </c>
      <c r="H23" s="132">
        <f>IF(Projects!$A$7="","",(((SUMPRODUCT((Labor!$G$6:$G$25=Projects!$A$7)*(Labor!$E$6:$E$25="Prime")*N(Labor!$AI$6:$AI$25))*(1+Rates!$B$6)*(1+Rates!$B$7)+SUMPRODUCT((Labor!$G$6:$G$25=Projects!$A$7)*(Labor!$E$6:$E$25="Sub")*N(Labor!$AI$6:$AI$25)))+SUMIFS(ODCs!$F$5:$F$22,ODCs!$D$5:$D$22,Projects!$A$7,ODCs!$E$5:$E$22,7)+SUMIFS(Travel!$F$5:$F$22,Travel!$D$5:$D$22,Projects!$A$7,Travel!$E$5:$E$22,7)+SUMIFS('M&amp;E'!$F$5:$F$22,'M&amp;E'!$D$5:$D$22,Projects!$A$7,'M&amp;E'!$E$5:$E$22,7))+(((SUMPRODUCT((Labor!$G$6:$G$25=Projects!$A$7)*(Labor!$E$6:$E$25="Prime")*N(Labor!$AI$6:$AI$25))*(1+Rates!$B$6)*(1+Rates!$B$7)+SUMPRODUCT((Labor!$G$6:$G$25=Projects!$A$7)*(Labor!$E$6:$E$25="Sub")*N(Labor!$AI$6:$AI$25)))+SUMIFS(ODCs!$F$5:$F$22,ODCs!$D$5:$D$22,Projects!$A$7,ODCs!$E$5:$E$22,7)+SUMIFS(Travel!$F$5:$F$22,Travel!$D$5:$D$22,Projects!$A$7,Travel!$E$5:$E$22,7)+SUMIFS('M&amp;E'!$F$5:$F$22,'M&amp;E'!$D$5:$D$22,Projects!$A$7,'M&amp;E'!$E$5:$E$22,7))*Rates!$B$8))+((((SUMPRODUCT((Labor!$G$6:$G$25=Projects!$A$7)*(Labor!$E$6:$E$25="Prime")*N(Labor!$AI$6:$AI$25))*(1+Rates!$B$6)*(1+Rates!$B$7)+SUMPRODUCT((Labor!$G$6:$G$25=Projects!$A$7)*(Labor!$E$6:$E$25="Sub")*N(Labor!$AI$6:$AI$25))))+IFERROR(((SUMPRODUCT((Labor!$G$6:$G$25=Projects!$A$7)*(Labor!$E$6:$E$25="Prime")*N(Labor!$AI$6:$AI$25))*(1+Rates!$B$6)*(1+Rates!$B$7)+SUMPRODUCT((Labor!$G$6:$G$25=Projects!$A$7)*(Labor!$E$6:$E$25="Sub")*N(Labor!$AI$6:$AI$25))))/((SUMPRODUCT((Labor!$G$6:$G$25=Projects!$A$7)*(Labor!$E$6:$E$25="Prime")*N(Labor!$AI$6:$AI$25))*(1+Rates!$B$6)*(1+Rates!$B$7)+SUMPRODUCT((Labor!$G$6:$G$25=Projects!$A$7)*(Labor!$E$6:$E$25="Sub")*N(Labor!$AI$6:$AI$25)))+SUMIFS(ODCs!$F$5:$F$22,ODCs!$D$5:$D$22,Projects!$A$7,ODCs!$E$5:$E$22,7)+SUMIFS(Travel!$F$5:$F$22,Travel!$D$5:$D$22,Projects!$A$7,Travel!$E$5:$E$22,7)+SUMIFS('M&amp;E'!$F$5:$F$22,'M&amp;E'!$D$5:$D$22,Projects!$A$7,'M&amp;E'!$E$5:$E$22,7))*(((SUMPRODUCT((Labor!$G$6:$G$25=Projects!$A$7)*(Labor!$E$6:$E$25="Prime")*N(Labor!$AI$6:$AI$25))*(1+Rates!$B$6)*(1+Rates!$B$7)+SUMPRODUCT((Labor!$G$6:$G$25=Projects!$A$7)*(Labor!$E$6:$E$25="Sub")*N(Labor!$AI$6:$AI$25)))+SUMIFS(ODCs!$F$5:$F$22,ODCs!$D$5:$D$22,Projects!$A$7,ODCs!$E$5:$E$22,7)+SUMIFS(Travel!$F$5:$F$22,Travel!$D$5:$D$22,Projects!$A$7,Travel!$E$5:$E$22,7)+SUMIFS('M&amp;E'!$F$5:$F$22,'M&amp;E'!$D$5:$D$22,Projects!$A$7,'M&amp;E'!$E$5:$E$22,7))*Rates!$B$8),0))*Rates!$C$18+((SUMIFS(Travel!$F$5:$F$22,Travel!$D$5:$D$22,Projects!$A$7,Travel!$E$5:$E$22,7))+IFERROR((SUMIFS(Travel!$F$5:$F$22,Travel!$D$5:$D$22,Projects!$A$7,Travel!$E$5:$E$22,7))/((SUMPRODUCT((Labor!$G$6:$G$25=Projects!$A$7)*(Labor!$E$6:$E$25="Prime")*N(Labor!$AI$6:$AI$25))*(1+Rates!$B$6)*(1+Rates!$B$7)+SUMPRODUCT((Labor!$G$6:$G$25=Projects!$A$7)*(Labor!$E$6:$E$25="Sub")*N(Labor!$AI$6:$AI$25)))+SUMIFS(ODCs!$F$5:$F$22,ODCs!$D$5:$D$22,Projects!$A$7,ODCs!$E$5:$E$22,7)+SUMIFS(Travel!$F$5:$F$22,Travel!$D$5:$D$22,Projects!$A$7,Travel!$E$5:$E$22,7)+SUMIFS('M&amp;E'!$F$5:$F$22,'M&amp;E'!$D$5:$D$22,Projects!$A$7,'M&amp;E'!$E$5:$E$22,7))*(((SUMPRODUCT((Labor!$G$6:$G$25=Projects!$A$7)*(Labor!$E$6:$E$25="Prime")*N(Labor!$AI$6:$AI$25))*(1+Rates!$B$6)*(1+Rates!$B$7)+SUMPRODUCT((Labor!$G$6:$G$25=Projects!$A$7)*(Labor!$E$6:$E$25="Sub")*N(Labor!$AI$6:$AI$25)))+SUMIFS(ODCs!$F$5:$F$22,ODCs!$D$5:$D$22,Projects!$A$7,ODCs!$E$5:$E$22,7)+SUMIFS(Travel!$F$5:$F$22,Travel!$D$5:$D$22,Projects!$A$7,Travel!$E$5:$E$22,7)+SUMIFS('M&amp;E'!$F$5:$F$22,'M&amp;E'!$D$5:$D$22,Projects!$A$7,'M&amp;E'!$E$5:$E$22,7))*Rates!$B$8),0))*Rates!$C$19+((SUMIFS(ODCs!$F$5:$F$22,ODCs!$D$5:$D$22,Projects!$A$7,ODCs!$E$5:$E$22,7))+IFERROR((SUMIFS(ODCs!$F$5:$F$22,ODCs!$D$5:$D$22,Projects!$A$7,ODCs!$E$5:$E$22,7))/((SUMPRODUCT((Labor!$G$6:$G$25=Projects!$A$7)*(Labor!$E$6:$E$25="Prime")*N(Labor!$AI$6:$AI$25))*(1+Rates!$B$6)*(1+Rates!$B$7)+SUMPRODUCT((Labor!$G$6:$G$25=Projects!$A$7)*(Labor!$E$6:$E$25="Sub")*N(Labor!$AI$6:$AI$25)))+SUMIFS(ODCs!$F$5:$F$22,ODCs!$D$5:$D$22,Projects!$A$7,ODCs!$E$5:$E$22,7)+SUMIFS(Travel!$F$5:$F$22,Travel!$D$5:$D$22,Projects!$A$7,Travel!$E$5:$E$22,7)+SUMIFS('M&amp;E'!$F$5:$F$22,'M&amp;E'!$D$5:$D$22,Projects!$A$7,'M&amp;E'!$E$5:$E$22,7))*(((SUMPRODUCT((Labor!$G$6:$G$25=Projects!$A$7)*(Labor!$E$6:$E$25="Prime")*N(Labor!$AI$6:$AI$25))*(1+Rates!$B$6)*(1+Rates!$B$7)+SUMPRODUCT((Labor!$G$6:$G$25=Projects!$A$7)*(Labor!$E$6:$E$25="Sub")*N(Labor!$AI$6:$AI$25)))+SUMIFS(ODCs!$F$5:$F$22,ODCs!$D$5:$D$22,Projects!$A$7,ODCs!$E$5:$E$22,7)+SUMIFS(Travel!$F$5:$F$22,Travel!$D$5:$D$22,Projects!$A$7,Travel!$E$5:$E$22,7)+SUMIFS('M&amp;E'!$F$5:$F$22,'M&amp;E'!$D$5:$D$22,Projects!$A$7,'M&amp;E'!$E$5:$E$22,7))*Rates!$B$8),0))*Rates!$C$20+((SUMIFS('M&amp;E'!$F$5:$F$22,'M&amp;E'!$D$5:$D$22,Projects!$A$7,'M&amp;E'!$E$5:$E$22,7))+IFERROR((SUMIFS('M&amp;E'!$F$5:$F$22,'M&amp;E'!$D$5:$D$22,Projects!$A$7,'M&amp;E'!$E$5:$E$22,7))/((SUMPRODUCT((Labor!$G$6:$G$25=Projects!$A$7)*(Labor!$E$6:$E$25="Prime")*N(Labor!$AI$6:$AI$25))*(1+Rates!$B$6)*(1+Rates!$B$7)+SUMPRODUCT((Labor!$G$6:$G$25=Projects!$A$7)*(Labor!$E$6:$E$25="Sub")*N(Labor!$AI$6:$AI$25)))+SUMIFS(ODCs!$F$5:$F$22,ODCs!$D$5:$D$22,Projects!$A$7,ODCs!$E$5:$E$22,7)+SUMIFS(Travel!$F$5:$F$22,Travel!$D$5:$D$22,Projects!$A$7,Travel!$E$5:$E$22,7)+SUMIFS('M&amp;E'!$F$5:$F$22,'M&amp;E'!$D$5:$D$22,Projects!$A$7,'M&amp;E'!$E$5:$E$22,7))*(((SUMPRODUCT((Labor!$G$6:$G$25=Projects!$A$7)*(Labor!$E$6:$E$25="Prime")*N(Labor!$AI$6:$AI$25))*(1+Rates!$B$6)*(1+Rates!$B$7)+SUMPRODUCT((Labor!$G$6:$G$25=Projects!$A$7)*(Labor!$E$6:$E$25="Sub")*N(Labor!$AI$6:$AI$25)))+SUMIFS(ODCs!$F$5:$F$22,ODCs!$D$5:$D$22,Projects!$A$7,ODCs!$E$5:$E$22,7)+SUMIFS(Travel!$F$5:$F$22,Travel!$D$5:$D$22,Projects!$A$7,Travel!$E$5:$E$22,7)+SUMIFS('M&amp;E'!$F$5:$F$22,'M&amp;E'!$D$5:$D$22,Projects!$A$7,'M&amp;E'!$E$5:$E$22,7))*Rates!$B$8),0))*Rates!$C$21))</f>
        <v/>
      </c>
      <c r="I23" s="132">
        <f>IF(Projects!$A$7="","",(((SUMPRODUCT((Labor!$G$6:$G$25=Projects!$A$7)*(Labor!$E$6:$E$25="Prime")*N(Labor!$AM$6:$AM$25))*(1+Rates!$B$6)*(1+Rates!$B$7)+SUMPRODUCT((Labor!$G$6:$G$25=Projects!$A$7)*(Labor!$E$6:$E$25="Sub")*N(Labor!$AM$6:$AM$25)))+SUMIFS(ODCs!$F$5:$F$22,ODCs!$D$5:$D$22,Projects!$A$7,ODCs!$E$5:$E$22,8)+SUMIFS(Travel!$F$5:$F$22,Travel!$D$5:$D$22,Projects!$A$7,Travel!$E$5:$E$22,8)+SUMIFS('M&amp;E'!$F$5:$F$22,'M&amp;E'!$D$5:$D$22,Projects!$A$7,'M&amp;E'!$E$5:$E$22,8))+(((SUMPRODUCT((Labor!$G$6:$G$25=Projects!$A$7)*(Labor!$E$6:$E$25="Prime")*N(Labor!$AM$6:$AM$25))*(1+Rates!$B$6)*(1+Rates!$B$7)+SUMPRODUCT((Labor!$G$6:$G$25=Projects!$A$7)*(Labor!$E$6:$E$25="Sub")*N(Labor!$AM$6:$AM$25)))+SUMIFS(ODCs!$F$5:$F$22,ODCs!$D$5:$D$22,Projects!$A$7,ODCs!$E$5:$E$22,8)+SUMIFS(Travel!$F$5:$F$22,Travel!$D$5:$D$22,Projects!$A$7,Travel!$E$5:$E$22,8)+SUMIFS('M&amp;E'!$F$5:$F$22,'M&amp;E'!$D$5:$D$22,Projects!$A$7,'M&amp;E'!$E$5:$E$22,8))*Rates!$B$8))+((((SUMPRODUCT((Labor!$G$6:$G$25=Projects!$A$7)*(Labor!$E$6:$E$25="Prime")*N(Labor!$AM$6:$AM$25))*(1+Rates!$B$6)*(1+Rates!$B$7)+SUMPRODUCT((Labor!$G$6:$G$25=Projects!$A$7)*(Labor!$E$6:$E$25="Sub")*N(Labor!$AM$6:$AM$25))))+IFERROR(((SUMPRODUCT((Labor!$G$6:$G$25=Projects!$A$7)*(Labor!$E$6:$E$25="Prime")*N(Labor!$AM$6:$AM$25))*(1+Rates!$B$6)*(1+Rates!$B$7)+SUMPRODUCT((Labor!$G$6:$G$25=Projects!$A$7)*(Labor!$E$6:$E$25="Sub")*N(Labor!$AM$6:$AM$25))))/((SUMPRODUCT((Labor!$G$6:$G$25=Projects!$A$7)*(Labor!$E$6:$E$25="Prime")*N(Labor!$AM$6:$AM$25))*(1+Rates!$B$6)*(1+Rates!$B$7)+SUMPRODUCT((Labor!$G$6:$G$25=Projects!$A$7)*(Labor!$E$6:$E$25="Sub")*N(Labor!$AM$6:$AM$25)))+SUMIFS(ODCs!$F$5:$F$22,ODCs!$D$5:$D$22,Projects!$A$7,ODCs!$E$5:$E$22,8)+SUMIFS(Travel!$F$5:$F$22,Travel!$D$5:$D$22,Projects!$A$7,Travel!$E$5:$E$22,8)+SUMIFS('M&amp;E'!$F$5:$F$22,'M&amp;E'!$D$5:$D$22,Projects!$A$7,'M&amp;E'!$E$5:$E$22,8))*(((SUMPRODUCT((Labor!$G$6:$G$25=Projects!$A$7)*(Labor!$E$6:$E$25="Prime")*N(Labor!$AM$6:$AM$25))*(1+Rates!$B$6)*(1+Rates!$B$7)+SUMPRODUCT((Labor!$G$6:$G$25=Projects!$A$7)*(Labor!$E$6:$E$25="Sub")*N(Labor!$AM$6:$AM$25)))+SUMIFS(ODCs!$F$5:$F$22,ODCs!$D$5:$D$22,Projects!$A$7,ODCs!$E$5:$E$22,8)+SUMIFS(Travel!$F$5:$F$22,Travel!$D$5:$D$22,Projects!$A$7,Travel!$E$5:$E$22,8)+SUMIFS('M&amp;E'!$F$5:$F$22,'M&amp;E'!$D$5:$D$22,Projects!$A$7,'M&amp;E'!$E$5:$E$22,8))*Rates!$B$8),0))*Rates!$C$18+((SUMIFS(Travel!$F$5:$F$22,Travel!$D$5:$D$22,Projects!$A$7,Travel!$E$5:$E$22,8))+IFERROR((SUMIFS(Travel!$F$5:$F$22,Travel!$D$5:$D$22,Projects!$A$7,Travel!$E$5:$E$22,8))/((SUMPRODUCT((Labor!$G$6:$G$25=Projects!$A$7)*(Labor!$E$6:$E$25="Prime")*N(Labor!$AM$6:$AM$25))*(1+Rates!$B$6)*(1+Rates!$B$7)+SUMPRODUCT((Labor!$G$6:$G$25=Projects!$A$7)*(Labor!$E$6:$E$25="Sub")*N(Labor!$AM$6:$AM$25)))+SUMIFS(ODCs!$F$5:$F$22,ODCs!$D$5:$D$22,Projects!$A$7,ODCs!$E$5:$E$22,8)+SUMIFS(Travel!$F$5:$F$22,Travel!$D$5:$D$22,Projects!$A$7,Travel!$E$5:$E$22,8)+SUMIFS('M&amp;E'!$F$5:$F$22,'M&amp;E'!$D$5:$D$22,Projects!$A$7,'M&amp;E'!$E$5:$E$22,8))*(((SUMPRODUCT((Labor!$G$6:$G$25=Projects!$A$7)*(Labor!$E$6:$E$25="Prime")*N(Labor!$AM$6:$AM$25))*(1+Rates!$B$6)*(1+Rates!$B$7)+SUMPRODUCT((Labor!$G$6:$G$25=Projects!$A$7)*(Labor!$E$6:$E$25="Sub")*N(Labor!$AM$6:$AM$25)))+SUMIFS(ODCs!$F$5:$F$22,ODCs!$D$5:$D$22,Projects!$A$7,ODCs!$E$5:$E$22,8)+SUMIFS(Travel!$F$5:$F$22,Travel!$D$5:$D$22,Projects!$A$7,Travel!$E$5:$E$22,8)+SUMIFS('M&amp;E'!$F$5:$F$22,'M&amp;E'!$D$5:$D$22,Projects!$A$7,'M&amp;E'!$E$5:$E$22,8))*Rates!$B$8),0))*Rates!$C$19+((SUMIFS(ODCs!$F$5:$F$22,ODCs!$D$5:$D$22,Projects!$A$7,ODCs!$E$5:$E$22,8))+IFERROR((SUMIFS(ODCs!$F$5:$F$22,ODCs!$D$5:$D$22,Projects!$A$7,ODCs!$E$5:$E$22,8))/((SUMPRODUCT((Labor!$G$6:$G$25=Projects!$A$7)*(Labor!$E$6:$E$25="Prime")*N(Labor!$AM$6:$AM$25))*(1+Rates!$B$6)*(1+Rates!$B$7)+SUMPRODUCT((Labor!$G$6:$G$25=Projects!$A$7)*(Labor!$E$6:$E$25="Sub")*N(Labor!$AM$6:$AM$25)))+SUMIFS(ODCs!$F$5:$F$22,ODCs!$D$5:$D$22,Projects!$A$7,ODCs!$E$5:$E$22,8)+SUMIFS(Travel!$F$5:$F$22,Travel!$D$5:$D$22,Projects!$A$7,Travel!$E$5:$E$22,8)+SUMIFS('M&amp;E'!$F$5:$F$22,'M&amp;E'!$D$5:$D$22,Projects!$A$7,'M&amp;E'!$E$5:$E$22,8))*(((SUMPRODUCT((Labor!$G$6:$G$25=Projects!$A$7)*(Labor!$E$6:$E$25="Prime")*N(Labor!$AM$6:$AM$25))*(1+Rates!$B$6)*(1+Rates!$B$7)+SUMPRODUCT((Labor!$G$6:$G$25=Projects!$A$7)*(Labor!$E$6:$E$25="Sub")*N(Labor!$AM$6:$AM$25)))+SUMIFS(ODCs!$F$5:$F$22,ODCs!$D$5:$D$22,Projects!$A$7,ODCs!$E$5:$E$22,8)+SUMIFS(Travel!$F$5:$F$22,Travel!$D$5:$D$22,Projects!$A$7,Travel!$E$5:$E$22,8)+SUMIFS('M&amp;E'!$F$5:$F$22,'M&amp;E'!$D$5:$D$22,Projects!$A$7,'M&amp;E'!$E$5:$E$22,8))*Rates!$B$8),0))*Rates!$C$20+((SUMIFS('M&amp;E'!$F$5:$F$22,'M&amp;E'!$D$5:$D$22,Projects!$A$7,'M&amp;E'!$E$5:$E$22,8))+IFERROR((SUMIFS('M&amp;E'!$F$5:$F$22,'M&amp;E'!$D$5:$D$22,Projects!$A$7,'M&amp;E'!$E$5:$E$22,8))/((SUMPRODUCT((Labor!$G$6:$G$25=Projects!$A$7)*(Labor!$E$6:$E$25="Prime")*N(Labor!$AM$6:$AM$25))*(1+Rates!$B$6)*(1+Rates!$B$7)+SUMPRODUCT((Labor!$G$6:$G$25=Projects!$A$7)*(Labor!$E$6:$E$25="Sub")*N(Labor!$AM$6:$AM$25)))+SUMIFS(ODCs!$F$5:$F$22,ODCs!$D$5:$D$22,Projects!$A$7,ODCs!$E$5:$E$22,8)+SUMIFS(Travel!$F$5:$F$22,Travel!$D$5:$D$22,Projects!$A$7,Travel!$E$5:$E$22,8)+SUMIFS('M&amp;E'!$F$5:$F$22,'M&amp;E'!$D$5:$D$22,Projects!$A$7,'M&amp;E'!$E$5:$E$22,8))*(((SUMPRODUCT((Labor!$G$6:$G$25=Projects!$A$7)*(Labor!$E$6:$E$25="Prime")*N(Labor!$AM$6:$AM$25))*(1+Rates!$B$6)*(1+Rates!$B$7)+SUMPRODUCT((Labor!$G$6:$G$25=Projects!$A$7)*(Labor!$E$6:$E$25="Sub")*N(Labor!$AM$6:$AM$25)))+SUMIFS(ODCs!$F$5:$F$22,ODCs!$D$5:$D$22,Projects!$A$7,ODCs!$E$5:$E$22,8)+SUMIFS(Travel!$F$5:$F$22,Travel!$D$5:$D$22,Projects!$A$7,Travel!$E$5:$E$22,8)+SUMIFS('M&amp;E'!$F$5:$F$22,'M&amp;E'!$D$5:$D$22,Projects!$A$7,'M&amp;E'!$E$5:$E$22,8))*Rates!$B$8),0))*Rates!$C$21))</f>
        <v/>
      </c>
      <c r="J23" s="132">
        <f>IF(Projects!$A$7="","",(((SUMPRODUCT((Labor!$G$6:$G$25=Projects!$A$7)*(Labor!$E$6:$E$25="Prime")*N(Labor!$AQ$6:$AQ$25))*(1+Rates!$B$6)*(1+Rates!$B$7)+SUMPRODUCT((Labor!$G$6:$G$25=Projects!$A$7)*(Labor!$E$6:$E$25="Sub")*N(Labor!$AQ$6:$AQ$25)))+SUMIFS(ODCs!$F$5:$F$22,ODCs!$D$5:$D$22,Projects!$A$7,ODCs!$E$5:$E$22,9)+SUMIFS(Travel!$F$5:$F$22,Travel!$D$5:$D$22,Projects!$A$7,Travel!$E$5:$E$22,9)+SUMIFS('M&amp;E'!$F$5:$F$22,'M&amp;E'!$D$5:$D$22,Projects!$A$7,'M&amp;E'!$E$5:$E$22,9))+(((SUMPRODUCT((Labor!$G$6:$G$25=Projects!$A$7)*(Labor!$E$6:$E$25="Prime")*N(Labor!$AQ$6:$AQ$25))*(1+Rates!$B$6)*(1+Rates!$B$7)+SUMPRODUCT((Labor!$G$6:$G$25=Projects!$A$7)*(Labor!$E$6:$E$25="Sub")*N(Labor!$AQ$6:$AQ$25)))+SUMIFS(ODCs!$F$5:$F$22,ODCs!$D$5:$D$22,Projects!$A$7,ODCs!$E$5:$E$22,9)+SUMIFS(Travel!$F$5:$F$22,Travel!$D$5:$D$22,Projects!$A$7,Travel!$E$5:$E$22,9)+SUMIFS('M&amp;E'!$F$5:$F$22,'M&amp;E'!$D$5:$D$22,Projects!$A$7,'M&amp;E'!$E$5:$E$22,9))*Rates!$B$8))+((((SUMPRODUCT((Labor!$G$6:$G$25=Projects!$A$7)*(Labor!$E$6:$E$25="Prime")*N(Labor!$AQ$6:$AQ$25))*(1+Rates!$B$6)*(1+Rates!$B$7)+SUMPRODUCT((Labor!$G$6:$G$25=Projects!$A$7)*(Labor!$E$6:$E$25="Sub")*N(Labor!$AQ$6:$AQ$25))))+IFERROR(((SUMPRODUCT((Labor!$G$6:$G$25=Projects!$A$7)*(Labor!$E$6:$E$25="Prime")*N(Labor!$AQ$6:$AQ$25))*(1+Rates!$B$6)*(1+Rates!$B$7)+SUMPRODUCT((Labor!$G$6:$G$25=Projects!$A$7)*(Labor!$E$6:$E$25="Sub")*N(Labor!$AQ$6:$AQ$25))))/((SUMPRODUCT((Labor!$G$6:$G$25=Projects!$A$7)*(Labor!$E$6:$E$25="Prime")*N(Labor!$AQ$6:$AQ$25))*(1+Rates!$B$6)*(1+Rates!$B$7)+SUMPRODUCT((Labor!$G$6:$G$25=Projects!$A$7)*(Labor!$E$6:$E$25="Sub")*N(Labor!$AQ$6:$AQ$25)))+SUMIFS(ODCs!$F$5:$F$22,ODCs!$D$5:$D$22,Projects!$A$7,ODCs!$E$5:$E$22,9)+SUMIFS(Travel!$F$5:$F$22,Travel!$D$5:$D$22,Projects!$A$7,Travel!$E$5:$E$22,9)+SUMIFS('M&amp;E'!$F$5:$F$22,'M&amp;E'!$D$5:$D$22,Projects!$A$7,'M&amp;E'!$E$5:$E$22,9))*(((SUMPRODUCT((Labor!$G$6:$G$25=Projects!$A$7)*(Labor!$E$6:$E$25="Prime")*N(Labor!$AQ$6:$AQ$25))*(1+Rates!$B$6)*(1+Rates!$B$7)+SUMPRODUCT((Labor!$G$6:$G$25=Projects!$A$7)*(Labor!$E$6:$E$25="Sub")*N(Labor!$AQ$6:$AQ$25)))+SUMIFS(ODCs!$F$5:$F$22,ODCs!$D$5:$D$22,Projects!$A$7,ODCs!$E$5:$E$22,9)+SUMIFS(Travel!$F$5:$F$22,Travel!$D$5:$D$22,Projects!$A$7,Travel!$E$5:$E$22,9)+SUMIFS('M&amp;E'!$F$5:$F$22,'M&amp;E'!$D$5:$D$22,Projects!$A$7,'M&amp;E'!$E$5:$E$22,9))*Rates!$B$8),0))*Rates!$C$18+((SUMIFS(Travel!$F$5:$F$22,Travel!$D$5:$D$22,Projects!$A$7,Travel!$E$5:$E$22,9))+IFERROR((SUMIFS(Travel!$F$5:$F$22,Travel!$D$5:$D$22,Projects!$A$7,Travel!$E$5:$E$22,9))/((SUMPRODUCT((Labor!$G$6:$G$25=Projects!$A$7)*(Labor!$E$6:$E$25="Prime")*N(Labor!$AQ$6:$AQ$25))*(1+Rates!$B$6)*(1+Rates!$B$7)+SUMPRODUCT((Labor!$G$6:$G$25=Projects!$A$7)*(Labor!$E$6:$E$25="Sub")*N(Labor!$AQ$6:$AQ$25)))+SUMIFS(ODCs!$F$5:$F$22,ODCs!$D$5:$D$22,Projects!$A$7,ODCs!$E$5:$E$22,9)+SUMIFS(Travel!$F$5:$F$22,Travel!$D$5:$D$22,Projects!$A$7,Travel!$E$5:$E$22,9)+SUMIFS('M&amp;E'!$F$5:$F$22,'M&amp;E'!$D$5:$D$22,Projects!$A$7,'M&amp;E'!$E$5:$E$22,9))*(((SUMPRODUCT((Labor!$G$6:$G$25=Projects!$A$7)*(Labor!$E$6:$E$25="Prime")*N(Labor!$AQ$6:$AQ$25))*(1+Rates!$B$6)*(1+Rates!$B$7)+SUMPRODUCT((Labor!$G$6:$G$25=Projects!$A$7)*(Labor!$E$6:$E$25="Sub")*N(Labor!$AQ$6:$AQ$25)))+SUMIFS(ODCs!$F$5:$F$22,ODCs!$D$5:$D$22,Projects!$A$7,ODCs!$E$5:$E$22,9)+SUMIFS(Travel!$F$5:$F$22,Travel!$D$5:$D$22,Projects!$A$7,Travel!$E$5:$E$22,9)+SUMIFS('M&amp;E'!$F$5:$F$22,'M&amp;E'!$D$5:$D$22,Projects!$A$7,'M&amp;E'!$E$5:$E$22,9))*Rates!$B$8),0))*Rates!$C$19+((SUMIFS(ODCs!$F$5:$F$22,ODCs!$D$5:$D$22,Projects!$A$7,ODCs!$E$5:$E$22,9))+IFERROR((SUMIFS(ODCs!$F$5:$F$22,ODCs!$D$5:$D$22,Projects!$A$7,ODCs!$E$5:$E$22,9))/((SUMPRODUCT((Labor!$G$6:$G$25=Projects!$A$7)*(Labor!$E$6:$E$25="Prime")*N(Labor!$AQ$6:$AQ$25))*(1+Rates!$B$6)*(1+Rates!$B$7)+SUMPRODUCT((Labor!$G$6:$G$25=Projects!$A$7)*(Labor!$E$6:$E$25="Sub")*N(Labor!$AQ$6:$AQ$25)))+SUMIFS(ODCs!$F$5:$F$22,ODCs!$D$5:$D$22,Projects!$A$7,ODCs!$E$5:$E$22,9)+SUMIFS(Travel!$F$5:$F$22,Travel!$D$5:$D$22,Projects!$A$7,Travel!$E$5:$E$22,9)+SUMIFS('M&amp;E'!$F$5:$F$22,'M&amp;E'!$D$5:$D$22,Projects!$A$7,'M&amp;E'!$E$5:$E$22,9))*(((SUMPRODUCT((Labor!$G$6:$G$25=Projects!$A$7)*(Labor!$E$6:$E$25="Prime")*N(Labor!$AQ$6:$AQ$25))*(1+Rates!$B$6)*(1+Rates!$B$7)+SUMPRODUCT((Labor!$G$6:$G$25=Projects!$A$7)*(Labor!$E$6:$E$25="Sub")*N(Labor!$AQ$6:$AQ$25)))+SUMIFS(ODCs!$F$5:$F$22,ODCs!$D$5:$D$22,Projects!$A$7,ODCs!$E$5:$E$22,9)+SUMIFS(Travel!$F$5:$F$22,Travel!$D$5:$D$22,Projects!$A$7,Travel!$E$5:$E$22,9)+SUMIFS('M&amp;E'!$F$5:$F$22,'M&amp;E'!$D$5:$D$22,Projects!$A$7,'M&amp;E'!$E$5:$E$22,9))*Rates!$B$8),0))*Rates!$C$20+((SUMIFS('M&amp;E'!$F$5:$F$22,'M&amp;E'!$D$5:$D$22,Projects!$A$7,'M&amp;E'!$E$5:$E$22,9))+IFERROR((SUMIFS('M&amp;E'!$F$5:$F$22,'M&amp;E'!$D$5:$D$22,Projects!$A$7,'M&amp;E'!$E$5:$E$22,9))/((SUMPRODUCT((Labor!$G$6:$G$25=Projects!$A$7)*(Labor!$E$6:$E$25="Prime")*N(Labor!$AQ$6:$AQ$25))*(1+Rates!$B$6)*(1+Rates!$B$7)+SUMPRODUCT((Labor!$G$6:$G$25=Projects!$A$7)*(Labor!$E$6:$E$25="Sub")*N(Labor!$AQ$6:$AQ$25)))+SUMIFS(ODCs!$F$5:$F$22,ODCs!$D$5:$D$22,Projects!$A$7,ODCs!$E$5:$E$22,9)+SUMIFS(Travel!$F$5:$F$22,Travel!$D$5:$D$22,Projects!$A$7,Travel!$E$5:$E$22,9)+SUMIFS('M&amp;E'!$F$5:$F$22,'M&amp;E'!$D$5:$D$22,Projects!$A$7,'M&amp;E'!$E$5:$E$22,9))*(((SUMPRODUCT((Labor!$G$6:$G$25=Projects!$A$7)*(Labor!$E$6:$E$25="Prime")*N(Labor!$AQ$6:$AQ$25))*(1+Rates!$B$6)*(1+Rates!$B$7)+SUMPRODUCT((Labor!$G$6:$G$25=Projects!$A$7)*(Labor!$E$6:$E$25="Sub")*N(Labor!$AQ$6:$AQ$25)))+SUMIFS(ODCs!$F$5:$F$22,ODCs!$D$5:$D$22,Projects!$A$7,ODCs!$E$5:$E$22,9)+SUMIFS(Travel!$F$5:$F$22,Travel!$D$5:$D$22,Projects!$A$7,Travel!$E$5:$E$22,9)+SUMIFS('M&amp;E'!$F$5:$F$22,'M&amp;E'!$D$5:$D$22,Projects!$A$7,'M&amp;E'!$E$5:$E$22,9))*Rates!$B$8),0))*Rates!$C$21))</f>
        <v/>
      </c>
      <c r="K23" s="132">
        <f>IF(Projects!$A$7="","",(((SUMPRODUCT((Labor!$G$6:$G$25=Projects!$A$7)*(Labor!$E$6:$E$25="Prime")*N(Labor!$AU$6:$AU$25))*(1+Rates!$B$6)*(1+Rates!$B$7)+SUMPRODUCT((Labor!$G$6:$G$25=Projects!$A$7)*(Labor!$E$6:$E$25="Sub")*N(Labor!$AU$6:$AU$25)))+SUMIFS(ODCs!$F$5:$F$22,ODCs!$D$5:$D$22,Projects!$A$7,ODCs!$E$5:$E$22,10)+SUMIFS(Travel!$F$5:$F$22,Travel!$D$5:$D$22,Projects!$A$7,Travel!$E$5:$E$22,10)+SUMIFS('M&amp;E'!$F$5:$F$22,'M&amp;E'!$D$5:$D$22,Projects!$A$7,'M&amp;E'!$E$5:$E$22,10))+(((SUMPRODUCT((Labor!$G$6:$G$25=Projects!$A$7)*(Labor!$E$6:$E$25="Prime")*N(Labor!$AU$6:$AU$25))*(1+Rates!$B$6)*(1+Rates!$B$7)+SUMPRODUCT((Labor!$G$6:$G$25=Projects!$A$7)*(Labor!$E$6:$E$25="Sub")*N(Labor!$AU$6:$AU$25)))+SUMIFS(ODCs!$F$5:$F$22,ODCs!$D$5:$D$22,Projects!$A$7,ODCs!$E$5:$E$22,10)+SUMIFS(Travel!$F$5:$F$22,Travel!$D$5:$D$22,Projects!$A$7,Travel!$E$5:$E$22,10)+SUMIFS('M&amp;E'!$F$5:$F$22,'M&amp;E'!$D$5:$D$22,Projects!$A$7,'M&amp;E'!$E$5:$E$22,10))*Rates!$B$8))+((((SUMPRODUCT((Labor!$G$6:$G$25=Projects!$A$7)*(Labor!$E$6:$E$25="Prime")*N(Labor!$AU$6:$AU$25))*(1+Rates!$B$6)*(1+Rates!$B$7)+SUMPRODUCT((Labor!$G$6:$G$25=Projects!$A$7)*(Labor!$E$6:$E$25="Sub")*N(Labor!$AU$6:$AU$25))))+IFERROR(((SUMPRODUCT((Labor!$G$6:$G$25=Projects!$A$7)*(Labor!$E$6:$E$25="Prime")*N(Labor!$AU$6:$AU$25))*(1+Rates!$B$6)*(1+Rates!$B$7)+SUMPRODUCT((Labor!$G$6:$G$25=Projects!$A$7)*(Labor!$E$6:$E$25="Sub")*N(Labor!$AU$6:$AU$25))))/((SUMPRODUCT((Labor!$G$6:$G$25=Projects!$A$7)*(Labor!$E$6:$E$25="Prime")*N(Labor!$AU$6:$AU$25))*(1+Rates!$B$6)*(1+Rates!$B$7)+SUMPRODUCT((Labor!$G$6:$G$25=Projects!$A$7)*(Labor!$E$6:$E$25="Sub")*N(Labor!$AU$6:$AU$25)))+SUMIFS(ODCs!$F$5:$F$22,ODCs!$D$5:$D$22,Projects!$A$7,ODCs!$E$5:$E$22,10)+SUMIFS(Travel!$F$5:$F$22,Travel!$D$5:$D$22,Projects!$A$7,Travel!$E$5:$E$22,10)+SUMIFS('M&amp;E'!$F$5:$F$22,'M&amp;E'!$D$5:$D$22,Projects!$A$7,'M&amp;E'!$E$5:$E$22,10))*(((SUMPRODUCT((Labor!$G$6:$G$25=Projects!$A$7)*(Labor!$E$6:$E$25="Prime")*N(Labor!$AU$6:$AU$25))*(1+Rates!$B$6)*(1+Rates!$B$7)+SUMPRODUCT((Labor!$G$6:$G$25=Projects!$A$7)*(Labor!$E$6:$E$25="Sub")*N(Labor!$AU$6:$AU$25)))+SUMIFS(ODCs!$F$5:$F$22,ODCs!$D$5:$D$22,Projects!$A$7,ODCs!$E$5:$E$22,10)+SUMIFS(Travel!$F$5:$F$22,Travel!$D$5:$D$22,Projects!$A$7,Travel!$E$5:$E$22,10)+SUMIFS('M&amp;E'!$F$5:$F$22,'M&amp;E'!$D$5:$D$22,Projects!$A$7,'M&amp;E'!$E$5:$E$22,10))*Rates!$B$8),0))*Rates!$C$18+((SUMIFS(Travel!$F$5:$F$22,Travel!$D$5:$D$22,Projects!$A$7,Travel!$E$5:$E$22,10))+IFERROR((SUMIFS(Travel!$F$5:$F$22,Travel!$D$5:$D$22,Projects!$A$7,Travel!$E$5:$E$22,10))/((SUMPRODUCT((Labor!$G$6:$G$25=Projects!$A$7)*(Labor!$E$6:$E$25="Prime")*N(Labor!$AU$6:$AU$25))*(1+Rates!$B$6)*(1+Rates!$B$7)+SUMPRODUCT((Labor!$G$6:$G$25=Projects!$A$7)*(Labor!$E$6:$E$25="Sub")*N(Labor!$AU$6:$AU$25)))+SUMIFS(ODCs!$F$5:$F$22,ODCs!$D$5:$D$22,Projects!$A$7,ODCs!$E$5:$E$22,10)+SUMIFS(Travel!$F$5:$F$22,Travel!$D$5:$D$22,Projects!$A$7,Travel!$E$5:$E$22,10)+SUMIFS('M&amp;E'!$F$5:$F$22,'M&amp;E'!$D$5:$D$22,Projects!$A$7,'M&amp;E'!$E$5:$E$22,10))*(((SUMPRODUCT((Labor!$G$6:$G$25=Projects!$A$7)*(Labor!$E$6:$E$25="Prime")*N(Labor!$AU$6:$AU$25))*(1+Rates!$B$6)*(1+Rates!$B$7)+SUMPRODUCT((Labor!$G$6:$G$25=Projects!$A$7)*(Labor!$E$6:$E$25="Sub")*N(Labor!$AU$6:$AU$25)))+SUMIFS(ODCs!$F$5:$F$22,ODCs!$D$5:$D$22,Projects!$A$7,ODCs!$E$5:$E$22,10)+SUMIFS(Travel!$F$5:$F$22,Travel!$D$5:$D$22,Projects!$A$7,Travel!$E$5:$E$22,10)+SUMIFS('M&amp;E'!$F$5:$F$22,'M&amp;E'!$D$5:$D$22,Projects!$A$7,'M&amp;E'!$E$5:$E$22,10))*Rates!$B$8),0))*Rates!$C$19+((SUMIFS(ODCs!$F$5:$F$22,ODCs!$D$5:$D$22,Projects!$A$7,ODCs!$E$5:$E$22,10))+IFERROR((SUMIFS(ODCs!$F$5:$F$22,ODCs!$D$5:$D$22,Projects!$A$7,ODCs!$E$5:$E$22,10))/((SUMPRODUCT((Labor!$G$6:$G$25=Projects!$A$7)*(Labor!$E$6:$E$25="Prime")*N(Labor!$AU$6:$AU$25))*(1+Rates!$B$6)*(1+Rates!$B$7)+SUMPRODUCT((Labor!$G$6:$G$25=Projects!$A$7)*(Labor!$E$6:$E$25="Sub")*N(Labor!$AU$6:$AU$25)))+SUMIFS(ODCs!$F$5:$F$22,ODCs!$D$5:$D$22,Projects!$A$7,ODCs!$E$5:$E$22,10)+SUMIFS(Travel!$F$5:$F$22,Travel!$D$5:$D$22,Projects!$A$7,Travel!$E$5:$E$22,10)+SUMIFS('M&amp;E'!$F$5:$F$22,'M&amp;E'!$D$5:$D$22,Projects!$A$7,'M&amp;E'!$E$5:$E$22,10))*(((SUMPRODUCT((Labor!$G$6:$G$25=Projects!$A$7)*(Labor!$E$6:$E$25="Prime")*N(Labor!$AU$6:$AU$25))*(1+Rates!$B$6)*(1+Rates!$B$7)+SUMPRODUCT((Labor!$G$6:$G$25=Projects!$A$7)*(Labor!$E$6:$E$25="Sub")*N(Labor!$AU$6:$AU$25)))+SUMIFS(ODCs!$F$5:$F$22,ODCs!$D$5:$D$22,Projects!$A$7,ODCs!$E$5:$E$22,10)+SUMIFS(Travel!$F$5:$F$22,Travel!$D$5:$D$22,Projects!$A$7,Travel!$E$5:$E$22,10)+SUMIFS('M&amp;E'!$F$5:$F$22,'M&amp;E'!$D$5:$D$22,Projects!$A$7,'M&amp;E'!$E$5:$E$22,10))*Rates!$B$8),0))*Rates!$C$20+((SUMIFS('M&amp;E'!$F$5:$F$22,'M&amp;E'!$D$5:$D$22,Projects!$A$7,'M&amp;E'!$E$5:$E$22,10))+IFERROR((SUMIFS('M&amp;E'!$F$5:$F$22,'M&amp;E'!$D$5:$D$22,Projects!$A$7,'M&amp;E'!$E$5:$E$22,10))/((SUMPRODUCT((Labor!$G$6:$G$25=Projects!$A$7)*(Labor!$E$6:$E$25="Prime")*N(Labor!$AU$6:$AU$25))*(1+Rates!$B$6)*(1+Rates!$B$7)+SUMPRODUCT((Labor!$G$6:$G$25=Projects!$A$7)*(Labor!$E$6:$E$25="Sub")*N(Labor!$AU$6:$AU$25)))+SUMIFS(ODCs!$F$5:$F$22,ODCs!$D$5:$D$22,Projects!$A$7,ODCs!$E$5:$E$22,10)+SUMIFS(Travel!$F$5:$F$22,Travel!$D$5:$D$22,Projects!$A$7,Travel!$E$5:$E$22,10)+SUMIFS('M&amp;E'!$F$5:$F$22,'M&amp;E'!$D$5:$D$22,Projects!$A$7,'M&amp;E'!$E$5:$E$22,10))*(((SUMPRODUCT((Labor!$G$6:$G$25=Projects!$A$7)*(Labor!$E$6:$E$25="Prime")*N(Labor!$AU$6:$AU$25))*(1+Rates!$B$6)*(1+Rates!$B$7)+SUMPRODUCT((Labor!$G$6:$G$25=Projects!$A$7)*(Labor!$E$6:$E$25="Sub")*N(Labor!$AU$6:$AU$25)))+SUMIFS(ODCs!$F$5:$F$22,ODCs!$D$5:$D$22,Projects!$A$7,ODCs!$E$5:$E$22,10)+SUMIFS(Travel!$F$5:$F$22,Travel!$D$5:$D$22,Projects!$A$7,Travel!$E$5:$E$22,10)+SUMIFS('M&amp;E'!$F$5:$F$22,'M&amp;E'!$D$5:$D$22,Projects!$A$7,'M&amp;E'!$E$5:$E$22,10))*Rates!$B$8),0))*Rates!$C$21))</f>
        <v/>
      </c>
      <c r="L23" s="132">
        <f>IF(Projects!$A$7="","",(((SUMPRODUCT((Labor!$G$6:$G$25=Projects!$A$7)*(Labor!$E$6:$E$25="Prime")*N(Labor!$AY$6:$AY$25))*(1+Rates!$B$6)*(1+Rates!$B$7)+SUMPRODUCT((Labor!$G$6:$G$25=Projects!$A$7)*(Labor!$E$6:$E$25="Sub")*N(Labor!$AY$6:$AY$25)))+SUMIFS(ODCs!$F$5:$F$22,ODCs!$D$5:$D$22,Projects!$A$7,ODCs!$E$5:$E$22,11)+SUMIFS(Travel!$F$5:$F$22,Travel!$D$5:$D$22,Projects!$A$7,Travel!$E$5:$E$22,11)+SUMIFS('M&amp;E'!$F$5:$F$22,'M&amp;E'!$D$5:$D$22,Projects!$A$7,'M&amp;E'!$E$5:$E$22,11))+(((SUMPRODUCT((Labor!$G$6:$G$25=Projects!$A$7)*(Labor!$E$6:$E$25="Prime")*N(Labor!$AY$6:$AY$25))*(1+Rates!$B$6)*(1+Rates!$B$7)+SUMPRODUCT((Labor!$G$6:$G$25=Projects!$A$7)*(Labor!$E$6:$E$25="Sub")*N(Labor!$AY$6:$AY$25)))+SUMIFS(ODCs!$F$5:$F$22,ODCs!$D$5:$D$22,Projects!$A$7,ODCs!$E$5:$E$22,11)+SUMIFS(Travel!$F$5:$F$22,Travel!$D$5:$D$22,Projects!$A$7,Travel!$E$5:$E$22,11)+SUMIFS('M&amp;E'!$F$5:$F$22,'M&amp;E'!$D$5:$D$22,Projects!$A$7,'M&amp;E'!$E$5:$E$22,11))*Rates!$B$8))+((((SUMPRODUCT((Labor!$G$6:$G$25=Projects!$A$7)*(Labor!$E$6:$E$25="Prime")*N(Labor!$AY$6:$AY$25))*(1+Rates!$B$6)*(1+Rates!$B$7)+SUMPRODUCT((Labor!$G$6:$G$25=Projects!$A$7)*(Labor!$E$6:$E$25="Sub")*N(Labor!$AY$6:$AY$25))))+IFERROR(((SUMPRODUCT((Labor!$G$6:$G$25=Projects!$A$7)*(Labor!$E$6:$E$25="Prime")*N(Labor!$AY$6:$AY$25))*(1+Rates!$B$6)*(1+Rates!$B$7)+SUMPRODUCT((Labor!$G$6:$G$25=Projects!$A$7)*(Labor!$E$6:$E$25="Sub")*N(Labor!$AY$6:$AY$25))))/((SUMPRODUCT((Labor!$G$6:$G$25=Projects!$A$7)*(Labor!$E$6:$E$25="Prime")*N(Labor!$AY$6:$AY$25))*(1+Rates!$B$6)*(1+Rates!$B$7)+SUMPRODUCT((Labor!$G$6:$G$25=Projects!$A$7)*(Labor!$E$6:$E$25="Sub")*N(Labor!$AY$6:$AY$25)))+SUMIFS(ODCs!$F$5:$F$22,ODCs!$D$5:$D$22,Projects!$A$7,ODCs!$E$5:$E$22,11)+SUMIFS(Travel!$F$5:$F$22,Travel!$D$5:$D$22,Projects!$A$7,Travel!$E$5:$E$22,11)+SUMIFS('M&amp;E'!$F$5:$F$22,'M&amp;E'!$D$5:$D$22,Projects!$A$7,'M&amp;E'!$E$5:$E$22,11))*(((SUMPRODUCT((Labor!$G$6:$G$25=Projects!$A$7)*(Labor!$E$6:$E$25="Prime")*N(Labor!$AY$6:$AY$25))*(1+Rates!$B$6)*(1+Rates!$B$7)+SUMPRODUCT((Labor!$G$6:$G$25=Projects!$A$7)*(Labor!$E$6:$E$25="Sub")*N(Labor!$AY$6:$AY$25)))+SUMIFS(ODCs!$F$5:$F$22,ODCs!$D$5:$D$22,Projects!$A$7,ODCs!$E$5:$E$22,11)+SUMIFS(Travel!$F$5:$F$22,Travel!$D$5:$D$22,Projects!$A$7,Travel!$E$5:$E$22,11)+SUMIFS('M&amp;E'!$F$5:$F$22,'M&amp;E'!$D$5:$D$22,Projects!$A$7,'M&amp;E'!$E$5:$E$22,11))*Rates!$B$8),0))*Rates!$C$18+((SUMIFS(Travel!$F$5:$F$22,Travel!$D$5:$D$22,Projects!$A$7,Travel!$E$5:$E$22,11))+IFERROR((SUMIFS(Travel!$F$5:$F$22,Travel!$D$5:$D$22,Projects!$A$7,Travel!$E$5:$E$22,11))/((SUMPRODUCT((Labor!$G$6:$G$25=Projects!$A$7)*(Labor!$E$6:$E$25="Prime")*N(Labor!$AY$6:$AY$25))*(1+Rates!$B$6)*(1+Rates!$B$7)+SUMPRODUCT((Labor!$G$6:$G$25=Projects!$A$7)*(Labor!$E$6:$E$25="Sub")*N(Labor!$AY$6:$AY$25)))+SUMIFS(ODCs!$F$5:$F$22,ODCs!$D$5:$D$22,Projects!$A$7,ODCs!$E$5:$E$22,11)+SUMIFS(Travel!$F$5:$F$22,Travel!$D$5:$D$22,Projects!$A$7,Travel!$E$5:$E$22,11)+SUMIFS('M&amp;E'!$F$5:$F$22,'M&amp;E'!$D$5:$D$22,Projects!$A$7,'M&amp;E'!$E$5:$E$22,11))*(((SUMPRODUCT((Labor!$G$6:$G$25=Projects!$A$7)*(Labor!$E$6:$E$25="Prime")*N(Labor!$AY$6:$AY$25))*(1+Rates!$B$6)*(1+Rates!$B$7)+SUMPRODUCT((Labor!$G$6:$G$25=Projects!$A$7)*(Labor!$E$6:$E$25="Sub")*N(Labor!$AY$6:$AY$25)))+SUMIFS(ODCs!$F$5:$F$22,ODCs!$D$5:$D$22,Projects!$A$7,ODCs!$E$5:$E$22,11)+SUMIFS(Travel!$F$5:$F$22,Travel!$D$5:$D$22,Projects!$A$7,Travel!$E$5:$E$22,11)+SUMIFS('M&amp;E'!$F$5:$F$22,'M&amp;E'!$D$5:$D$22,Projects!$A$7,'M&amp;E'!$E$5:$E$22,11))*Rates!$B$8),0))*Rates!$C$19+((SUMIFS(ODCs!$F$5:$F$22,ODCs!$D$5:$D$22,Projects!$A$7,ODCs!$E$5:$E$22,11))+IFERROR((SUMIFS(ODCs!$F$5:$F$22,ODCs!$D$5:$D$22,Projects!$A$7,ODCs!$E$5:$E$22,11))/((SUMPRODUCT((Labor!$G$6:$G$25=Projects!$A$7)*(Labor!$E$6:$E$25="Prime")*N(Labor!$AY$6:$AY$25))*(1+Rates!$B$6)*(1+Rates!$B$7)+SUMPRODUCT((Labor!$G$6:$G$25=Projects!$A$7)*(Labor!$E$6:$E$25="Sub")*N(Labor!$AY$6:$AY$25)))+SUMIFS(ODCs!$F$5:$F$22,ODCs!$D$5:$D$22,Projects!$A$7,ODCs!$E$5:$E$22,11)+SUMIFS(Travel!$F$5:$F$22,Travel!$D$5:$D$22,Projects!$A$7,Travel!$E$5:$E$22,11)+SUMIFS('M&amp;E'!$F$5:$F$22,'M&amp;E'!$D$5:$D$22,Projects!$A$7,'M&amp;E'!$E$5:$E$22,11))*(((SUMPRODUCT((Labor!$G$6:$G$25=Projects!$A$7)*(Labor!$E$6:$E$25="Prime")*N(Labor!$AY$6:$AY$25))*(1+Rates!$B$6)*(1+Rates!$B$7)+SUMPRODUCT((Labor!$G$6:$G$25=Projects!$A$7)*(Labor!$E$6:$E$25="Sub")*N(Labor!$AY$6:$AY$25)))+SUMIFS(ODCs!$F$5:$F$22,ODCs!$D$5:$D$22,Projects!$A$7,ODCs!$E$5:$E$22,11)+SUMIFS(Travel!$F$5:$F$22,Travel!$D$5:$D$22,Projects!$A$7,Travel!$E$5:$E$22,11)+SUMIFS('M&amp;E'!$F$5:$F$22,'M&amp;E'!$D$5:$D$22,Projects!$A$7,'M&amp;E'!$E$5:$E$22,11))*Rates!$B$8),0))*Rates!$C$20+((SUMIFS('M&amp;E'!$F$5:$F$22,'M&amp;E'!$D$5:$D$22,Projects!$A$7,'M&amp;E'!$E$5:$E$22,11))+IFERROR((SUMIFS('M&amp;E'!$F$5:$F$22,'M&amp;E'!$D$5:$D$22,Projects!$A$7,'M&amp;E'!$E$5:$E$22,11))/((SUMPRODUCT((Labor!$G$6:$G$25=Projects!$A$7)*(Labor!$E$6:$E$25="Prime")*N(Labor!$AY$6:$AY$25))*(1+Rates!$B$6)*(1+Rates!$B$7)+SUMPRODUCT((Labor!$G$6:$G$25=Projects!$A$7)*(Labor!$E$6:$E$25="Sub")*N(Labor!$AY$6:$AY$25)))+SUMIFS(ODCs!$F$5:$F$22,ODCs!$D$5:$D$22,Projects!$A$7,ODCs!$E$5:$E$22,11)+SUMIFS(Travel!$F$5:$F$22,Travel!$D$5:$D$22,Projects!$A$7,Travel!$E$5:$E$22,11)+SUMIFS('M&amp;E'!$F$5:$F$22,'M&amp;E'!$D$5:$D$22,Projects!$A$7,'M&amp;E'!$E$5:$E$22,11))*(((SUMPRODUCT((Labor!$G$6:$G$25=Projects!$A$7)*(Labor!$E$6:$E$25="Prime")*N(Labor!$AY$6:$AY$25))*(1+Rates!$B$6)*(1+Rates!$B$7)+SUMPRODUCT((Labor!$G$6:$G$25=Projects!$A$7)*(Labor!$E$6:$E$25="Sub")*N(Labor!$AY$6:$AY$25)))+SUMIFS(ODCs!$F$5:$F$22,ODCs!$D$5:$D$22,Projects!$A$7,ODCs!$E$5:$E$22,11)+SUMIFS(Travel!$F$5:$F$22,Travel!$D$5:$D$22,Projects!$A$7,Travel!$E$5:$E$22,11)+SUMIFS('M&amp;E'!$F$5:$F$22,'M&amp;E'!$D$5:$D$22,Projects!$A$7,'M&amp;E'!$E$5:$E$22,11))*Rates!$B$8),0))*Rates!$C$21))</f>
        <v/>
      </c>
      <c r="M23" s="132">
        <f>IF(Projects!$A$7="","",(((SUMPRODUCT((Labor!$G$6:$G$25=Projects!$A$7)*(Labor!$E$6:$E$25="Prime")*N(Labor!$BC$6:$BC$25))*(1+Rates!$B$6)*(1+Rates!$B$7)+SUMPRODUCT((Labor!$G$6:$G$25=Projects!$A$7)*(Labor!$E$6:$E$25="Sub")*N(Labor!$BC$6:$BC$25)))+SUMIFS(ODCs!$F$5:$F$22,ODCs!$D$5:$D$22,Projects!$A$7,ODCs!$E$5:$E$22,12)+SUMIFS(Travel!$F$5:$F$22,Travel!$D$5:$D$22,Projects!$A$7,Travel!$E$5:$E$22,12)+SUMIFS('M&amp;E'!$F$5:$F$22,'M&amp;E'!$D$5:$D$22,Projects!$A$7,'M&amp;E'!$E$5:$E$22,12))+(((SUMPRODUCT((Labor!$G$6:$G$25=Projects!$A$7)*(Labor!$E$6:$E$25="Prime")*N(Labor!$BC$6:$BC$25))*(1+Rates!$B$6)*(1+Rates!$B$7)+SUMPRODUCT((Labor!$G$6:$G$25=Projects!$A$7)*(Labor!$E$6:$E$25="Sub")*N(Labor!$BC$6:$BC$25)))+SUMIFS(ODCs!$F$5:$F$22,ODCs!$D$5:$D$22,Projects!$A$7,ODCs!$E$5:$E$22,12)+SUMIFS(Travel!$F$5:$F$22,Travel!$D$5:$D$22,Projects!$A$7,Travel!$E$5:$E$22,12)+SUMIFS('M&amp;E'!$F$5:$F$22,'M&amp;E'!$D$5:$D$22,Projects!$A$7,'M&amp;E'!$E$5:$E$22,12))*Rates!$B$8))+((((SUMPRODUCT((Labor!$G$6:$G$25=Projects!$A$7)*(Labor!$E$6:$E$25="Prime")*N(Labor!$BC$6:$BC$25))*(1+Rates!$B$6)*(1+Rates!$B$7)+SUMPRODUCT((Labor!$G$6:$G$25=Projects!$A$7)*(Labor!$E$6:$E$25="Sub")*N(Labor!$BC$6:$BC$25))))+IFERROR(((SUMPRODUCT((Labor!$G$6:$G$25=Projects!$A$7)*(Labor!$E$6:$E$25="Prime")*N(Labor!$BC$6:$BC$25))*(1+Rates!$B$6)*(1+Rates!$B$7)+SUMPRODUCT((Labor!$G$6:$G$25=Projects!$A$7)*(Labor!$E$6:$E$25="Sub")*N(Labor!$BC$6:$BC$25))))/((SUMPRODUCT((Labor!$G$6:$G$25=Projects!$A$7)*(Labor!$E$6:$E$25="Prime")*N(Labor!$BC$6:$BC$25))*(1+Rates!$B$6)*(1+Rates!$B$7)+SUMPRODUCT((Labor!$G$6:$G$25=Projects!$A$7)*(Labor!$E$6:$E$25="Sub")*N(Labor!$BC$6:$BC$25)))+SUMIFS(ODCs!$F$5:$F$22,ODCs!$D$5:$D$22,Projects!$A$7,ODCs!$E$5:$E$22,12)+SUMIFS(Travel!$F$5:$F$22,Travel!$D$5:$D$22,Projects!$A$7,Travel!$E$5:$E$22,12)+SUMIFS('M&amp;E'!$F$5:$F$22,'M&amp;E'!$D$5:$D$22,Projects!$A$7,'M&amp;E'!$E$5:$E$22,12))*(((SUMPRODUCT((Labor!$G$6:$G$25=Projects!$A$7)*(Labor!$E$6:$E$25="Prime")*N(Labor!$BC$6:$BC$25))*(1+Rates!$B$6)*(1+Rates!$B$7)+SUMPRODUCT((Labor!$G$6:$G$25=Projects!$A$7)*(Labor!$E$6:$E$25="Sub")*N(Labor!$BC$6:$BC$25)))+SUMIFS(ODCs!$F$5:$F$22,ODCs!$D$5:$D$22,Projects!$A$7,ODCs!$E$5:$E$22,12)+SUMIFS(Travel!$F$5:$F$22,Travel!$D$5:$D$22,Projects!$A$7,Travel!$E$5:$E$22,12)+SUMIFS('M&amp;E'!$F$5:$F$22,'M&amp;E'!$D$5:$D$22,Projects!$A$7,'M&amp;E'!$E$5:$E$22,12))*Rates!$B$8),0))*Rates!$C$18+((SUMIFS(Travel!$F$5:$F$22,Travel!$D$5:$D$22,Projects!$A$7,Travel!$E$5:$E$22,12))+IFERROR((SUMIFS(Travel!$F$5:$F$22,Travel!$D$5:$D$22,Projects!$A$7,Travel!$E$5:$E$22,12))/((SUMPRODUCT((Labor!$G$6:$G$25=Projects!$A$7)*(Labor!$E$6:$E$25="Prime")*N(Labor!$BC$6:$BC$25))*(1+Rates!$B$6)*(1+Rates!$B$7)+SUMPRODUCT((Labor!$G$6:$G$25=Projects!$A$7)*(Labor!$E$6:$E$25="Sub")*N(Labor!$BC$6:$BC$25)))+SUMIFS(ODCs!$F$5:$F$22,ODCs!$D$5:$D$22,Projects!$A$7,ODCs!$E$5:$E$22,12)+SUMIFS(Travel!$F$5:$F$22,Travel!$D$5:$D$22,Projects!$A$7,Travel!$E$5:$E$22,12)+SUMIFS('M&amp;E'!$F$5:$F$22,'M&amp;E'!$D$5:$D$22,Projects!$A$7,'M&amp;E'!$E$5:$E$22,12))*(((SUMPRODUCT((Labor!$G$6:$G$25=Projects!$A$7)*(Labor!$E$6:$E$25="Prime")*N(Labor!$BC$6:$BC$25))*(1+Rates!$B$6)*(1+Rates!$B$7)+SUMPRODUCT((Labor!$G$6:$G$25=Projects!$A$7)*(Labor!$E$6:$E$25="Sub")*N(Labor!$BC$6:$BC$25)))+SUMIFS(ODCs!$F$5:$F$22,ODCs!$D$5:$D$22,Projects!$A$7,ODCs!$E$5:$E$22,12)+SUMIFS(Travel!$F$5:$F$22,Travel!$D$5:$D$22,Projects!$A$7,Travel!$E$5:$E$22,12)+SUMIFS('M&amp;E'!$F$5:$F$22,'M&amp;E'!$D$5:$D$22,Projects!$A$7,'M&amp;E'!$E$5:$E$22,12))*Rates!$B$8),0))*Rates!$C$19+((SUMIFS(ODCs!$F$5:$F$22,ODCs!$D$5:$D$22,Projects!$A$7,ODCs!$E$5:$E$22,12))+IFERROR((SUMIFS(ODCs!$F$5:$F$22,ODCs!$D$5:$D$22,Projects!$A$7,ODCs!$E$5:$E$22,12))/((SUMPRODUCT((Labor!$G$6:$G$25=Projects!$A$7)*(Labor!$E$6:$E$25="Prime")*N(Labor!$BC$6:$BC$25))*(1+Rates!$B$6)*(1+Rates!$B$7)+SUMPRODUCT((Labor!$G$6:$G$25=Projects!$A$7)*(Labor!$E$6:$E$25="Sub")*N(Labor!$BC$6:$BC$25)))+SUMIFS(ODCs!$F$5:$F$22,ODCs!$D$5:$D$22,Projects!$A$7,ODCs!$E$5:$E$22,12)+SUMIFS(Travel!$F$5:$F$22,Travel!$D$5:$D$22,Projects!$A$7,Travel!$E$5:$E$22,12)+SUMIFS('M&amp;E'!$F$5:$F$22,'M&amp;E'!$D$5:$D$22,Projects!$A$7,'M&amp;E'!$E$5:$E$22,12))*(((SUMPRODUCT((Labor!$G$6:$G$25=Projects!$A$7)*(Labor!$E$6:$E$25="Prime")*N(Labor!$BC$6:$BC$25))*(1+Rates!$B$6)*(1+Rates!$B$7)+SUMPRODUCT((Labor!$G$6:$G$25=Projects!$A$7)*(Labor!$E$6:$E$25="Sub")*N(Labor!$BC$6:$BC$25)))+SUMIFS(ODCs!$F$5:$F$22,ODCs!$D$5:$D$22,Projects!$A$7,ODCs!$E$5:$E$22,12)+SUMIFS(Travel!$F$5:$F$22,Travel!$D$5:$D$22,Projects!$A$7,Travel!$E$5:$E$22,12)+SUMIFS('M&amp;E'!$F$5:$F$22,'M&amp;E'!$D$5:$D$22,Projects!$A$7,'M&amp;E'!$E$5:$E$22,12))*Rates!$B$8),0))*Rates!$C$20+((SUMIFS('M&amp;E'!$F$5:$F$22,'M&amp;E'!$D$5:$D$22,Projects!$A$7,'M&amp;E'!$E$5:$E$22,12))+IFERROR((SUMIFS('M&amp;E'!$F$5:$F$22,'M&amp;E'!$D$5:$D$22,Projects!$A$7,'M&amp;E'!$E$5:$E$22,12))/((SUMPRODUCT((Labor!$G$6:$G$25=Projects!$A$7)*(Labor!$E$6:$E$25="Prime")*N(Labor!$BC$6:$BC$25))*(1+Rates!$B$6)*(1+Rates!$B$7)+SUMPRODUCT((Labor!$G$6:$G$25=Projects!$A$7)*(Labor!$E$6:$E$25="Sub")*N(Labor!$BC$6:$BC$25)))+SUMIFS(ODCs!$F$5:$F$22,ODCs!$D$5:$D$22,Projects!$A$7,ODCs!$E$5:$E$22,12)+SUMIFS(Travel!$F$5:$F$22,Travel!$D$5:$D$22,Projects!$A$7,Travel!$E$5:$E$22,12)+SUMIFS('M&amp;E'!$F$5:$F$22,'M&amp;E'!$D$5:$D$22,Projects!$A$7,'M&amp;E'!$E$5:$E$22,12))*(((SUMPRODUCT((Labor!$G$6:$G$25=Projects!$A$7)*(Labor!$E$6:$E$25="Prime")*N(Labor!$BC$6:$BC$25))*(1+Rates!$B$6)*(1+Rates!$B$7)+SUMPRODUCT((Labor!$G$6:$G$25=Projects!$A$7)*(Labor!$E$6:$E$25="Sub")*N(Labor!$BC$6:$BC$25)))+SUMIFS(ODCs!$F$5:$F$22,ODCs!$D$5:$D$22,Projects!$A$7,ODCs!$E$5:$E$22,12)+SUMIFS(Travel!$F$5:$F$22,Travel!$D$5:$D$22,Projects!$A$7,Travel!$E$5:$E$22,12)+SUMIFS('M&amp;E'!$F$5:$F$22,'M&amp;E'!$D$5:$D$22,Projects!$A$7,'M&amp;E'!$E$5:$E$22,12))*Rates!$B$8),0))*Rates!$C$21))</f>
        <v/>
      </c>
      <c r="N23" s="135">
        <f>SUM(B23,C23,D23)</f>
        <v/>
      </c>
      <c r="O23" s="135">
        <f>SUM(E23,F23,G23)</f>
        <v/>
      </c>
      <c r="P23" s="135">
        <f>SUM(H23,I23,J23)</f>
        <v/>
      </c>
      <c r="Q23" s="135">
        <f>SUM(K23,L23,M23)</f>
        <v/>
      </c>
      <c r="R23" s="135">
        <f>SUM(N23,O23,P23,Q23)</f>
        <v/>
      </c>
    </row>
    <row r="24">
      <c r="A24" s="117" t="inlineStr">
        <is>
          <t>Variance $</t>
        </is>
      </c>
      <c r="B24" s="204">
        <f>IFERROR(IF(B23="","",B23-B22),0)</f>
        <v/>
      </c>
      <c r="C24" s="204">
        <f>IFERROR(IF(C23="","",C23-C22),0)</f>
        <v/>
      </c>
      <c r="D24" s="204">
        <f>IFERROR(IF(D23="","",D23-D22),0)</f>
        <v/>
      </c>
      <c r="E24" s="204">
        <f>IFERROR(IF(E23="","",E23-E22),0)</f>
        <v/>
      </c>
      <c r="F24" s="204">
        <f>IFERROR(IF(F23="","",F23-F22),0)</f>
        <v/>
      </c>
      <c r="G24" s="204">
        <f>IFERROR(IF(G23="","",G23-G22),0)</f>
        <v/>
      </c>
      <c r="H24" s="204">
        <f>IFERROR(IF(H23="","",H23-H22),0)</f>
        <v/>
      </c>
      <c r="I24" s="204">
        <f>IFERROR(IF(I23="","",I23-I22),0)</f>
        <v/>
      </c>
      <c r="J24" s="204">
        <f>IFERROR(IF(J23="","",J23-J22),0)</f>
        <v/>
      </c>
      <c r="K24" s="204">
        <f>IFERROR(IF(K23="","",K23-K22),0)</f>
        <v/>
      </c>
      <c r="L24" s="204">
        <f>IFERROR(IF(L23="","",L23-L22),0)</f>
        <v/>
      </c>
      <c r="M24" s="204">
        <f>IFERROR(IF(M23="","",M23-M22),0)</f>
        <v/>
      </c>
      <c r="N24" s="135">
        <f>SUM(B24,C24,D24)</f>
        <v/>
      </c>
      <c r="O24" s="135">
        <f>SUM(E24,F24,G24)</f>
        <v/>
      </c>
      <c r="P24" s="135">
        <f>SUM(H24,I24,J24)</f>
        <v/>
      </c>
      <c r="Q24" s="135">
        <f>SUM(K24,L24,M24)</f>
        <v/>
      </c>
      <c r="R24" s="135">
        <f>SUM(N24,O24,P24,Q24)</f>
        <v/>
      </c>
    </row>
    <row r="25">
      <c r="A25" s="117" t="inlineStr">
        <is>
          <t>Variance %</t>
        </is>
      </c>
      <c r="B25" s="205">
        <f>IFERROR(B24/B22,0)</f>
        <v/>
      </c>
      <c r="C25" s="205">
        <f>IFERROR(C24/C22,0)</f>
        <v/>
      </c>
      <c r="D25" s="205">
        <f>IFERROR(D24/D22,0)</f>
        <v/>
      </c>
      <c r="E25" s="205">
        <f>IFERROR(E24/E22,0)</f>
        <v/>
      </c>
      <c r="F25" s="205">
        <f>IFERROR(F24/F22,0)</f>
        <v/>
      </c>
      <c r="G25" s="205">
        <f>IFERROR(G24/G22,0)</f>
        <v/>
      </c>
      <c r="H25" s="205">
        <f>IFERROR(H24/H22,0)</f>
        <v/>
      </c>
      <c r="I25" s="205">
        <f>IFERROR(I24/I22,0)</f>
        <v/>
      </c>
      <c r="J25" s="205">
        <f>IFERROR(J24/J22,0)</f>
        <v/>
      </c>
      <c r="K25" s="205">
        <f>IFERROR(K24/K22,0)</f>
        <v/>
      </c>
      <c r="L25" s="205">
        <f>IFERROR(L24/L22,0)</f>
        <v/>
      </c>
      <c r="M25" s="205">
        <f>IFERROR(M24/M22,0)</f>
        <v/>
      </c>
      <c r="N25" s="140">
        <f>IFERROR(N24/N22,0)</f>
        <v/>
      </c>
      <c r="O25" s="140">
        <f>IFERROR(O24/O22,0)</f>
        <v/>
      </c>
      <c r="P25" s="140">
        <f>IFERROR(P24/P22,0)</f>
        <v/>
      </c>
      <c r="Q25" s="140">
        <f>IFERROR(Q24/Q22,0)</f>
        <v/>
      </c>
      <c r="R25" s="140">
        <f>IFERROR(R24/R22,0)</f>
        <v/>
      </c>
    </row>
    <row r="27">
      <c r="A27" s="136">
        <f>IF(Projects!$A$8="","",Projects!$A$8&amp;" — "&amp;Projects!$B$8)</f>
        <v/>
      </c>
    </row>
    <row r="28">
      <c r="A28" s="124" t="inlineStr">
        <is>
          <t>Forecasted Revenue $</t>
        </is>
      </c>
      <c r="B28" s="131" t="n">
        <v>50000</v>
      </c>
      <c r="C28" s="131" t="n">
        <v>50000</v>
      </c>
      <c r="D28" s="131" t="n">
        <v>55000</v>
      </c>
      <c r="E28" s="131" t="n">
        <v>55000</v>
      </c>
      <c r="F28" s="131" t="n">
        <v>60000</v>
      </c>
      <c r="G28" s="131" t="n">
        <v>60000</v>
      </c>
      <c r="H28" s="131" t="n">
        <v>65000</v>
      </c>
      <c r="I28" s="131" t="n">
        <v>70000</v>
      </c>
      <c r="J28" s="131" t="n">
        <v>75000</v>
      </c>
      <c r="K28" s="131" t="n">
        <v>75000</v>
      </c>
      <c r="L28" s="131" t="n">
        <v>80000</v>
      </c>
      <c r="M28" s="131" t="n">
        <v>85000</v>
      </c>
      <c r="N28" s="135">
        <f>SUM(B28,C28,D28)</f>
        <v/>
      </c>
      <c r="O28" s="135">
        <f>SUM(E28,F28,G28)</f>
        <v/>
      </c>
      <c r="P28" s="135">
        <f>SUM(H28,I28,J28)</f>
        <v/>
      </c>
      <c r="Q28" s="135">
        <f>SUM(K28,L28,M28)</f>
        <v/>
      </c>
      <c r="R28" s="135">
        <f>SUM(N28,O28,P28,Q28)</f>
        <v/>
      </c>
    </row>
    <row r="29">
      <c r="A29" s="124" t="inlineStr">
        <is>
          <t>Actual Revenue $</t>
        </is>
      </c>
      <c r="B29" s="132">
        <f>IF(Projects!$A$8="","",(((SUMPRODUCT((Labor!$G$6:$G$25=Projects!$A$8)*(Labor!$E$6:$E$25="Prime")*N(Labor!$K$6:$K$25))*(1+Rates!$B$6)*(1+Rates!$B$7)+SUMPRODUCT((Labor!$G$6:$G$25=Projects!$A$8)*(Labor!$E$6:$E$25="Sub")*N(Labor!$K$6:$K$25)))+SUMIFS(ODCs!$F$5:$F$22,ODCs!$D$5:$D$22,Projects!$A$8,ODCs!$E$5:$E$22,1)+SUMIFS(Travel!$F$5:$F$22,Travel!$D$5:$D$22,Projects!$A$8,Travel!$E$5:$E$22,1)+SUMIFS('M&amp;E'!$F$5:$F$22,'M&amp;E'!$D$5:$D$22,Projects!$A$8,'M&amp;E'!$E$5:$E$22,1))+(((SUMPRODUCT((Labor!$G$6:$G$25=Projects!$A$8)*(Labor!$E$6:$E$25="Prime")*N(Labor!$K$6:$K$25))*(1+Rates!$B$6)*(1+Rates!$B$7)+SUMPRODUCT((Labor!$G$6:$G$25=Projects!$A$8)*(Labor!$E$6:$E$25="Sub")*N(Labor!$K$6:$K$25)))+SUMIFS(ODCs!$F$5:$F$22,ODCs!$D$5:$D$22,Projects!$A$8,ODCs!$E$5:$E$22,1)+SUMIFS(Travel!$F$5:$F$22,Travel!$D$5:$D$22,Projects!$A$8,Travel!$E$5:$E$22,1)+SUMIFS('M&amp;E'!$F$5:$F$22,'M&amp;E'!$D$5:$D$22,Projects!$A$8,'M&amp;E'!$E$5:$E$22,1))*Rates!$B$8))+((((SUMPRODUCT((Labor!$G$6:$G$25=Projects!$A$8)*(Labor!$E$6:$E$25="Prime")*N(Labor!$K$6:$K$25))*(1+Rates!$B$6)*(1+Rates!$B$7)+SUMPRODUCT((Labor!$G$6:$G$25=Projects!$A$8)*(Labor!$E$6:$E$25="Sub")*N(Labor!$K$6:$K$25))))+IFERROR(((SUMPRODUCT((Labor!$G$6:$G$25=Projects!$A$8)*(Labor!$E$6:$E$25="Prime")*N(Labor!$K$6:$K$25))*(1+Rates!$B$6)*(1+Rates!$B$7)+SUMPRODUCT((Labor!$G$6:$G$25=Projects!$A$8)*(Labor!$E$6:$E$25="Sub")*N(Labor!$K$6:$K$25))))/((SUMPRODUCT((Labor!$G$6:$G$25=Projects!$A$8)*(Labor!$E$6:$E$25="Prime")*N(Labor!$K$6:$K$25))*(1+Rates!$B$6)*(1+Rates!$B$7)+SUMPRODUCT((Labor!$G$6:$G$25=Projects!$A$8)*(Labor!$E$6:$E$25="Sub")*N(Labor!$K$6:$K$25)))+SUMIFS(ODCs!$F$5:$F$22,ODCs!$D$5:$D$22,Projects!$A$8,ODCs!$E$5:$E$22,1)+SUMIFS(Travel!$F$5:$F$22,Travel!$D$5:$D$22,Projects!$A$8,Travel!$E$5:$E$22,1)+SUMIFS('M&amp;E'!$F$5:$F$22,'M&amp;E'!$D$5:$D$22,Projects!$A$8,'M&amp;E'!$E$5:$E$22,1))*(((SUMPRODUCT((Labor!$G$6:$G$25=Projects!$A$8)*(Labor!$E$6:$E$25="Prime")*N(Labor!$K$6:$K$25))*(1+Rates!$B$6)*(1+Rates!$B$7)+SUMPRODUCT((Labor!$G$6:$G$25=Projects!$A$8)*(Labor!$E$6:$E$25="Sub")*N(Labor!$K$6:$K$25)))+SUMIFS(ODCs!$F$5:$F$22,ODCs!$D$5:$D$22,Projects!$A$8,ODCs!$E$5:$E$22,1)+SUMIFS(Travel!$F$5:$F$22,Travel!$D$5:$D$22,Projects!$A$8,Travel!$E$5:$E$22,1)+SUMIFS('M&amp;E'!$F$5:$F$22,'M&amp;E'!$D$5:$D$22,Projects!$A$8,'M&amp;E'!$E$5:$E$22,1))*Rates!$B$8),0))*Rates!$C$18+((SUMIFS(Travel!$F$5:$F$22,Travel!$D$5:$D$22,Projects!$A$8,Travel!$E$5:$E$22,1))+IFERROR((SUMIFS(Travel!$F$5:$F$22,Travel!$D$5:$D$22,Projects!$A$8,Travel!$E$5:$E$22,1))/((SUMPRODUCT((Labor!$G$6:$G$25=Projects!$A$8)*(Labor!$E$6:$E$25="Prime")*N(Labor!$K$6:$K$25))*(1+Rates!$B$6)*(1+Rates!$B$7)+SUMPRODUCT((Labor!$G$6:$G$25=Projects!$A$8)*(Labor!$E$6:$E$25="Sub")*N(Labor!$K$6:$K$25)))+SUMIFS(ODCs!$F$5:$F$22,ODCs!$D$5:$D$22,Projects!$A$8,ODCs!$E$5:$E$22,1)+SUMIFS(Travel!$F$5:$F$22,Travel!$D$5:$D$22,Projects!$A$8,Travel!$E$5:$E$22,1)+SUMIFS('M&amp;E'!$F$5:$F$22,'M&amp;E'!$D$5:$D$22,Projects!$A$8,'M&amp;E'!$E$5:$E$22,1))*(((SUMPRODUCT((Labor!$G$6:$G$25=Projects!$A$8)*(Labor!$E$6:$E$25="Prime")*N(Labor!$K$6:$K$25))*(1+Rates!$B$6)*(1+Rates!$B$7)+SUMPRODUCT((Labor!$G$6:$G$25=Projects!$A$8)*(Labor!$E$6:$E$25="Sub")*N(Labor!$K$6:$K$25)))+SUMIFS(ODCs!$F$5:$F$22,ODCs!$D$5:$D$22,Projects!$A$8,ODCs!$E$5:$E$22,1)+SUMIFS(Travel!$F$5:$F$22,Travel!$D$5:$D$22,Projects!$A$8,Travel!$E$5:$E$22,1)+SUMIFS('M&amp;E'!$F$5:$F$22,'M&amp;E'!$D$5:$D$22,Projects!$A$8,'M&amp;E'!$E$5:$E$22,1))*Rates!$B$8),0))*Rates!$C$19+((SUMIFS(ODCs!$F$5:$F$22,ODCs!$D$5:$D$22,Projects!$A$8,ODCs!$E$5:$E$22,1))+IFERROR((SUMIFS(ODCs!$F$5:$F$22,ODCs!$D$5:$D$22,Projects!$A$8,ODCs!$E$5:$E$22,1))/((SUMPRODUCT((Labor!$G$6:$G$25=Projects!$A$8)*(Labor!$E$6:$E$25="Prime")*N(Labor!$K$6:$K$25))*(1+Rates!$B$6)*(1+Rates!$B$7)+SUMPRODUCT((Labor!$G$6:$G$25=Projects!$A$8)*(Labor!$E$6:$E$25="Sub")*N(Labor!$K$6:$K$25)))+SUMIFS(ODCs!$F$5:$F$22,ODCs!$D$5:$D$22,Projects!$A$8,ODCs!$E$5:$E$22,1)+SUMIFS(Travel!$F$5:$F$22,Travel!$D$5:$D$22,Projects!$A$8,Travel!$E$5:$E$22,1)+SUMIFS('M&amp;E'!$F$5:$F$22,'M&amp;E'!$D$5:$D$22,Projects!$A$8,'M&amp;E'!$E$5:$E$22,1))*(((SUMPRODUCT((Labor!$G$6:$G$25=Projects!$A$8)*(Labor!$E$6:$E$25="Prime")*N(Labor!$K$6:$K$25))*(1+Rates!$B$6)*(1+Rates!$B$7)+SUMPRODUCT((Labor!$G$6:$G$25=Projects!$A$8)*(Labor!$E$6:$E$25="Sub")*N(Labor!$K$6:$K$25)))+SUMIFS(ODCs!$F$5:$F$22,ODCs!$D$5:$D$22,Projects!$A$8,ODCs!$E$5:$E$22,1)+SUMIFS(Travel!$F$5:$F$22,Travel!$D$5:$D$22,Projects!$A$8,Travel!$E$5:$E$22,1)+SUMIFS('M&amp;E'!$F$5:$F$22,'M&amp;E'!$D$5:$D$22,Projects!$A$8,'M&amp;E'!$E$5:$E$22,1))*Rates!$B$8),0))*Rates!$C$20+((SUMIFS('M&amp;E'!$F$5:$F$22,'M&amp;E'!$D$5:$D$22,Projects!$A$8,'M&amp;E'!$E$5:$E$22,1))+IFERROR((SUMIFS('M&amp;E'!$F$5:$F$22,'M&amp;E'!$D$5:$D$22,Projects!$A$8,'M&amp;E'!$E$5:$E$22,1))/((SUMPRODUCT((Labor!$G$6:$G$25=Projects!$A$8)*(Labor!$E$6:$E$25="Prime")*N(Labor!$K$6:$K$25))*(1+Rates!$B$6)*(1+Rates!$B$7)+SUMPRODUCT((Labor!$G$6:$G$25=Projects!$A$8)*(Labor!$E$6:$E$25="Sub")*N(Labor!$K$6:$K$25)))+SUMIFS(ODCs!$F$5:$F$22,ODCs!$D$5:$D$22,Projects!$A$8,ODCs!$E$5:$E$22,1)+SUMIFS(Travel!$F$5:$F$22,Travel!$D$5:$D$22,Projects!$A$8,Travel!$E$5:$E$22,1)+SUMIFS('M&amp;E'!$F$5:$F$22,'M&amp;E'!$D$5:$D$22,Projects!$A$8,'M&amp;E'!$E$5:$E$22,1))*(((SUMPRODUCT((Labor!$G$6:$G$25=Projects!$A$8)*(Labor!$E$6:$E$25="Prime")*N(Labor!$K$6:$K$25))*(1+Rates!$B$6)*(1+Rates!$B$7)+SUMPRODUCT((Labor!$G$6:$G$25=Projects!$A$8)*(Labor!$E$6:$E$25="Sub")*N(Labor!$K$6:$K$25)))+SUMIFS(ODCs!$F$5:$F$22,ODCs!$D$5:$D$22,Projects!$A$8,ODCs!$E$5:$E$22,1)+SUMIFS(Travel!$F$5:$F$22,Travel!$D$5:$D$22,Projects!$A$8,Travel!$E$5:$E$22,1)+SUMIFS('M&amp;E'!$F$5:$F$22,'M&amp;E'!$D$5:$D$22,Projects!$A$8,'M&amp;E'!$E$5:$E$22,1))*Rates!$B$8),0))*Rates!$C$21))</f>
        <v/>
      </c>
      <c r="C29" s="132">
        <f>IF(Projects!$A$8="","",(((SUMPRODUCT((Labor!$G$6:$G$25=Projects!$A$8)*(Labor!$E$6:$E$25="Prime")*N(Labor!$O$6:$O$25))*(1+Rates!$B$6)*(1+Rates!$B$7)+SUMPRODUCT((Labor!$G$6:$G$25=Projects!$A$8)*(Labor!$E$6:$E$25="Sub")*N(Labor!$O$6:$O$25)))+SUMIFS(ODCs!$F$5:$F$22,ODCs!$D$5:$D$22,Projects!$A$8,ODCs!$E$5:$E$22,2)+SUMIFS(Travel!$F$5:$F$22,Travel!$D$5:$D$22,Projects!$A$8,Travel!$E$5:$E$22,2)+SUMIFS('M&amp;E'!$F$5:$F$22,'M&amp;E'!$D$5:$D$22,Projects!$A$8,'M&amp;E'!$E$5:$E$22,2))+(((SUMPRODUCT((Labor!$G$6:$G$25=Projects!$A$8)*(Labor!$E$6:$E$25="Prime")*N(Labor!$O$6:$O$25))*(1+Rates!$B$6)*(1+Rates!$B$7)+SUMPRODUCT((Labor!$G$6:$G$25=Projects!$A$8)*(Labor!$E$6:$E$25="Sub")*N(Labor!$O$6:$O$25)))+SUMIFS(ODCs!$F$5:$F$22,ODCs!$D$5:$D$22,Projects!$A$8,ODCs!$E$5:$E$22,2)+SUMIFS(Travel!$F$5:$F$22,Travel!$D$5:$D$22,Projects!$A$8,Travel!$E$5:$E$22,2)+SUMIFS('M&amp;E'!$F$5:$F$22,'M&amp;E'!$D$5:$D$22,Projects!$A$8,'M&amp;E'!$E$5:$E$22,2))*Rates!$B$8))+((((SUMPRODUCT((Labor!$G$6:$G$25=Projects!$A$8)*(Labor!$E$6:$E$25="Prime")*N(Labor!$O$6:$O$25))*(1+Rates!$B$6)*(1+Rates!$B$7)+SUMPRODUCT((Labor!$G$6:$G$25=Projects!$A$8)*(Labor!$E$6:$E$25="Sub")*N(Labor!$O$6:$O$25))))+IFERROR(((SUMPRODUCT((Labor!$G$6:$G$25=Projects!$A$8)*(Labor!$E$6:$E$25="Prime")*N(Labor!$O$6:$O$25))*(1+Rates!$B$6)*(1+Rates!$B$7)+SUMPRODUCT((Labor!$G$6:$G$25=Projects!$A$8)*(Labor!$E$6:$E$25="Sub")*N(Labor!$O$6:$O$25))))/((SUMPRODUCT((Labor!$G$6:$G$25=Projects!$A$8)*(Labor!$E$6:$E$25="Prime")*N(Labor!$O$6:$O$25))*(1+Rates!$B$6)*(1+Rates!$B$7)+SUMPRODUCT((Labor!$G$6:$G$25=Projects!$A$8)*(Labor!$E$6:$E$25="Sub")*N(Labor!$O$6:$O$25)))+SUMIFS(ODCs!$F$5:$F$22,ODCs!$D$5:$D$22,Projects!$A$8,ODCs!$E$5:$E$22,2)+SUMIFS(Travel!$F$5:$F$22,Travel!$D$5:$D$22,Projects!$A$8,Travel!$E$5:$E$22,2)+SUMIFS('M&amp;E'!$F$5:$F$22,'M&amp;E'!$D$5:$D$22,Projects!$A$8,'M&amp;E'!$E$5:$E$22,2))*(((SUMPRODUCT((Labor!$G$6:$G$25=Projects!$A$8)*(Labor!$E$6:$E$25="Prime")*N(Labor!$O$6:$O$25))*(1+Rates!$B$6)*(1+Rates!$B$7)+SUMPRODUCT((Labor!$G$6:$G$25=Projects!$A$8)*(Labor!$E$6:$E$25="Sub")*N(Labor!$O$6:$O$25)))+SUMIFS(ODCs!$F$5:$F$22,ODCs!$D$5:$D$22,Projects!$A$8,ODCs!$E$5:$E$22,2)+SUMIFS(Travel!$F$5:$F$22,Travel!$D$5:$D$22,Projects!$A$8,Travel!$E$5:$E$22,2)+SUMIFS('M&amp;E'!$F$5:$F$22,'M&amp;E'!$D$5:$D$22,Projects!$A$8,'M&amp;E'!$E$5:$E$22,2))*Rates!$B$8),0))*Rates!$C$18+((SUMIFS(Travel!$F$5:$F$22,Travel!$D$5:$D$22,Projects!$A$8,Travel!$E$5:$E$22,2))+IFERROR((SUMIFS(Travel!$F$5:$F$22,Travel!$D$5:$D$22,Projects!$A$8,Travel!$E$5:$E$22,2))/((SUMPRODUCT((Labor!$G$6:$G$25=Projects!$A$8)*(Labor!$E$6:$E$25="Prime")*N(Labor!$O$6:$O$25))*(1+Rates!$B$6)*(1+Rates!$B$7)+SUMPRODUCT((Labor!$G$6:$G$25=Projects!$A$8)*(Labor!$E$6:$E$25="Sub")*N(Labor!$O$6:$O$25)))+SUMIFS(ODCs!$F$5:$F$22,ODCs!$D$5:$D$22,Projects!$A$8,ODCs!$E$5:$E$22,2)+SUMIFS(Travel!$F$5:$F$22,Travel!$D$5:$D$22,Projects!$A$8,Travel!$E$5:$E$22,2)+SUMIFS('M&amp;E'!$F$5:$F$22,'M&amp;E'!$D$5:$D$22,Projects!$A$8,'M&amp;E'!$E$5:$E$22,2))*(((SUMPRODUCT((Labor!$G$6:$G$25=Projects!$A$8)*(Labor!$E$6:$E$25="Prime")*N(Labor!$O$6:$O$25))*(1+Rates!$B$6)*(1+Rates!$B$7)+SUMPRODUCT((Labor!$G$6:$G$25=Projects!$A$8)*(Labor!$E$6:$E$25="Sub")*N(Labor!$O$6:$O$25)))+SUMIFS(ODCs!$F$5:$F$22,ODCs!$D$5:$D$22,Projects!$A$8,ODCs!$E$5:$E$22,2)+SUMIFS(Travel!$F$5:$F$22,Travel!$D$5:$D$22,Projects!$A$8,Travel!$E$5:$E$22,2)+SUMIFS('M&amp;E'!$F$5:$F$22,'M&amp;E'!$D$5:$D$22,Projects!$A$8,'M&amp;E'!$E$5:$E$22,2))*Rates!$B$8),0))*Rates!$C$19+((SUMIFS(ODCs!$F$5:$F$22,ODCs!$D$5:$D$22,Projects!$A$8,ODCs!$E$5:$E$22,2))+IFERROR((SUMIFS(ODCs!$F$5:$F$22,ODCs!$D$5:$D$22,Projects!$A$8,ODCs!$E$5:$E$22,2))/((SUMPRODUCT((Labor!$G$6:$G$25=Projects!$A$8)*(Labor!$E$6:$E$25="Prime")*N(Labor!$O$6:$O$25))*(1+Rates!$B$6)*(1+Rates!$B$7)+SUMPRODUCT((Labor!$G$6:$G$25=Projects!$A$8)*(Labor!$E$6:$E$25="Sub")*N(Labor!$O$6:$O$25)))+SUMIFS(ODCs!$F$5:$F$22,ODCs!$D$5:$D$22,Projects!$A$8,ODCs!$E$5:$E$22,2)+SUMIFS(Travel!$F$5:$F$22,Travel!$D$5:$D$22,Projects!$A$8,Travel!$E$5:$E$22,2)+SUMIFS('M&amp;E'!$F$5:$F$22,'M&amp;E'!$D$5:$D$22,Projects!$A$8,'M&amp;E'!$E$5:$E$22,2))*(((SUMPRODUCT((Labor!$G$6:$G$25=Projects!$A$8)*(Labor!$E$6:$E$25="Prime")*N(Labor!$O$6:$O$25))*(1+Rates!$B$6)*(1+Rates!$B$7)+SUMPRODUCT((Labor!$G$6:$G$25=Projects!$A$8)*(Labor!$E$6:$E$25="Sub")*N(Labor!$O$6:$O$25)))+SUMIFS(ODCs!$F$5:$F$22,ODCs!$D$5:$D$22,Projects!$A$8,ODCs!$E$5:$E$22,2)+SUMIFS(Travel!$F$5:$F$22,Travel!$D$5:$D$22,Projects!$A$8,Travel!$E$5:$E$22,2)+SUMIFS('M&amp;E'!$F$5:$F$22,'M&amp;E'!$D$5:$D$22,Projects!$A$8,'M&amp;E'!$E$5:$E$22,2))*Rates!$B$8),0))*Rates!$C$20+((SUMIFS('M&amp;E'!$F$5:$F$22,'M&amp;E'!$D$5:$D$22,Projects!$A$8,'M&amp;E'!$E$5:$E$22,2))+IFERROR((SUMIFS('M&amp;E'!$F$5:$F$22,'M&amp;E'!$D$5:$D$22,Projects!$A$8,'M&amp;E'!$E$5:$E$22,2))/((SUMPRODUCT((Labor!$G$6:$G$25=Projects!$A$8)*(Labor!$E$6:$E$25="Prime")*N(Labor!$O$6:$O$25))*(1+Rates!$B$6)*(1+Rates!$B$7)+SUMPRODUCT((Labor!$G$6:$G$25=Projects!$A$8)*(Labor!$E$6:$E$25="Sub")*N(Labor!$O$6:$O$25)))+SUMIFS(ODCs!$F$5:$F$22,ODCs!$D$5:$D$22,Projects!$A$8,ODCs!$E$5:$E$22,2)+SUMIFS(Travel!$F$5:$F$22,Travel!$D$5:$D$22,Projects!$A$8,Travel!$E$5:$E$22,2)+SUMIFS('M&amp;E'!$F$5:$F$22,'M&amp;E'!$D$5:$D$22,Projects!$A$8,'M&amp;E'!$E$5:$E$22,2))*(((SUMPRODUCT((Labor!$G$6:$G$25=Projects!$A$8)*(Labor!$E$6:$E$25="Prime")*N(Labor!$O$6:$O$25))*(1+Rates!$B$6)*(1+Rates!$B$7)+SUMPRODUCT((Labor!$G$6:$G$25=Projects!$A$8)*(Labor!$E$6:$E$25="Sub")*N(Labor!$O$6:$O$25)))+SUMIFS(ODCs!$F$5:$F$22,ODCs!$D$5:$D$22,Projects!$A$8,ODCs!$E$5:$E$22,2)+SUMIFS(Travel!$F$5:$F$22,Travel!$D$5:$D$22,Projects!$A$8,Travel!$E$5:$E$22,2)+SUMIFS('M&amp;E'!$F$5:$F$22,'M&amp;E'!$D$5:$D$22,Projects!$A$8,'M&amp;E'!$E$5:$E$22,2))*Rates!$B$8),0))*Rates!$C$21))</f>
        <v/>
      </c>
      <c r="D29" s="132">
        <f>IF(Projects!$A$8="","",(((SUMPRODUCT((Labor!$G$6:$G$25=Projects!$A$8)*(Labor!$E$6:$E$25="Prime")*N(Labor!$S$6:$S$25))*(1+Rates!$B$6)*(1+Rates!$B$7)+SUMPRODUCT((Labor!$G$6:$G$25=Projects!$A$8)*(Labor!$E$6:$E$25="Sub")*N(Labor!$S$6:$S$25)))+SUMIFS(ODCs!$F$5:$F$22,ODCs!$D$5:$D$22,Projects!$A$8,ODCs!$E$5:$E$22,3)+SUMIFS(Travel!$F$5:$F$22,Travel!$D$5:$D$22,Projects!$A$8,Travel!$E$5:$E$22,3)+SUMIFS('M&amp;E'!$F$5:$F$22,'M&amp;E'!$D$5:$D$22,Projects!$A$8,'M&amp;E'!$E$5:$E$22,3))+(((SUMPRODUCT((Labor!$G$6:$G$25=Projects!$A$8)*(Labor!$E$6:$E$25="Prime")*N(Labor!$S$6:$S$25))*(1+Rates!$B$6)*(1+Rates!$B$7)+SUMPRODUCT((Labor!$G$6:$G$25=Projects!$A$8)*(Labor!$E$6:$E$25="Sub")*N(Labor!$S$6:$S$25)))+SUMIFS(ODCs!$F$5:$F$22,ODCs!$D$5:$D$22,Projects!$A$8,ODCs!$E$5:$E$22,3)+SUMIFS(Travel!$F$5:$F$22,Travel!$D$5:$D$22,Projects!$A$8,Travel!$E$5:$E$22,3)+SUMIFS('M&amp;E'!$F$5:$F$22,'M&amp;E'!$D$5:$D$22,Projects!$A$8,'M&amp;E'!$E$5:$E$22,3))*Rates!$B$8))+((((SUMPRODUCT((Labor!$G$6:$G$25=Projects!$A$8)*(Labor!$E$6:$E$25="Prime")*N(Labor!$S$6:$S$25))*(1+Rates!$B$6)*(1+Rates!$B$7)+SUMPRODUCT((Labor!$G$6:$G$25=Projects!$A$8)*(Labor!$E$6:$E$25="Sub")*N(Labor!$S$6:$S$25))))+IFERROR(((SUMPRODUCT((Labor!$G$6:$G$25=Projects!$A$8)*(Labor!$E$6:$E$25="Prime")*N(Labor!$S$6:$S$25))*(1+Rates!$B$6)*(1+Rates!$B$7)+SUMPRODUCT((Labor!$G$6:$G$25=Projects!$A$8)*(Labor!$E$6:$E$25="Sub")*N(Labor!$S$6:$S$25))))/((SUMPRODUCT((Labor!$G$6:$G$25=Projects!$A$8)*(Labor!$E$6:$E$25="Prime")*N(Labor!$S$6:$S$25))*(1+Rates!$B$6)*(1+Rates!$B$7)+SUMPRODUCT((Labor!$G$6:$G$25=Projects!$A$8)*(Labor!$E$6:$E$25="Sub")*N(Labor!$S$6:$S$25)))+SUMIFS(ODCs!$F$5:$F$22,ODCs!$D$5:$D$22,Projects!$A$8,ODCs!$E$5:$E$22,3)+SUMIFS(Travel!$F$5:$F$22,Travel!$D$5:$D$22,Projects!$A$8,Travel!$E$5:$E$22,3)+SUMIFS('M&amp;E'!$F$5:$F$22,'M&amp;E'!$D$5:$D$22,Projects!$A$8,'M&amp;E'!$E$5:$E$22,3))*(((SUMPRODUCT((Labor!$G$6:$G$25=Projects!$A$8)*(Labor!$E$6:$E$25="Prime")*N(Labor!$S$6:$S$25))*(1+Rates!$B$6)*(1+Rates!$B$7)+SUMPRODUCT((Labor!$G$6:$G$25=Projects!$A$8)*(Labor!$E$6:$E$25="Sub")*N(Labor!$S$6:$S$25)))+SUMIFS(ODCs!$F$5:$F$22,ODCs!$D$5:$D$22,Projects!$A$8,ODCs!$E$5:$E$22,3)+SUMIFS(Travel!$F$5:$F$22,Travel!$D$5:$D$22,Projects!$A$8,Travel!$E$5:$E$22,3)+SUMIFS('M&amp;E'!$F$5:$F$22,'M&amp;E'!$D$5:$D$22,Projects!$A$8,'M&amp;E'!$E$5:$E$22,3))*Rates!$B$8),0))*Rates!$C$18+((SUMIFS(Travel!$F$5:$F$22,Travel!$D$5:$D$22,Projects!$A$8,Travel!$E$5:$E$22,3))+IFERROR((SUMIFS(Travel!$F$5:$F$22,Travel!$D$5:$D$22,Projects!$A$8,Travel!$E$5:$E$22,3))/((SUMPRODUCT((Labor!$G$6:$G$25=Projects!$A$8)*(Labor!$E$6:$E$25="Prime")*N(Labor!$S$6:$S$25))*(1+Rates!$B$6)*(1+Rates!$B$7)+SUMPRODUCT((Labor!$G$6:$G$25=Projects!$A$8)*(Labor!$E$6:$E$25="Sub")*N(Labor!$S$6:$S$25)))+SUMIFS(ODCs!$F$5:$F$22,ODCs!$D$5:$D$22,Projects!$A$8,ODCs!$E$5:$E$22,3)+SUMIFS(Travel!$F$5:$F$22,Travel!$D$5:$D$22,Projects!$A$8,Travel!$E$5:$E$22,3)+SUMIFS('M&amp;E'!$F$5:$F$22,'M&amp;E'!$D$5:$D$22,Projects!$A$8,'M&amp;E'!$E$5:$E$22,3))*(((SUMPRODUCT((Labor!$G$6:$G$25=Projects!$A$8)*(Labor!$E$6:$E$25="Prime")*N(Labor!$S$6:$S$25))*(1+Rates!$B$6)*(1+Rates!$B$7)+SUMPRODUCT((Labor!$G$6:$G$25=Projects!$A$8)*(Labor!$E$6:$E$25="Sub")*N(Labor!$S$6:$S$25)))+SUMIFS(ODCs!$F$5:$F$22,ODCs!$D$5:$D$22,Projects!$A$8,ODCs!$E$5:$E$22,3)+SUMIFS(Travel!$F$5:$F$22,Travel!$D$5:$D$22,Projects!$A$8,Travel!$E$5:$E$22,3)+SUMIFS('M&amp;E'!$F$5:$F$22,'M&amp;E'!$D$5:$D$22,Projects!$A$8,'M&amp;E'!$E$5:$E$22,3))*Rates!$B$8),0))*Rates!$C$19+((SUMIFS(ODCs!$F$5:$F$22,ODCs!$D$5:$D$22,Projects!$A$8,ODCs!$E$5:$E$22,3))+IFERROR((SUMIFS(ODCs!$F$5:$F$22,ODCs!$D$5:$D$22,Projects!$A$8,ODCs!$E$5:$E$22,3))/((SUMPRODUCT((Labor!$G$6:$G$25=Projects!$A$8)*(Labor!$E$6:$E$25="Prime")*N(Labor!$S$6:$S$25))*(1+Rates!$B$6)*(1+Rates!$B$7)+SUMPRODUCT((Labor!$G$6:$G$25=Projects!$A$8)*(Labor!$E$6:$E$25="Sub")*N(Labor!$S$6:$S$25)))+SUMIFS(ODCs!$F$5:$F$22,ODCs!$D$5:$D$22,Projects!$A$8,ODCs!$E$5:$E$22,3)+SUMIFS(Travel!$F$5:$F$22,Travel!$D$5:$D$22,Projects!$A$8,Travel!$E$5:$E$22,3)+SUMIFS('M&amp;E'!$F$5:$F$22,'M&amp;E'!$D$5:$D$22,Projects!$A$8,'M&amp;E'!$E$5:$E$22,3))*(((SUMPRODUCT((Labor!$G$6:$G$25=Projects!$A$8)*(Labor!$E$6:$E$25="Prime")*N(Labor!$S$6:$S$25))*(1+Rates!$B$6)*(1+Rates!$B$7)+SUMPRODUCT((Labor!$G$6:$G$25=Projects!$A$8)*(Labor!$E$6:$E$25="Sub")*N(Labor!$S$6:$S$25)))+SUMIFS(ODCs!$F$5:$F$22,ODCs!$D$5:$D$22,Projects!$A$8,ODCs!$E$5:$E$22,3)+SUMIFS(Travel!$F$5:$F$22,Travel!$D$5:$D$22,Projects!$A$8,Travel!$E$5:$E$22,3)+SUMIFS('M&amp;E'!$F$5:$F$22,'M&amp;E'!$D$5:$D$22,Projects!$A$8,'M&amp;E'!$E$5:$E$22,3))*Rates!$B$8),0))*Rates!$C$20+((SUMIFS('M&amp;E'!$F$5:$F$22,'M&amp;E'!$D$5:$D$22,Projects!$A$8,'M&amp;E'!$E$5:$E$22,3))+IFERROR((SUMIFS('M&amp;E'!$F$5:$F$22,'M&amp;E'!$D$5:$D$22,Projects!$A$8,'M&amp;E'!$E$5:$E$22,3))/((SUMPRODUCT((Labor!$G$6:$G$25=Projects!$A$8)*(Labor!$E$6:$E$25="Prime")*N(Labor!$S$6:$S$25))*(1+Rates!$B$6)*(1+Rates!$B$7)+SUMPRODUCT((Labor!$G$6:$G$25=Projects!$A$8)*(Labor!$E$6:$E$25="Sub")*N(Labor!$S$6:$S$25)))+SUMIFS(ODCs!$F$5:$F$22,ODCs!$D$5:$D$22,Projects!$A$8,ODCs!$E$5:$E$22,3)+SUMIFS(Travel!$F$5:$F$22,Travel!$D$5:$D$22,Projects!$A$8,Travel!$E$5:$E$22,3)+SUMIFS('M&amp;E'!$F$5:$F$22,'M&amp;E'!$D$5:$D$22,Projects!$A$8,'M&amp;E'!$E$5:$E$22,3))*(((SUMPRODUCT((Labor!$G$6:$G$25=Projects!$A$8)*(Labor!$E$6:$E$25="Prime")*N(Labor!$S$6:$S$25))*(1+Rates!$B$6)*(1+Rates!$B$7)+SUMPRODUCT((Labor!$G$6:$G$25=Projects!$A$8)*(Labor!$E$6:$E$25="Sub")*N(Labor!$S$6:$S$25)))+SUMIFS(ODCs!$F$5:$F$22,ODCs!$D$5:$D$22,Projects!$A$8,ODCs!$E$5:$E$22,3)+SUMIFS(Travel!$F$5:$F$22,Travel!$D$5:$D$22,Projects!$A$8,Travel!$E$5:$E$22,3)+SUMIFS('M&amp;E'!$F$5:$F$22,'M&amp;E'!$D$5:$D$22,Projects!$A$8,'M&amp;E'!$E$5:$E$22,3))*Rates!$B$8),0))*Rates!$C$21))</f>
        <v/>
      </c>
      <c r="E29" s="132">
        <f>IF(Projects!$A$8="","",(((SUMPRODUCT((Labor!$G$6:$G$25=Projects!$A$8)*(Labor!$E$6:$E$25="Prime")*N(Labor!$W$6:$W$25))*(1+Rates!$B$6)*(1+Rates!$B$7)+SUMPRODUCT((Labor!$G$6:$G$25=Projects!$A$8)*(Labor!$E$6:$E$25="Sub")*N(Labor!$W$6:$W$25)))+SUMIFS(ODCs!$F$5:$F$22,ODCs!$D$5:$D$22,Projects!$A$8,ODCs!$E$5:$E$22,4)+SUMIFS(Travel!$F$5:$F$22,Travel!$D$5:$D$22,Projects!$A$8,Travel!$E$5:$E$22,4)+SUMIFS('M&amp;E'!$F$5:$F$22,'M&amp;E'!$D$5:$D$22,Projects!$A$8,'M&amp;E'!$E$5:$E$22,4))+(((SUMPRODUCT((Labor!$G$6:$G$25=Projects!$A$8)*(Labor!$E$6:$E$25="Prime")*N(Labor!$W$6:$W$25))*(1+Rates!$B$6)*(1+Rates!$B$7)+SUMPRODUCT((Labor!$G$6:$G$25=Projects!$A$8)*(Labor!$E$6:$E$25="Sub")*N(Labor!$W$6:$W$25)))+SUMIFS(ODCs!$F$5:$F$22,ODCs!$D$5:$D$22,Projects!$A$8,ODCs!$E$5:$E$22,4)+SUMIFS(Travel!$F$5:$F$22,Travel!$D$5:$D$22,Projects!$A$8,Travel!$E$5:$E$22,4)+SUMIFS('M&amp;E'!$F$5:$F$22,'M&amp;E'!$D$5:$D$22,Projects!$A$8,'M&amp;E'!$E$5:$E$22,4))*Rates!$B$8))+((((SUMPRODUCT((Labor!$G$6:$G$25=Projects!$A$8)*(Labor!$E$6:$E$25="Prime")*N(Labor!$W$6:$W$25))*(1+Rates!$B$6)*(1+Rates!$B$7)+SUMPRODUCT((Labor!$G$6:$G$25=Projects!$A$8)*(Labor!$E$6:$E$25="Sub")*N(Labor!$W$6:$W$25))))+IFERROR(((SUMPRODUCT((Labor!$G$6:$G$25=Projects!$A$8)*(Labor!$E$6:$E$25="Prime")*N(Labor!$W$6:$W$25))*(1+Rates!$B$6)*(1+Rates!$B$7)+SUMPRODUCT((Labor!$G$6:$G$25=Projects!$A$8)*(Labor!$E$6:$E$25="Sub")*N(Labor!$W$6:$W$25))))/((SUMPRODUCT((Labor!$G$6:$G$25=Projects!$A$8)*(Labor!$E$6:$E$25="Prime")*N(Labor!$W$6:$W$25))*(1+Rates!$B$6)*(1+Rates!$B$7)+SUMPRODUCT((Labor!$G$6:$G$25=Projects!$A$8)*(Labor!$E$6:$E$25="Sub")*N(Labor!$W$6:$W$25)))+SUMIFS(ODCs!$F$5:$F$22,ODCs!$D$5:$D$22,Projects!$A$8,ODCs!$E$5:$E$22,4)+SUMIFS(Travel!$F$5:$F$22,Travel!$D$5:$D$22,Projects!$A$8,Travel!$E$5:$E$22,4)+SUMIFS('M&amp;E'!$F$5:$F$22,'M&amp;E'!$D$5:$D$22,Projects!$A$8,'M&amp;E'!$E$5:$E$22,4))*(((SUMPRODUCT((Labor!$G$6:$G$25=Projects!$A$8)*(Labor!$E$6:$E$25="Prime")*N(Labor!$W$6:$W$25))*(1+Rates!$B$6)*(1+Rates!$B$7)+SUMPRODUCT((Labor!$G$6:$G$25=Projects!$A$8)*(Labor!$E$6:$E$25="Sub")*N(Labor!$W$6:$W$25)))+SUMIFS(ODCs!$F$5:$F$22,ODCs!$D$5:$D$22,Projects!$A$8,ODCs!$E$5:$E$22,4)+SUMIFS(Travel!$F$5:$F$22,Travel!$D$5:$D$22,Projects!$A$8,Travel!$E$5:$E$22,4)+SUMIFS('M&amp;E'!$F$5:$F$22,'M&amp;E'!$D$5:$D$22,Projects!$A$8,'M&amp;E'!$E$5:$E$22,4))*Rates!$B$8),0))*Rates!$C$18+((SUMIFS(Travel!$F$5:$F$22,Travel!$D$5:$D$22,Projects!$A$8,Travel!$E$5:$E$22,4))+IFERROR((SUMIFS(Travel!$F$5:$F$22,Travel!$D$5:$D$22,Projects!$A$8,Travel!$E$5:$E$22,4))/((SUMPRODUCT((Labor!$G$6:$G$25=Projects!$A$8)*(Labor!$E$6:$E$25="Prime")*N(Labor!$W$6:$W$25))*(1+Rates!$B$6)*(1+Rates!$B$7)+SUMPRODUCT((Labor!$G$6:$G$25=Projects!$A$8)*(Labor!$E$6:$E$25="Sub")*N(Labor!$W$6:$W$25)))+SUMIFS(ODCs!$F$5:$F$22,ODCs!$D$5:$D$22,Projects!$A$8,ODCs!$E$5:$E$22,4)+SUMIFS(Travel!$F$5:$F$22,Travel!$D$5:$D$22,Projects!$A$8,Travel!$E$5:$E$22,4)+SUMIFS('M&amp;E'!$F$5:$F$22,'M&amp;E'!$D$5:$D$22,Projects!$A$8,'M&amp;E'!$E$5:$E$22,4))*(((SUMPRODUCT((Labor!$G$6:$G$25=Projects!$A$8)*(Labor!$E$6:$E$25="Prime")*N(Labor!$W$6:$W$25))*(1+Rates!$B$6)*(1+Rates!$B$7)+SUMPRODUCT((Labor!$G$6:$G$25=Projects!$A$8)*(Labor!$E$6:$E$25="Sub")*N(Labor!$W$6:$W$25)))+SUMIFS(ODCs!$F$5:$F$22,ODCs!$D$5:$D$22,Projects!$A$8,ODCs!$E$5:$E$22,4)+SUMIFS(Travel!$F$5:$F$22,Travel!$D$5:$D$22,Projects!$A$8,Travel!$E$5:$E$22,4)+SUMIFS('M&amp;E'!$F$5:$F$22,'M&amp;E'!$D$5:$D$22,Projects!$A$8,'M&amp;E'!$E$5:$E$22,4))*Rates!$B$8),0))*Rates!$C$19+((SUMIFS(ODCs!$F$5:$F$22,ODCs!$D$5:$D$22,Projects!$A$8,ODCs!$E$5:$E$22,4))+IFERROR((SUMIFS(ODCs!$F$5:$F$22,ODCs!$D$5:$D$22,Projects!$A$8,ODCs!$E$5:$E$22,4))/((SUMPRODUCT((Labor!$G$6:$G$25=Projects!$A$8)*(Labor!$E$6:$E$25="Prime")*N(Labor!$W$6:$W$25))*(1+Rates!$B$6)*(1+Rates!$B$7)+SUMPRODUCT((Labor!$G$6:$G$25=Projects!$A$8)*(Labor!$E$6:$E$25="Sub")*N(Labor!$W$6:$W$25)))+SUMIFS(ODCs!$F$5:$F$22,ODCs!$D$5:$D$22,Projects!$A$8,ODCs!$E$5:$E$22,4)+SUMIFS(Travel!$F$5:$F$22,Travel!$D$5:$D$22,Projects!$A$8,Travel!$E$5:$E$22,4)+SUMIFS('M&amp;E'!$F$5:$F$22,'M&amp;E'!$D$5:$D$22,Projects!$A$8,'M&amp;E'!$E$5:$E$22,4))*(((SUMPRODUCT((Labor!$G$6:$G$25=Projects!$A$8)*(Labor!$E$6:$E$25="Prime")*N(Labor!$W$6:$W$25))*(1+Rates!$B$6)*(1+Rates!$B$7)+SUMPRODUCT((Labor!$G$6:$G$25=Projects!$A$8)*(Labor!$E$6:$E$25="Sub")*N(Labor!$W$6:$W$25)))+SUMIFS(ODCs!$F$5:$F$22,ODCs!$D$5:$D$22,Projects!$A$8,ODCs!$E$5:$E$22,4)+SUMIFS(Travel!$F$5:$F$22,Travel!$D$5:$D$22,Projects!$A$8,Travel!$E$5:$E$22,4)+SUMIFS('M&amp;E'!$F$5:$F$22,'M&amp;E'!$D$5:$D$22,Projects!$A$8,'M&amp;E'!$E$5:$E$22,4))*Rates!$B$8),0))*Rates!$C$20+((SUMIFS('M&amp;E'!$F$5:$F$22,'M&amp;E'!$D$5:$D$22,Projects!$A$8,'M&amp;E'!$E$5:$E$22,4))+IFERROR((SUMIFS('M&amp;E'!$F$5:$F$22,'M&amp;E'!$D$5:$D$22,Projects!$A$8,'M&amp;E'!$E$5:$E$22,4))/((SUMPRODUCT((Labor!$G$6:$G$25=Projects!$A$8)*(Labor!$E$6:$E$25="Prime")*N(Labor!$W$6:$W$25))*(1+Rates!$B$6)*(1+Rates!$B$7)+SUMPRODUCT((Labor!$G$6:$G$25=Projects!$A$8)*(Labor!$E$6:$E$25="Sub")*N(Labor!$W$6:$W$25)))+SUMIFS(ODCs!$F$5:$F$22,ODCs!$D$5:$D$22,Projects!$A$8,ODCs!$E$5:$E$22,4)+SUMIFS(Travel!$F$5:$F$22,Travel!$D$5:$D$22,Projects!$A$8,Travel!$E$5:$E$22,4)+SUMIFS('M&amp;E'!$F$5:$F$22,'M&amp;E'!$D$5:$D$22,Projects!$A$8,'M&amp;E'!$E$5:$E$22,4))*(((SUMPRODUCT((Labor!$G$6:$G$25=Projects!$A$8)*(Labor!$E$6:$E$25="Prime")*N(Labor!$W$6:$W$25))*(1+Rates!$B$6)*(1+Rates!$B$7)+SUMPRODUCT((Labor!$G$6:$G$25=Projects!$A$8)*(Labor!$E$6:$E$25="Sub")*N(Labor!$W$6:$W$25)))+SUMIFS(ODCs!$F$5:$F$22,ODCs!$D$5:$D$22,Projects!$A$8,ODCs!$E$5:$E$22,4)+SUMIFS(Travel!$F$5:$F$22,Travel!$D$5:$D$22,Projects!$A$8,Travel!$E$5:$E$22,4)+SUMIFS('M&amp;E'!$F$5:$F$22,'M&amp;E'!$D$5:$D$22,Projects!$A$8,'M&amp;E'!$E$5:$E$22,4))*Rates!$B$8),0))*Rates!$C$21))</f>
        <v/>
      </c>
      <c r="F29" s="132">
        <f>IF(Projects!$A$8="","",(((SUMPRODUCT((Labor!$G$6:$G$25=Projects!$A$8)*(Labor!$E$6:$E$25="Prime")*N(Labor!$AA$6:$AA$25))*(1+Rates!$B$6)*(1+Rates!$B$7)+SUMPRODUCT((Labor!$G$6:$G$25=Projects!$A$8)*(Labor!$E$6:$E$25="Sub")*N(Labor!$AA$6:$AA$25)))+SUMIFS(ODCs!$F$5:$F$22,ODCs!$D$5:$D$22,Projects!$A$8,ODCs!$E$5:$E$22,5)+SUMIFS(Travel!$F$5:$F$22,Travel!$D$5:$D$22,Projects!$A$8,Travel!$E$5:$E$22,5)+SUMIFS('M&amp;E'!$F$5:$F$22,'M&amp;E'!$D$5:$D$22,Projects!$A$8,'M&amp;E'!$E$5:$E$22,5))+(((SUMPRODUCT((Labor!$G$6:$G$25=Projects!$A$8)*(Labor!$E$6:$E$25="Prime")*N(Labor!$AA$6:$AA$25))*(1+Rates!$B$6)*(1+Rates!$B$7)+SUMPRODUCT((Labor!$G$6:$G$25=Projects!$A$8)*(Labor!$E$6:$E$25="Sub")*N(Labor!$AA$6:$AA$25)))+SUMIFS(ODCs!$F$5:$F$22,ODCs!$D$5:$D$22,Projects!$A$8,ODCs!$E$5:$E$22,5)+SUMIFS(Travel!$F$5:$F$22,Travel!$D$5:$D$22,Projects!$A$8,Travel!$E$5:$E$22,5)+SUMIFS('M&amp;E'!$F$5:$F$22,'M&amp;E'!$D$5:$D$22,Projects!$A$8,'M&amp;E'!$E$5:$E$22,5))*Rates!$B$8))+((((SUMPRODUCT((Labor!$G$6:$G$25=Projects!$A$8)*(Labor!$E$6:$E$25="Prime")*N(Labor!$AA$6:$AA$25))*(1+Rates!$B$6)*(1+Rates!$B$7)+SUMPRODUCT((Labor!$G$6:$G$25=Projects!$A$8)*(Labor!$E$6:$E$25="Sub")*N(Labor!$AA$6:$AA$25))))+IFERROR(((SUMPRODUCT((Labor!$G$6:$G$25=Projects!$A$8)*(Labor!$E$6:$E$25="Prime")*N(Labor!$AA$6:$AA$25))*(1+Rates!$B$6)*(1+Rates!$B$7)+SUMPRODUCT((Labor!$G$6:$G$25=Projects!$A$8)*(Labor!$E$6:$E$25="Sub")*N(Labor!$AA$6:$AA$25))))/((SUMPRODUCT((Labor!$G$6:$G$25=Projects!$A$8)*(Labor!$E$6:$E$25="Prime")*N(Labor!$AA$6:$AA$25))*(1+Rates!$B$6)*(1+Rates!$B$7)+SUMPRODUCT((Labor!$G$6:$G$25=Projects!$A$8)*(Labor!$E$6:$E$25="Sub")*N(Labor!$AA$6:$AA$25)))+SUMIFS(ODCs!$F$5:$F$22,ODCs!$D$5:$D$22,Projects!$A$8,ODCs!$E$5:$E$22,5)+SUMIFS(Travel!$F$5:$F$22,Travel!$D$5:$D$22,Projects!$A$8,Travel!$E$5:$E$22,5)+SUMIFS('M&amp;E'!$F$5:$F$22,'M&amp;E'!$D$5:$D$22,Projects!$A$8,'M&amp;E'!$E$5:$E$22,5))*(((SUMPRODUCT((Labor!$G$6:$G$25=Projects!$A$8)*(Labor!$E$6:$E$25="Prime")*N(Labor!$AA$6:$AA$25))*(1+Rates!$B$6)*(1+Rates!$B$7)+SUMPRODUCT((Labor!$G$6:$G$25=Projects!$A$8)*(Labor!$E$6:$E$25="Sub")*N(Labor!$AA$6:$AA$25)))+SUMIFS(ODCs!$F$5:$F$22,ODCs!$D$5:$D$22,Projects!$A$8,ODCs!$E$5:$E$22,5)+SUMIFS(Travel!$F$5:$F$22,Travel!$D$5:$D$22,Projects!$A$8,Travel!$E$5:$E$22,5)+SUMIFS('M&amp;E'!$F$5:$F$22,'M&amp;E'!$D$5:$D$22,Projects!$A$8,'M&amp;E'!$E$5:$E$22,5))*Rates!$B$8),0))*Rates!$C$18+((SUMIFS(Travel!$F$5:$F$22,Travel!$D$5:$D$22,Projects!$A$8,Travel!$E$5:$E$22,5))+IFERROR((SUMIFS(Travel!$F$5:$F$22,Travel!$D$5:$D$22,Projects!$A$8,Travel!$E$5:$E$22,5))/((SUMPRODUCT((Labor!$G$6:$G$25=Projects!$A$8)*(Labor!$E$6:$E$25="Prime")*N(Labor!$AA$6:$AA$25))*(1+Rates!$B$6)*(1+Rates!$B$7)+SUMPRODUCT((Labor!$G$6:$G$25=Projects!$A$8)*(Labor!$E$6:$E$25="Sub")*N(Labor!$AA$6:$AA$25)))+SUMIFS(ODCs!$F$5:$F$22,ODCs!$D$5:$D$22,Projects!$A$8,ODCs!$E$5:$E$22,5)+SUMIFS(Travel!$F$5:$F$22,Travel!$D$5:$D$22,Projects!$A$8,Travel!$E$5:$E$22,5)+SUMIFS('M&amp;E'!$F$5:$F$22,'M&amp;E'!$D$5:$D$22,Projects!$A$8,'M&amp;E'!$E$5:$E$22,5))*(((SUMPRODUCT((Labor!$G$6:$G$25=Projects!$A$8)*(Labor!$E$6:$E$25="Prime")*N(Labor!$AA$6:$AA$25))*(1+Rates!$B$6)*(1+Rates!$B$7)+SUMPRODUCT((Labor!$G$6:$G$25=Projects!$A$8)*(Labor!$E$6:$E$25="Sub")*N(Labor!$AA$6:$AA$25)))+SUMIFS(ODCs!$F$5:$F$22,ODCs!$D$5:$D$22,Projects!$A$8,ODCs!$E$5:$E$22,5)+SUMIFS(Travel!$F$5:$F$22,Travel!$D$5:$D$22,Projects!$A$8,Travel!$E$5:$E$22,5)+SUMIFS('M&amp;E'!$F$5:$F$22,'M&amp;E'!$D$5:$D$22,Projects!$A$8,'M&amp;E'!$E$5:$E$22,5))*Rates!$B$8),0))*Rates!$C$19+((SUMIFS(ODCs!$F$5:$F$22,ODCs!$D$5:$D$22,Projects!$A$8,ODCs!$E$5:$E$22,5))+IFERROR((SUMIFS(ODCs!$F$5:$F$22,ODCs!$D$5:$D$22,Projects!$A$8,ODCs!$E$5:$E$22,5))/((SUMPRODUCT((Labor!$G$6:$G$25=Projects!$A$8)*(Labor!$E$6:$E$25="Prime")*N(Labor!$AA$6:$AA$25))*(1+Rates!$B$6)*(1+Rates!$B$7)+SUMPRODUCT((Labor!$G$6:$G$25=Projects!$A$8)*(Labor!$E$6:$E$25="Sub")*N(Labor!$AA$6:$AA$25)))+SUMIFS(ODCs!$F$5:$F$22,ODCs!$D$5:$D$22,Projects!$A$8,ODCs!$E$5:$E$22,5)+SUMIFS(Travel!$F$5:$F$22,Travel!$D$5:$D$22,Projects!$A$8,Travel!$E$5:$E$22,5)+SUMIFS('M&amp;E'!$F$5:$F$22,'M&amp;E'!$D$5:$D$22,Projects!$A$8,'M&amp;E'!$E$5:$E$22,5))*(((SUMPRODUCT((Labor!$G$6:$G$25=Projects!$A$8)*(Labor!$E$6:$E$25="Prime")*N(Labor!$AA$6:$AA$25))*(1+Rates!$B$6)*(1+Rates!$B$7)+SUMPRODUCT((Labor!$G$6:$G$25=Projects!$A$8)*(Labor!$E$6:$E$25="Sub")*N(Labor!$AA$6:$AA$25)))+SUMIFS(ODCs!$F$5:$F$22,ODCs!$D$5:$D$22,Projects!$A$8,ODCs!$E$5:$E$22,5)+SUMIFS(Travel!$F$5:$F$22,Travel!$D$5:$D$22,Projects!$A$8,Travel!$E$5:$E$22,5)+SUMIFS('M&amp;E'!$F$5:$F$22,'M&amp;E'!$D$5:$D$22,Projects!$A$8,'M&amp;E'!$E$5:$E$22,5))*Rates!$B$8),0))*Rates!$C$20+((SUMIFS('M&amp;E'!$F$5:$F$22,'M&amp;E'!$D$5:$D$22,Projects!$A$8,'M&amp;E'!$E$5:$E$22,5))+IFERROR((SUMIFS('M&amp;E'!$F$5:$F$22,'M&amp;E'!$D$5:$D$22,Projects!$A$8,'M&amp;E'!$E$5:$E$22,5))/((SUMPRODUCT((Labor!$G$6:$G$25=Projects!$A$8)*(Labor!$E$6:$E$25="Prime")*N(Labor!$AA$6:$AA$25))*(1+Rates!$B$6)*(1+Rates!$B$7)+SUMPRODUCT((Labor!$G$6:$G$25=Projects!$A$8)*(Labor!$E$6:$E$25="Sub")*N(Labor!$AA$6:$AA$25)))+SUMIFS(ODCs!$F$5:$F$22,ODCs!$D$5:$D$22,Projects!$A$8,ODCs!$E$5:$E$22,5)+SUMIFS(Travel!$F$5:$F$22,Travel!$D$5:$D$22,Projects!$A$8,Travel!$E$5:$E$22,5)+SUMIFS('M&amp;E'!$F$5:$F$22,'M&amp;E'!$D$5:$D$22,Projects!$A$8,'M&amp;E'!$E$5:$E$22,5))*(((SUMPRODUCT((Labor!$G$6:$G$25=Projects!$A$8)*(Labor!$E$6:$E$25="Prime")*N(Labor!$AA$6:$AA$25))*(1+Rates!$B$6)*(1+Rates!$B$7)+SUMPRODUCT((Labor!$G$6:$G$25=Projects!$A$8)*(Labor!$E$6:$E$25="Sub")*N(Labor!$AA$6:$AA$25)))+SUMIFS(ODCs!$F$5:$F$22,ODCs!$D$5:$D$22,Projects!$A$8,ODCs!$E$5:$E$22,5)+SUMIFS(Travel!$F$5:$F$22,Travel!$D$5:$D$22,Projects!$A$8,Travel!$E$5:$E$22,5)+SUMIFS('M&amp;E'!$F$5:$F$22,'M&amp;E'!$D$5:$D$22,Projects!$A$8,'M&amp;E'!$E$5:$E$22,5))*Rates!$B$8),0))*Rates!$C$21))</f>
        <v/>
      </c>
      <c r="G29" s="132">
        <f>IF(Projects!$A$8="","",(((SUMPRODUCT((Labor!$G$6:$G$25=Projects!$A$8)*(Labor!$E$6:$E$25="Prime")*N(Labor!$AE$6:$AE$25))*(1+Rates!$B$6)*(1+Rates!$B$7)+SUMPRODUCT((Labor!$G$6:$G$25=Projects!$A$8)*(Labor!$E$6:$E$25="Sub")*N(Labor!$AE$6:$AE$25)))+SUMIFS(ODCs!$F$5:$F$22,ODCs!$D$5:$D$22,Projects!$A$8,ODCs!$E$5:$E$22,6)+SUMIFS(Travel!$F$5:$F$22,Travel!$D$5:$D$22,Projects!$A$8,Travel!$E$5:$E$22,6)+SUMIFS('M&amp;E'!$F$5:$F$22,'M&amp;E'!$D$5:$D$22,Projects!$A$8,'M&amp;E'!$E$5:$E$22,6))+(((SUMPRODUCT((Labor!$G$6:$G$25=Projects!$A$8)*(Labor!$E$6:$E$25="Prime")*N(Labor!$AE$6:$AE$25))*(1+Rates!$B$6)*(1+Rates!$B$7)+SUMPRODUCT((Labor!$G$6:$G$25=Projects!$A$8)*(Labor!$E$6:$E$25="Sub")*N(Labor!$AE$6:$AE$25)))+SUMIFS(ODCs!$F$5:$F$22,ODCs!$D$5:$D$22,Projects!$A$8,ODCs!$E$5:$E$22,6)+SUMIFS(Travel!$F$5:$F$22,Travel!$D$5:$D$22,Projects!$A$8,Travel!$E$5:$E$22,6)+SUMIFS('M&amp;E'!$F$5:$F$22,'M&amp;E'!$D$5:$D$22,Projects!$A$8,'M&amp;E'!$E$5:$E$22,6))*Rates!$B$8))+((((SUMPRODUCT((Labor!$G$6:$G$25=Projects!$A$8)*(Labor!$E$6:$E$25="Prime")*N(Labor!$AE$6:$AE$25))*(1+Rates!$B$6)*(1+Rates!$B$7)+SUMPRODUCT((Labor!$G$6:$G$25=Projects!$A$8)*(Labor!$E$6:$E$25="Sub")*N(Labor!$AE$6:$AE$25))))+IFERROR(((SUMPRODUCT((Labor!$G$6:$G$25=Projects!$A$8)*(Labor!$E$6:$E$25="Prime")*N(Labor!$AE$6:$AE$25))*(1+Rates!$B$6)*(1+Rates!$B$7)+SUMPRODUCT((Labor!$G$6:$G$25=Projects!$A$8)*(Labor!$E$6:$E$25="Sub")*N(Labor!$AE$6:$AE$25))))/((SUMPRODUCT((Labor!$G$6:$G$25=Projects!$A$8)*(Labor!$E$6:$E$25="Prime")*N(Labor!$AE$6:$AE$25))*(1+Rates!$B$6)*(1+Rates!$B$7)+SUMPRODUCT((Labor!$G$6:$G$25=Projects!$A$8)*(Labor!$E$6:$E$25="Sub")*N(Labor!$AE$6:$AE$25)))+SUMIFS(ODCs!$F$5:$F$22,ODCs!$D$5:$D$22,Projects!$A$8,ODCs!$E$5:$E$22,6)+SUMIFS(Travel!$F$5:$F$22,Travel!$D$5:$D$22,Projects!$A$8,Travel!$E$5:$E$22,6)+SUMIFS('M&amp;E'!$F$5:$F$22,'M&amp;E'!$D$5:$D$22,Projects!$A$8,'M&amp;E'!$E$5:$E$22,6))*(((SUMPRODUCT((Labor!$G$6:$G$25=Projects!$A$8)*(Labor!$E$6:$E$25="Prime")*N(Labor!$AE$6:$AE$25))*(1+Rates!$B$6)*(1+Rates!$B$7)+SUMPRODUCT((Labor!$G$6:$G$25=Projects!$A$8)*(Labor!$E$6:$E$25="Sub")*N(Labor!$AE$6:$AE$25)))+SUMIFS(ODCs!$F$5:$F$22,ODCs!$D$5:$D$22,Projects!$A$8,ODCs!$E$5:$E$22,6)+SUMIFS(Travel!$F$5:$F$22,Travel!$D$5:$D$22,Projects!$A$8,Travel!$E$5:$E$22,6)+SUMIFS('M&amp;E'!$F$5:$F$22,'M&amp;E'!$D$5:$D$22,Projects!$A$8,'M&amp;E'!$E$5:$E$22,6))*Rates!$B$8),0))*Rates!$C$18+((SUMIFS(Travel!$F$5:$F$22,Travel!$D$5:$D$22,Projects!$A$8,Travel!$E$5:$E$22,6))+IFERROR((SUMIFS(Travel!$F$5:$F$22,Travel!$D$5:$D$22,Projects!$A$8,Travel!$E$5:$E$22,6))/((SUMPRODUCT((Labor!$G$6:$G$25=Projects!$A$8)*(Labor!$E$6:$E$25="Prime")*N(Labor!$AE$6:$AE$25))*(1+Rates!$B$6)*(1+Rates!$B$7)+SUMPRODUCT((Labor!$G$6:$G$25=Projects!$A$8)*(Labor!$E$6:$E$25="Sub")*N(Labor!$AE$6:$AE$25)))+SUMIFS(ODCs!$F$5:$F$22,ODCs!$D$5:$D$22,Projects!$A$8,ODCs!$E$5:$E$22,6)+SUMIFS(Travel!$F$5:$F$22,Travel!$D$5:$D$22,Projects!$A$8,Travel!$E$5:$E$22,6)+SUMIFS('M&amp;E'!$F$5:$F$22,'M&amp;E'!$D$5:$D$22,Projects!$A$8,'M&amp;E'!$E$5:$E$22,6))*(((SUMPRODUCT((Labor!$G$6:$G$25=Projects!$A$8)*(Labor!$E$6:$E$25="Prime")*N(Labor!$AE$6:$AE$25))*(1+Rates!$B$6)*(1+Rates!$B$7)+SUMPRODUCT((Labor!$G$6:$G$25=Projects!$A$8)*(Labor!$E$6:$E$25="Sub")*N(Labor!$AE$6:$AE$25)))+SUMIFS(ODCs!$F$5:$F$22,ODCs!$D$5:$D$22,Projects!$A$8,ODCs!$E$5:$E$22,6)+SUMIFS(Travel!$F$5:$F$22,Travel!$D$5:$D$22,Projects!$A$8,Travel!$E$5:$E$22,6)+SUMIFS('M&amp;E'!$F$5:$F$22,'M&amp;E'!$D$5:$D$22,Projects!$A$8,'M&amp;E'!$E$5:$E$22,6))*Rates!$B$8),0))*Rates!$C$19+((SUMIFS(ODCs!$F$5:$F$22,ODCs!$D$5:$D$22,Projects!$A$8,ODCs!$E$5:$E$22,6))+IFERROR((SUMIFS(ODCs!$F$5:$F$22,ODCs!$D$5:$D$22,Projects!$A$8,ODCs!$E$5:$E$22,6))/((SUMPRODUCT((Labor!$G$6:$G$25=Projects!$A$8)*(Labor!$E$6:$E$25="Prime")*N(Labor!$AE$6:$AE$25))*(1+Rates!$B$6)*(1+Rates!$B$7)+SUMPRODUCT((Labor!$G$6:$G$25=Projects!$A$8)*(Labor!$E$6:$E$25="Sub")*N(Labor!$AE$6:$AE$25)))+SUMIFS(ODCs!$F$5:$F$22,ODCs!$D$5:$D$22,Projects!$A$8,ODCs!$E$5:$E$22,6)+SUMIFS(Travel!$F$5:$F$22,Travel!$D$5:$D$22,Projects!$A$8,Travel!$E$5:$E$22,6)+SUMIFS('M&amp;E'!$F$5:$F$22,'M&amp;E'!$D$5:$D$22,Projects!$A$8,'M&amp;E'!$E$5:$E$22,6))*(((SUMPRODUCT((Labor!$G$6:$G$25=Projects!$A$8)*(Labor!$E$6:$E$25="Prime")*N(Labor!$AE$6:$AE$25))*(1+Rates!$B$6)*(1+Rates!$B$7)+SUMPRODUCT((Labor!$G$6:$G$25=Projects!$A$8)*(Labor!$E$6:$E$25="Sub")*N(Labor!$AE$6:$AE$25)))+SUMIFS(ODCs!$F$5:$F$22,ODCs!$D$5:$D$22,Projects!$A$8,ODCs!$E$5:$E$22,6)+SUMIFS(Travel!$F$5:$F$22,Travel!$D$5:$D$22,Projects!$A$8,Travel!$E$5:$E$22,6)+SUMIFS('M&amp;E'!$F$5:$F$22,'M&amp;E'!$D$5:$D$22,Projects!$A$8,'M&amp;E'!$E$5:$E$22,6))*Rates!$B$8),0))*Rates!$C$20+((SUMIFS('M&amp;E'!$F$5:$F$22,'M&amp;E'!$D$5:$D$22,Projects!$A$8,'M&amp;E'!$E$5:$E$22,6))+IFERROR((SUMIFS('M&amp;E'!$F$5:$F$22,'M&amp;E'!$D$5:$D$22,Projects!$A$8,'M&amp;E'!$E$5:$E$22,6))/((SUMPRODUCT((Labor!$G$6:$G$25=Projects!$A$8)*(Labor!$E$6:$E$25="Prime")*N(Labor!$AE$6:$AE$25))*(1+Rates!$B$6)*(1+Rates!$B$7)+SUMPRODUCT((Labor!$G$6:$G$25=Projects!$A$8)*(Labor!$E$6:$E$25="Sub")*N(Labor!$AE$6:$AE$25)))+SUMIFS(ODCs!$F$5:$F$22,ODCs!$D$5:$D$22,Projects!$A$8,ODCs!$E$5:$E$22,6)+SUMIFS(Travel!$F$5:$F$22,Travel!$D$5:$D$22,Projects!$A$8,Travel!$E$5:$E$22,6)+SUMIFS('M&amp;E'!$F$5:$F$22,'M&amp;E'!$D$5:$D$22,Projects!$A$8,'M&amp;E'!$E$5:$E$22,6))*(((SUMPRODUCT((Labor!$G$6:$G$25=Projects!$A$8)*(Labor!$E$6:$E$25="Prime")*N(Labor!$AE$6:$AE$25))*(1+Rates!$B$6)*(1+Rates!$B$7)+SUMPRODUCT((Labor!$G$6:$G$25=Projects!$A$8)*(Labor!$E$6:$E$25="Sub")*N(Labor!$AE$6:$AE$25)))+SUMIFS(ODCs!$F$5:$F$22,ODCs!$D$5:$D$22,Projects!$A$8,ODCs!$E$5:$E$22,6)+SUMIFS(Travel!$F$5:$F$22,Travel!$D$5:$D$22,Projects!$A$8,Travel!$E$5:$E$22,6)+SUMIFS('M&amp;E'!$F$5:$F$22,'M&amp;E'!$D$5:$D$22,Projects!$A$8,'M&amp;E'!$E$5:$E$22,6))*Rates!$B$8),0))*Rates!$C$21))</f>
        <v/>
      </c>
      <c r="H29" s="132">
        <f>IF(Projects!$A$8="","",(((SUMPRODUCT((Labor!$G$6:$G$25=Projects!$A$8)*(Labor!$E$6:$E$25="Prime")*N(Labor!$AI$6:$AI$25))*(1+Rates!$B$6)*(1+Rates!$B$7)+SUMPRODUCT((Labor!$G$6:$G$25=Projects!$A$8)*(Labor!$E$6:$E$25="Sub")*N(Labor!$AI$6:$AI$25)))+SUMIFS(ODCs!$F$5:$F$22,ODCs!$D$5:$D$22,Projects!$A$8,ODCs!$E$5:$E$22,7)+SUMIFS(Travel!$F$5:$F$22,Travel!$D$5:$D$22,Projects!$A$8,Travel!$E$5:$E$22,7)+SUMIFS('M&amp;E'!$F$5:$F$22,'M&amp;E'!$D$5:$D$22,Projects!$A$8,'M&amp;E'!$E$5:$E$22,7))+(((SUMPRODUCT((Labor!$G$6:$G$25=Projects!$A$8)*(Labor!$E$6:$E$25="Prime")*N(Labor!$AI$6:$AI$25))*(1+Rates!$B$6)*(1+Rates!$B$7)+SUMPRODUCT((Labor!$G$6:$G$25=Projects!$A$8)*(Labor!$E$6:$E$25="Sub")*N(Labor!$AI$6:$AI$25)))+SUMIFS(ODCs!$F$5:$F$22,ODCs!$D$5:$D$22,Projects!$A$8,ODCs!$E$5:$E$22,7)+SUMIFS(Travel!$F$5:$F$22,Travel!$D$5:$D$22,Projects!$A$8,Travel!$E$5:$E$22,7)+SUMIFS('M&amp;E'!$F$5:$F$22,'M&amp;E'!$D$5:$D$22,Projects!$A$8,'M&amp;E'!$E$5:$E$22,7))*Rates!$B$8))+((((SUMPRODUCT((Labor!$G$6:$G$25=Projects!$A$8)*(Labor!$E$6:$E$25="Prime")*N(Labor!$AI$6:$AI$25))*(1+Rates!$B$6)*(1+Rates!$B$7)+SUMPRODUCT((Labor!$G$6:$G$25=Projects!$A$8)*(Labor!$E$6:$E$25="Sub")*N(Labor!$AI$6:$AI$25))))+IFERROR(((SUMPRODUCT((Labor!$G$6:$G$25=Projects!$A$8)*(Labor!$E$6:$E$25="Prime")*N(Labor!$AI$6:$AI$25))*(1+Rates!$B$6)*(1+Rates!$B$7)+SUMPRODUCT((Labor!$G$6:$G$25=Projects!$A$8)*(Labor!$E$6:$E$25="Sub")*N(Labor!$AI$6:$AI$25))))/((SUMPRODUCT((Labor!$G$6:$G$25=Projects!$A$8)*(Labor!$E$6:$E$25="Prime")*N(Labor!$AI$6:$AI$25))*(1+Rates!$B$6)*(1+Rates!$B$7)+SUMPRODUCT((Labor!$G$6:$G$25=Projects!$A$8)*(Labor!$E$6:$E$25="Sub")*N(Labor!$AI$6:$AI$25)))+SUMIFS(ODCs!$F$5:$F$22,ODCs!$D$5:$D$22,Projects!$A$8,ODCs!$E$5:$E$22,7)+SUMIFS(Travel!$F$5:$F$22,Travel!$D$5:$D$22,Projects!$A$8,Travel!$E$5:$E$22,7)+SUMIFS('M&amp;E'!$F$5:$F$22,'M&amp;E'!$D$5:$D$22,Projects!$A$8,'M&amp;E'!$E$5:$E$22,7))*(((SUMPRODUCT((Labor!$G$6:$G$25=Projects!$A$8)*(Labor!$E$6:$E$25="Prime")*N(Labor!$AI$6:$AI$25))*(1+Rates!$B$6)*(1+Rates!$B$7)+SUMPRODUCT((Labor!$G$6:$G$25=Projects!$A$8)*(Labor!$E$6:$E$25="Sub")*N(Labor!$AI$6:$AI$25)))+SUMIFS(ODCs!$F$5:$F$22,ODCs!$D$5:$D$22,Projects!$A$8,ODCs!$E$5:$E$22,7)+SUMIFS(Travel!$F$5:$F$22,Travel!$D$5:$D$22,Projects!$A$8,Travel!$E$5:$E$22,7)+SUMIFS('M&amp;E'!$F$5:$F$22,'M&amp;E'!$D$5:$D$22,Projects!$A$8,'M&amp;E'!$E$5:$E$22,7))*Rates!$B$8),0))*Rates!$C$18+((SUMIFS(Travel!$F$5:$F$22,Travel!$D$5:$D$22,Projects!$A$8,Travel!$E$5:$E$22,7))+IFERROR((SUMIFS(Travel!$F$5:$F$22,Travel!$D$5:$D$22,Projects!$A$8,Travel!$E$5:$E$22,7))/((SUMPRODUCT((Labor!$G$6:$G$25=Projects!$A$8)*(Labor!$E$6:$E$25="Prime")*N(Labor!$AI$6:$AI$25))*(1+Rates!$B$6)*(1+Rates!$B$7)+SUMPRODUCT((Labor!$G$6:$G$25=Projects!$A$8)*(Labor!$E$6:$E$25="Sub")*N(Labor!$AI$6:$AI$25)))+SUMIFS(ODCs!$F$5:$F$22,ODCs!$D$5:$D$22,Projects!$A$8,ODCs!$E$5:$E$22,7)+SUMIFS(Travel!$F$5:$F$22,Travel!$D$5:$D$22,Projects!$A$8,Travel!$E$5:$E$22,7)+SUMIFS('M&amp;E'!$F$5:$F$22,'M&amp;E'!$D$5:$D$22,Projects!$A$8,'M&amp;E'!$E$5:$E$22,7))*(((SUMPRODUCT((Labor!$G$6:$G$25=Projects!$A$8)*(Labor!$E$6:$E$25="Prime")*N(Labor!$AI$6:$AI$25))*(1+Rates!$B$6)*(1+Rates!$B$7)+SUMPRODUCT((Labor!$G$6:$G$25=Projects!$A$8)*(Labor!$E$6:$E$25="Sub")*N(Labor!$AI$6:$AI$25)))+SUMIFS(ODCs!$F$5:$F$22,ODCs!$D$5:$D$22,Projects!$A$8,ODCs!$E$5:$E$22,7)+SUMIFS(Travel!$F$5:$F$22,Travel!$D$5:$D$22,Projects!$A$8,Travel!$E$5:$E$22,7)+SUMIFS('M&amp;E'!$F$5:$F$22,'M&amp;E'!$D$5:$D$22,Projects!$A$8,'M&amp;E'!$E$5:$E$22,7))*Rates!$B$8),0))*Rates!$C$19+((SUMIFS(ODCs!$F$5:$F$22,ODCs!$D$5:$D$22,Projects!$A$8,ODCs!$E$5:$E$22,7))+IFERROR((SUMIFS(ODCs!$F$5:$F$22,ODCs!$D$5:$D$22,Projects!$A$8,ODCs!$E$5:$E$22,7))/((SUMPRODUCT((Labor!$G$6:$G$25=Projects!$A$8)*(Labor!$E$6:$E$25="Prime")*N(Labor!$AI$6:$AI$25))*(1+Rates!$B$6)*(1+Rates!$B$7)+SUMPRODUCT((Labor!$G$6:$G$25=Projects!$A$8)*(Labor!$E$6:$E$25="Sub")*N(Labor!$AI$6:$AI$25)))+SUMIFS(ODCs!$F$5:$F$22,ODCs!$D$5:$D$22,Projects!$A$8,ODCs!$E$5:$E$22,7)+SUMIFS(Travel!$F$5:$F$22,Travel!$D$5:$D$22,Projects!$A$8,Travel!$E$5:$E$22,7)+SUMIFS('M&amp;E'!$F$5:$F$22,'M&amp;E'!$D$5:$D$22,Projects!$A$8,'M&amp;E'!$E$5:$E$22,7))*(((SUMPRODUCT((Labor!$G$6:$G$25=Projects!$A$8)*(Labor!$E$6:$E$25="Prime")*N(Labor!$AI$6:$AI$25))*(1+Rates!$B$6)*(1+Rates!$B$7)+SUMPRODUCT((Labor!$G$6:$G$25=Projects!$A$8)*(Labor!$E$6:$E$25="Sub")*N(Labor!$AI$6:$AI$25)))+SUMIFS(ODCs!$F$5:$F$22,ODCs!$D$5:$D$22,Projects!$A$8,ODCs!$E$5:$E$22,7)+SUMIFS(Travel!$F$5:$F$22,Travel!$D$5:$D$22,Projects!$A$8,Travel!$E$5:$E$22,7)+SUMIFS('M&amp;E'!$F$5:$F$22,'M&amp;E'!$D$5:$D$22,Projects!$A$8,'M&amp;E'!$E$5:$E$22,7))*Rates!$B$8),0))*Rates!$C$20+((SUMIFS('M&amp;E'!$F$5:$F$22,'M&amp;E'!$D$5:$D$22,Projects!$A$8,'M&amp;E'!$E$5:$E$22,7))+IFERROR((SUMIFS('M&amp;E'!$F$5:$F$22,'M&amp;E'!$D$5:$D$22,Projects!$A$8,'M&amp;E'!$E$5:$E$22,7))/((SUMPRODUCT((Labor!$G$6:$G$25=Projects!$A$8)*(Labor!$E$6:$E$25="Prime")*N(Labor!$AI$6:$AI$25))*(1+Rates!$B$6)*(1+Rates!$B$7)+SUMPRODUCT((Labor!$G$6:$G$25=Projects!$A$8)*(Labor!$E$6:$E$25="Sub")*N(Labor!$AI$6:$AI$25)))+SUMIFS(ODCs!$F$5:$F$22,ODCs!$D$5:$D$22,Projects!$A$8,ODCs!$E$5:$E$22,7)+SUMIFS(Travel!$F$5:$F$22,Travel!$D$5:$D$22,Projects!$A$8,Travel!$E$5:$E$22,7)+SUMIFS('M&amp;E'!$F$5:$F$22,'M&amp;E'!$D$5:$D$22,Projects!$A$8,'M&amp;E'!$E$5:$E$22,7))*(((SUMPRODUCT((Labor!$G$6:$G$25=Projects!$A$8)*(Labor!$E$6:$E$25="Prime")*N(Labor!$AI$6:$AI$25))*(1+Rates!$B$6)*(1+Rates!$B$7)+SUMPRODUCT((Labor!$G$6:$G$25=Projects!$A$8)*(Labor!$E$6:$E$25="Sub")*N(Labor!$AI$6:$AI$25)))+SUMIFS(ODCs!$F$5:$F$22,ODCs!$D$5:$D$22,Projects!$A$8,ODCs!$E$5:$E$22,7)+SUMIFS(Travel!$F$5:$F$22,Travel!$D$5:$D$22,Projects!$A$8,Travel!$E$5:$E$22,7)+SUMIFS('M&amp;E'!$F$5:$F$22,'M&amp;E'!$D$5:$D$22,Projects!$A$8,'M&amp;E'!$E$5:$E$22,7))*Rates!$B$8),0))*Rates!$C$21))</f>
        <v/>
      </c>
      <c r="I29" s="132">
        <f>IF(Projects!$A$8="","",(((SUMPRODUCT((Labor!$G$6:$G$25=Projects!$A$8)*(Labor!$E$6:$E$25="Prime")*N(Labor!$AM$6:$AM$25))*(1+Rates!$B$6)*(1+Rates!$B$7)+SUMPRODUCT((Labor!$G$6:$G$25=Projects!$A$8)*(Labor!$E$6:$E$25="Sub")*N(Labor!$AM$6:$AM$25)))+SUMIFS(ODCs!$F$5:$F$22,ODCs!$D$5:$D$22,Projects!$A$8,ODCs!$E$5:$E$22,8)+SUMIFS(Travel!$F$5:$F$22,Travel!$D$5:$D$22,Projects!$A$8,Travel!$E$5:$E$22,8)+SUMIFS('M&amp;E'!$F$5:$F$22,'M&amp;E'!$D$5:$D$22,Projects!$A$8,'M&amp;E'!$E$5:$E$22,8))+(((SUMPRODUCT((Labor!$G$6:$G$25=Projects!$A$8)*(Labor!$E$6:$E$25="Prime")*N(Labor!$AM$6:$AM$25))*(1+Rates!$B$6)*(1+Rates!$B$7)+SUMPRODUCT((Labor!$G$6:$G$25=Projects!$A$8)*(Labor!$E$6:$E$25="Sub")*N(Labor!$AM$6:$AM$25)))+SUMIFS(ODCs!$F$5:$F$22,ODCs!$D$5:$D$22,Projects!$A$8,ODCs!$E$5:$E$22,8)+SUMIFS(Travel!$F$5:$F$22,Travel!$D$5:$D$22,Projects!$A$8,Travel!$E$5:$E$22,8)+SUMIFS('M&amp;E'!$F$5:$F$22,'M&amp;E'!$D$5:$D$22,Projects!$A$8,'M&amp;E'!$E$5:$E$22,8))*Rates!$B$8))+((((SUMPRODUCT((Labor!$G$6:$G$25=Projects!$A$8)*(Labor!$E$6:$E$25="Prime")*N(Labor!$AM$6:$AM$25))*(1+Rates!$B$6)*(1+Rates!$B$7)+SUMPRODUCT((Labor!$G$6:$G$25=Projects!$A$8)*(Labor!$E$6:$E$25="Sub")*N(Labor!$AM$6:$AM$25))))+IFERROR(((SUMPRODUCT((Labor!$G$6:$G$25=Projects!$A$8)*(Labor!$E$6:$E$25="Prime")*N(Labor!$AM$6:$AM$25))*(1+Rates!$B$6)*(1+Rates!$B$7)+SUMPRODUCT((Labor!$G$6:$G$25=Projects!$A$8)*(Labor!$E$6:$E$25="Sub")*N(Labor!$AM$6:$AM$25))))/((SUMPRODUCT((Labor!$G$6:$G$25=Projects!$A$8)*(Labor!$E$6:$E$25="Prime")*N(Labor!$AM$6:$AM$25))*(1+Rates!$B$6)*(1+Rates!$B$7)+SUMPRODUCT((Labor!$G$6:$G$25=Projects!$A$8)*(Labor!$E$6:$E$25="Sub")*N(Labor!$AM$6:$AM$25)))+SUMIFS(ODCs!$F$5:$F$22,ODCs!$D$5:$D$22,Projects!$A$8,ODCs!$E$5:$E$22,8)+SUMIFS(Travel!$F$5:$F$22,Travel!$D$5:$D$22,Projects!$A$8,Travel!$E$5:$E$22,8)+SUMIFS('M&amp;E'!$F$5:$F$22,'M&amp;E'!$D$5:$D$22,Projects!$A$8,'M&amp;E'!$E$5:$E$22,8))*(((SUMPRODUCT((Labor!$G$6:$G$25=Projects!$A$8)*(Labor!$E$6:$E$25="Prime")*N(Labor!$AM$6:$AM$25))*(1+Rates!$B$6)*(1+Rates!$B$7)+SUMPRODUCT((Labor!$G$6:$G$25=Projects!$A$8)*(Labor!$E$6:$E$25="Sub")*N(Labor!$AM$6:$AM$25)))+SUMIFS(ODCs!$F$5:$F$22,ODCs!$D$5:$D$22,Projects!$A$8,ODCs!$E$5:$E$22,8)+SUMIFS(Travel!$F$5:$F$22,Travel!$D$5:$D$22,Projects!$A$8,Travel!$E$5:$E$22,8)+SUMIFS('M&amp;E'!$F$5:$F$22,'M&amp;E'!$D$5:$D$22,Projects!$A$8,'M&amp;E'!$E$5:$E$22,8))*Rates!$B$8),0))*Rates!$C$18+((SUMIFS(Travel!$F$5:$F$22,Travel!$D$5:$D$22,Projects!$A$8,Travel!$E$5:$E$22,8))+IFERROR((SUMIFS(Travel!$F$5:$F$22,Travel!$D$5:$D$22,Projects!$A$8,Travel!$E$5:$E$22,8))/((SUMPRODUCT((Labor!$G$6:$G$25=Projects!$A$8)*(Labor!$E$6:$E$25="Prime")*N(Labor!$AM$6:$AM$25))*(1+Rates!$B$6)*(1+Rates!$B$7)+SUMPRODUCT((Labor!$G$6:$G$25=Projects!$A$8)*(Labor!$E$6:$E$25="Sub")*N(Labor!$AM$6:$AM$25)))+SUMIFS(ODCs!$F$5:$F$22,ODCs!$D$5:$D$22,Projects!$A$8,ODCs!$E$5:$E$22,8)+SUMIFS(Travel!$F$5:$F$22,Travel!$D$5:$D$22,Projects!$A$8,Travel!$E$5:$E$22,8)+SUMIFS('M&amp;E'!$F$5:$F$22,'M&amp;E'!$D$5:$D$22,Projects!$A$8,'M&amp;E'!$E$5:$E$22,8))*(((SUMPRODUCT((Labor!$G$6:$G$25=Projects!$A$8)*(Labor!$E$6:$E$25="Prime")*N(Labor!$AM$6:$AM$25))*(1+Rates!$B$6)*(1+Rates!$B$7)+SUMPRODUCT((Labor!$G$6:$G$25=Projects!$A$8)*(Labor!$E$6:$E$25="Sub")*N(Labor!$AM$6:$AM$25)))+SUMIFS(ODCs!$F$5:$F$22,ODCs!$D$5:$D$22,Projects!$A$8,ODCs!$E$5:$E$22,8)+SUMIFS(Travel!$F$5:$F$22,Travel!$D$5:$D$22,Projects!$A$8,Travel!$E$5:$E$22,8)+SUMIFS('M&amp;E'!$F$5:$F$22,'M&amp;E'!$D$5:$D$22,Projects!$A$8,'M&amp;E'!$E$5:$E$22,8))*Rates!$B$8),0))*Rates!$C$19+((SUMIFS(ODCs!$F$5:$F$22,ODCs!$D$5:$D$22,Projects!$A$8,ODCs!$E$5:$E$22,8))+IFERROR((SUMIFS(ODCs!$F$5:$F$22,ODCs!$D$5:$D$22,Projects!$A$8,ODCs!$E$5:$E$22,8))/((SUMPRODUCT((Labor!$G$6:$G$25=Projects!$A$8)*(Labor!$E$6:$E$25="Prime")*N(Labor!$AM$6:$AM$25))*(1+Rates!$B$6)*(1+Rates!$B$7)+SUMPRODUCT((Labor!$G$6:$G$25=Projects!$A$8)*(Labor!$E$6:$E$25="Sub")*N(Labor!$AM$6:$AM$25)))+SUMIFS(ODCs!$F$5:$F$22,ODCs!$D$5:$D$22,Projects!$A$8,ODCs!$E$5:$E$22,8)+SUMIFS(Travel!$F$5:$F$22,Travel!$D$5:$D$22,Projects!$A$8,Travel!$E$5:$E$22,8)+SUMIFS('M&amp;E'!$F$5:$F$22,'M&amp;E'!$D$5:$D$22,Projects!$A$8,'M&amp;E'!$E$5:$E$22,8))*(((SUMPRODUCT((Labor!$G$6:$G$25=Projects!$A$8)*(Labor!$E$6:$E$25="Prime")*N(Labor!$AM$6:$AM$25))*(1+Rates!$B$6)*(1+Rates!$B$7)+SUMPRODUCT((Labor!$G$6:$G$25=Projects!$A$8)*(Labor!$E$6:$E$25="Sub")*N(Labor!$AM$6:$AM$25)))+SUMIFS(ODCs!$F$5:$F$22,ODCs!$D$5:$D$22,Projects!$A$8,ODCs!$E$5:$E$22,8)+SUMIFS(Travel!$F$5:$F$22,Travel!$D$5:$D$22,Projects!$A$8,Travel!$E$5:$E$22,8)+SUMIFS('M&amp;E'!$F$5:$F$22,'M&amp;E'!$D$5:$D$22,Projects!$A$8,'M&amp;E'!$E$5:$E$22,8))*Rates!$B$8),0))*Rates!$C$20+((SUMIFS('M&amp;E'!$F$5:$F$22,'M&amp;E'!$D$5:$D$22,Projects!$A$8,'M&amp;E'!$E$5:$E$22,8))+IFERROR((SUMIFS('M&amp;E'!$F$5:$F$22,'M&amp;E'!$D$5:$D$22,Projects!$A$8,'M&amp;E'!$E$5:$E$22,8))/((SUMPRODUCT((Labor!$G$6:$G$25=Projects!$A$8)*(Labor!$E$6:$E$25="Prime")*N(Labor!$AM$6:$AM$25))*(1+Rates!$B$6)*(1+Rates!$B$7)+SUMPRODUCT((Labor!$G$6:$G$25=Projects!$A$8)*(Labor!$E$6:$E$25="Sub")*N(Labor!$AM$6:$AM$25)))+SUMIFS(ODCs!$F$5:$F$22,ODCs!$D$5:$D$22,Projects!$A$8,ODCs!$E$5:$E$22,8)+SUMIFS(Travel!$F$5:$F$22,Travel!$D$5:$D$22,Projects!$A$8,Travel!$E$5:$E$22,8)+SUMIFS('M&amp;E'!$F$5:$F$22,'M&amp;E'!$D$5:$D$22,Projects!$A$8,'M&amp;E'!$E$5:$E$22,8))*(((SUMPRODUCT((Labor!$G$6:$G$25=Projects!$A$8)*(Labor!$E$6:$E$25="Prime")*N(Labor!$AM$6:$AM$25))*(1+Rates!$B$6)*(1+Rates!$B$7)+SUMPRODUCT((Labor!$G$6:$G$25=Projects!$A$8)*(Labor!$E$6:$E$25="Sub")*N(Labor!$AM$6:$AM$25)))+SUMIFS(ODCs!$F$5:$F$22,ODCs!$D$5:$D$22,Projects!$A$8,ODCs!$E$5:$E$22,8)+SUMIFS(Travel!$F$5:$F$22,Travel!$D$5:$D$22,Projects!$A$8,Travel!$E$5:$E$22,8)+SUMIFS('M&amp;E'!$F$5:$F$22,'M&amp;E'!$D$5:$D$22,Projects!$A$8,'M&amp;E'!$E$5:$E$22,8))*Rates!$B$8),0))*Rates!$C$21))</f>
        <v/>
      </c>
      <c r="J29" s="132">
        <f>IF(Projects!$A$8="","",(((SUMPRODUCT((Labor!$G$6:$G$25=Projects!$A$8)*(Labor!$E$6:$E$25="Prime")*N(Labor!$AQ$6:$AQ$25))*(1+Rates!$B$6)*(1+Rates!$B$7)+SUMPRODUCT((Labor!$G$6:$G$25=Projects!$A$8)*(Labor!$E$6:$E$25="Sub")*N(Labor!$AQ$6:$AQ$25)))+SUMIFS(ODCs!$F$5:$F$22,ODCs!$D$5:$D$22,Projects!$A$8,ODCs!$E$5:$E$22,9)+SUMIFS(Travel!$F$5:$F$22,Travel!$D$5:$D$22,Projects!$A$8,Travel!$E$5:$E$22,9)+SUMIFS('M&amp;E'!$F$5:$F$22,'M&amp;E'!$D$5:$D$22,Projects!$A$8,'M&amp;E'!$E$5:$E$22,9))+(((SUMPRODUCT((Labor!$G$6:$G$25=Projects!$A$8)*(Labor!$E$6:$E$25="Prime")*N(Labor!$AQ$6:$AQ$25))*(1+Rates!$B$6)*(1+Rates!$B$7)+SUMPRODUCT((Labor!$G$6:$G$25=Projects!$A$8)*(Labor!$E$6:$E$25="Sub")*N(Labor!$AQ$6:$AQ$25)))+SUMIFS(ODCs!$F$5:$F$22,ODCs!$D$5:$D$22,Projects!$A$8,ODCs!$E$5:$E$22,9)+SUMIFS(Travel!$F$5:$F$22,Travel!$D$5:$D$22,Projects!$A$8,Travel!$E$5:$E$22,9)+SUMIFS('M&amp;E'!$F$5:$F$22,'M&amp;E'!$D$5:$D$22,Projects!$A$8,'M&amp;E'!$E$5:$E$22,9))*Rates!$B$8))+((((SUMPRODUCT((Labor!$G$6:$G$25=Projects!$A$8)*(Labor!$E$6:$E$25="Prime")*N(Labor!$AQ$6:$AQ$25))*(1+Rates!$B$6)*(1+Rates!$B$7)+SUMPRODUCT((Labor!$G$6:$G$25=Projects!$A$8)*(Labor!$E$6:$E$25="Sub")*N(Labor!$AQ$6:$AQ$25))))+IFERROR(((SUMPRODUCT((Labor!$G$6:$G$25=Projects!$A$8)*(Labor!$E$6:$E$25="Prime")*N(Labor!$AQ$6:$AQ$25))*(1+Rates!$B$6)*(1+Rates!$B$7)+SUMPRODUCT((Labor!$G$6:$G$25=Projects!$A$8)*(Labor!$E$6:$E$25="Sub")*N(Labor!$AQ$6:$AQ$25))))/((SUMPRODUCT((Labor!$G$6:$G$25=Projects!$A$8)*(Labor!$E$6:$E$25="Prime")*N(Labor!$AQ$6:$AQ$25))*(1+Rates!$B$6)*(1+Rates!$B$7)+SUMPRODUCT((Labor!$G$6:$G$25=Projects!$A$8)*(Labor!$E$6:$E$25="Sub")*N(Labor!$AQ$6:$AQ$25)))+SUMIFS(ODCs!$F$5:$F$22,ODCs!$D$5:$D$22,Projects!$A$8,ODCs!$E$5:$E$22,9)+SUMIFS(Travel!$F$5:$F$22,Travel!$D$5:$D$22,Projects!$A$8,Travel!$E$5:$E$22,9)+SUMIFS('M&amp;E'!$F$5:$F$22,'M&amp;E'!$D$5:$D$22,Projects!$A$8,'M&amp;E'!$E$5:$E$22,9))*(((SUMPRODUCT((Labor!$G$6:$G$25=Projects!$A$8)*(Labor!$E$6:$E$25="Prime")*N(Labor!$AQ$6:$AQ$25))*(1+Rates!$B$6)*(1+Rates!$B$7)+SUMPRODUCT((Labor!$G$6:$G$25=Projects!$A$8)*(Labor!$E$6:$E$25="Sub")*N(Labor!$AQ$6:$AQ$25)))+SUMIFS(ODCs!$F$5:$F$22,ODCs!$D$5:$D$22,Projects!$A$8,ODCs!$E$5:$E$22,9)+SUMIFS(Travel!$F$5:$F$22,Travel!$D$5:$D$22,Projects!$A$8,Travel!$E$5:$E$22,9)+SUMIFS('M&amp;E'!$F$5:$F$22,'M&amp;E'!$D$5:$D$22,Projects!$A$8,'M&amp;E'!$E$5:$E$22,9))*Rates!$B$8),0))*Rates!$C$18+((SUMIFS(Travel!$F$5:$F$22,Travel!$D$5:$D$22,Projects!$A$8,Travel!$E$5:$E$22,9))+IFERROR((SUMIFS(Travel!$F$5:$F$22,Travel!$D$5:$D$22,Projects!$A$8,Travel!$E$5:$E$22,9))/((SUMPRODUCT((Labor!$G$6:$G$25=Projects!$A$8)*(Labor!$E$6:$E$25="Prime")*N(Labor!$AQ$6:$AQ$25))*(1+Rates!$B$6)*(1+Rates!$B$7)+SUMPRODUCT((Labor!$G$6:$G$25=Projects!$A$8)*(Labor!$E$6:$E$25="Sub")*N(Labor!$AQ$6:$AQ$25)))+SUMIFS(ODCs!$F$5:$F$22,ODCs!$D$5:$D$22,Projects!$A$8,ODCs!$E$5:$E$22,9)+SUMIFS(Travel!$F$5:$F$22,Travel!$D$5:$D$22,Projects!$A$8,Travel!$E$5:$E$22,9)+SUMIFS('M&amp;E'!$F$5:$F$22,'M&amp;E'!$D$5:$D$22,Projects!$A$8,'M&amp;E'!$E$5:$E$22,9))*(((SUMPRODUCT((Labor!$G$6:$G$25=Projects!$A$8)*(Labor!$E$6:$E$25="Prime")*N(Labor!$AQ$6:$AQ$25))*(1+Rates!$B$6)*(1+Rates!$B$7)+SUMPRODUCT((Labor!$G$6:$G$25=Projects!$A$8)*(Labor!$E$6:$E$25="Sub")*N(Labor!$AQ$6:$AQ$25)))+SUMIFS(ODCs!$F$5:$F$22,ODCs!$D$5:$D$22,Projects!$A$8,ODCs!$E$5:$E$22,9)+SUMIFS(Travel!$F$5:$F$22,Travel!$D$5:$D$22,Projects!$A$8,Travel!$E$5:$E$22,9)+SUMIFS('M&amp;E'!$F$5:$F$22,'M&amp;E'!$D$5:$D$22,Projects!$A$8,'M&amp;E'!$E$5:$E$22,9))*Rates!$B$8),0))*Rates!$C$19+((SUMIFS(ODCs!$F$5:$F$22,ODCs!$D$5:$D$22,Projects!$A$8,ODCs!$E$5:$E$22,9))+IFERROR((SUMIFS(ODCs!$F$5:$F$22,ODCs!$D$5:$D$22,Projects!$A$8,ODCs!$E$5:$E$22,9))/((SUMPRODUCT((Labor!$G$6:$G$25=Projects!$A$8)*(Labor!$E$6:$E$25="Prime")*N(Labor!$AQ$6:$AQ$25))*(1+Rates!$B$6)*(1+Rates!$B$7)+SUMPRODUCT((Labor!$G$6:$G$25=Projects!$A$8)*(Labor!$E$6:$E$25="Sub")*N(Labor!$AQ$6:$AQ$25)))+SUMIFS(ODCs!$F$5:$F$22,ODCs!$D$5:$D$22,Projects!$A$8,ODCs!$E$5:$E$22,9)+SUMIFS(Travel!$F$5:$F$22,Travel!$D$5:$D$22,Projects!$A$8,Travel!$E$5:$E$22,9)+SUMIFS('M&amp;E'!$F$5:$F$22,'M&amp;E'!$D$5:$D$22,Projects!$A$8,'M&amp;E'!$E$5:$E$22,9))*(((SUMPRODUCT((Labor!$G$6:$G$25=Projects!$A$8)*(Labor!$E$6:$E$25="Prime")*N(Labor!$AQ$6:$AQ$25))*(1+Rates!$B$6)*(1+Rates!$B$7)+SUMPRODUCT((Labor!$G$6:$G$25=Projects!$A$8)*(Labor!$E$6:$E$25="Sub")*N(Labor!$AQ$6:$AQ$25)))+SUMIFS(ODCs!$F$5:$F$22,ODCs!$D$5:$D$22,Projects!$A$8,ODCs!$E$5:$E$22,9)+SUMIFS(Travel!$F$5:$F$22,Travel!$D$5:$D$22,Projects!$A$8,Travel!$E$5:$E$22,9)+SUMIFS('M&amp;E'!$F$5:$F$22,'M&amp;E'!$D$5:$D$22,Projects!$A$8,'M&amp;E'!$E$5:$E$22,9))*Rates!$B$8),0))*Rates!$C$20+((SUMIFS('M&amp;E'!$F$5:$F$22,'M&amp;E'!$D$5:$D$22,Projects!$A$8,'M&amp;E'!$E$5:$E$22,9))+IFERROR((SUMIFS('M&amp;E'!$F$5:$F$22,'M&amp;E'!$D$5:$D$22,Projects!$A$8,'M&amp;E'!$E$5:$E$22,9))/((SUMPRODUCT((Labor!$G$6:$G$25=Projects!$A$8)*(Labor!$E$6:$E$25="Prime")*N(Labor!$AQ$6:$AQ$25))*(1+Rates!$B$6)*(1+Rates!$B$7)+SUMPRODUCT((Labor!$G$6:$G$25=Projects!$A$8)*(Labor!$E$6:$E$25="Sub")*N(Labor!$AQ$6:$AQ$25)))+SUMIFS(ODCs!$F$5:$F$22,ODCs!$D$5:$D$22,Projects!$A$8,ODCs!$E$5:$E$22,9)+SUMIFS(Travel!$F$5:$F$22,Travel!$D$5:$D$22,Projects!$A$8,Travel!$E$5:$E$22,9)+SUMIFS('M&amp;E'!$F$5:$F$22,'M&amp;E'!$D$5:$D$22,Projects!$A$8,'M&amp;E'!$E$5:$E$22,9))*(((SUMPRODUCT((Labor!$G$6:$G$25=Projects!$A$8)*(Labor!$E$6:$E$25="Prime")*N(Labor!$AQ$6:$AQ$25))*(1+Rates!$B$6)*(1+Rates!$B$7)+SUMPRODUCT((Labor!$G$6:$G$25=Projects!$A$8)*(Labor!$E$6:$E$25="Sub")*N(Labor!$AQ$6:$AQ$25)))+SUMIFS(ODCs!$F$5:$F$22,ODCs!$D$5:$D$22,Projects!$A$8,ODCs!$E$5:$E$22,9)+SUMIFS(Travel!$F$5:$F$22,Travel!$D$5:$D$22,Projects!$A$8,Travel!$E$5:$E$22,9)+SUMIFS('M&amp;E'!$F$5:$F$22,'M&amp;E'!$D$5:$D$22,Projects!$A$8,'M&amp;E'!$E$5:$E$22,9))*Rates!$B$8),0))*Rates!$C$21))</f>
        <v/>
      </c>
      <c r="K29" s="132">
        <f>IF(Projects!$A$8="","",(((SUMPRODUCT((Labor!$G$6:$G$25=Projects!$A$8)*(Labor!$E$6:$E$25="Prime")*N(Labor!$AU$6:$AU$25))*(1+Rates!$B$6)*(1+Rates!$B$7)+SUMPRODUCT((Labor!$G$6:$G$25=Projects!$A$8)*(Labor!$E$6:$E$25="Sub")*N(Labor!$AU$6:$AU$25)))+SUMIFS(ODCs!$F$5:$F$22,ODCs!$D$5:$D$22,Projects!$A$8,ODCs!$E$5:$E$22,10)+SUMIFS(Travel!$F$5:$F$22,Travel!$D$5:$D$22,Projects!$A$8,Travel!$E$5:$E$22,10)+SUMIFS('M&amp;E'!$F$5:$F$22,'M&amp;E'!$D$5:$D$22,Projects!$A$8,'M&amp;E'!$E$5:$E$22,10))+(((SUMPRODUCT((Labor!$G$6:$G$25=Projects!$A$8)*(Labor!$E$6:$E$25="Prime")*N(Labor!$AU$6:$AU$25))*(1+Rates!$B$6)*(1+Rates!$B$7)+SUMPRODUCT((Labor!$G$6:$G$25=Projects!$A$8)*(Labor!$E$6:$E$25="Sub")*N(Labor!$AU$6:$AU$25)))+SUMIFS(ODCs!$F$5:$F$22,ODCs!$D$5:$D$22,Projects!$A$8,ODCs!$E$5:$E$22,10)+SUMIFS(Travel!$F$5:$F$22,Travel!$D$5:$D$22,Projects!$A$8,Travel!$E$5:$E$22,10)+SUMIFS('M&amp;E'!$F$5:$F$22,'M&amp;E'!$D$5:$D$22,Projects!$A$8,'M&amp;E'!$E$5:$E$22,10))*Rates!$B$8))+((((SUMPRODUCT((Labor!$G$6:$G$25=Projects!$A$8)*(Labor!$E$6:$E$25="Prime")*N(Labor!$AU$6:$AU$25))*(1+Rates!$B$6)*(1+Rates!$B$7)+SUMPRODUCT((Labor!$G$6:$G$25=Projects!$A$8)*(Labor!$E$6:$E$25="Sub")*N(Labor!$AU$6:$AU$25))))+IFERROR(((SUMPRODUCT((Labor!$G$6:$G$25=Projects!$A$8)*(Labor!$E$6:$E$25="Prime")*N(Labor!$AU$6:$AU$25))*(1+Rates!$B$6)*(1+Rates!$B$7)+SUMPRODUCT((Labor!$G$6:$G$25=Projects!$A$8)*(Labor!$E$6:$E$25="Sub")*N(Labor!$AU$6:$AU$25))))/((SUMPRODUCT((Labor!$G$6:$G$25=Projects!$A$8)*(Labor!$E$6:$E$25="Prime")*N(Labor!$AU$6:$AU$25))*(1+Rates!$B$6)*(1+Rates!$B$7)+SUMPRODUCT((Labor!$G$6:$G$25=Projects!$A$8)*(Labor!$E$6:$E$25="Sub")*N(Labor!$AU$6:$AU$25)))+SUMIFS(ODCs!$F$5:$F$22,ODCs!$D$5:$D$22,Projects!$A$8,ODCs!$E$5:$E$22,10)+SUMIFS(Travel!$F$5:$F$22,Travel!$D$5:$D$22,Projects!$A$8,Travel!$E$5:$E$22,10)+SUMIFS('M&amp;E'!$F$5:$F$22,'M&amp;E'!$D$5:$D$22,Projects!$A$8,'M&amp;E'!$E$5:$E$22,10))*(((SUMPRODUCT((Labor!$G$6:$G$25=Projects!$A$8)*(Labor!$E$6:$E$25="Prime")*N(Labor!$AU$6:$AU$25))*(1+Rates!$B$6)*(1+Rates!$B$7)+SUMPRODUCT((Labor!$G$6:$G$25=Projects!$A$8)*(Labor!$E$6:$E$25="Sub")*N(Labor!$AU$6:$AU$25)))+SUMIFS(ODCs!$F$5:$F$22,ODCs!$D$5:$D$22,Projects!$A$8,ODCs!$E$5:$E$22,10)+SUMIFS(Travel!$F$5:$F$22,Travel!$D$5:$D$22,Projects!$A$8,Travel!$E$5:$E$22,10)+SUMIFS('M&amp;E'!$F$5:$F$22,'M&amp;E'!$D$5:$D$22,Projects!$A$8,'M&amp;E'!$E$5:$E$22,10))*Rates!$B$8),0))*Rates!$C$18+((SUMIFS(Travel!$F$5:$F$22,Travel!$D$5:$D$22,Projects!$A$8,Travel!$E$5:$E$22,10))+IFERROR((SUMIFS(Travel!$F$5:$F$22,Travel!$D$5:$D$22,Projects!$A$8,Travel!$E$5:$E$22,10))/((SUMPRODUCT((Labor!$G$6:$G$25=Projects!$A$8)*(Labor!$E$6:$E$25="Prime")*N(Labor!$AU$6:$AU$25))*(1+Rates!$B$6)*(1+Rates!$B$7)+SUMPRODUCT((Labor!$G$6:$G$25=Projects!$A$8)*(Labor!$E$6:$E$25="Sub")*N(Labor!$AU$6:$AU$25)))+SUMIFS(ODCs!$F$5:$F$22,ODCs!$D$5:$D$22,Projects!$A$8,ODCs!$E$5:$E$22,10)+SUMIFS(Travel!$F$5:$F$22,Travel!$D$5:$D$22,Projects!$A$8,Travel!$E$5:$E$22,10)+SUMIFS('M&amp;E'!$F$5:$F$22,'M&amp;E'!$D$5:$D$22,Projects!$A$8,'M&amp;E'!$E$5:$E$22,10))*(((SUMPRODUCT((Labor!$G$6:$G$25=Projects!$A$8)*(Labor!$E$6:$E$25="Prime")*N(Labor!$AU$6:$AU$25))*(1+Rates!$B$6)*(1+Rates!$B$7)+SUMPRODUCT((Labor!$G$6:$G$25=Projects!$A$8)*(Labor!$E$6:$E$25="Sub")*N(Labor!$AU$6:$AU$25)))+SUMIFS(ODCs!$F$5:$F$22,ODCs!$D$5:$D$22,Projects!$A$8,ODCs!$E$5:$E$22,10)+SUMIFS(Travel!$F$5:$F$22,Travel!$D$5:$D$22,Projects!$A$8,Travel!$E$5:$E$22,10)+SUMIFS('M&amp;E'!$F$5:$F$22,'M&amp;E'!$D$5:$D$22,Projects!$A$8,'M&amp;E'!$E$5:$E$22,10))*Rates!$B$8),0))*Rates!$C$19+((SUMIFS(ODCs!$F$5:$F$22,ODCs!$D$5:$D$22,Projects!$A$8,ODCs!$E$5:$E$22,10))+IFERROR((SUMIFS(ODCs!$F$5:$F$22,ODCs!$D$5:$D$22,Projects!$A$8,ODCs!$E$5:$E$22,10))/((SUMPRODUCT((Labor!$G$6:$G$25=Projects!$A$8)*(Labor!$E$6:$E$25="Prime")*N(Labor!$AU$6:$AU$25))*(1+Rates!$B$6)*(1+Rates!$B$7)+SUMPRODUCT((Labor!$G$6:$G$25=Projects!$A$8)*(Labor!$E$6:$E$25="Sub")*N(Labor!$AU$6:$AU$25)))+SUMIFS(ODCs!$F$5:$F$22,ODCs!$D$5:$D$22,Projects!$A$8,ODCs!$E$5:$E$22,10)+SUMIFS(Travel!$F$5:$F$22,Travel!$D$5:$D$22,Projects!$A$8,Travel!$E$5:$E$22,10)+SUMIFS('M&amp;E'!$F$5:$F$22,'M&amp;E'!$D$5:$D$22,Projects!$A$8,'M&amp;E'!$E$5:$E$22,10))*(((SUMPRODUCT((Labor!$G$6:$G$25=Projects!$A$8)*(Labor!$E$6:$E$25="Prime")*N(Labor!$AU$6:$AU$25))*(1+Rates!$B$6)*(1+Rates!$B$7)+SUMPRODUCT((Labor!$G$6:$G$25=Projects!$A$8)*(Labor!$E$6:$E$25="Sub")*N(Labor!$AU$6:$AU$25)))+SUMIFS(ODCs!$F$5:$F$22,ODCs!$D$5:$D$22,Projects!$A$8,ODCs!$E$5:$E$22,10)+SUMIFS(Travel!$F$5:$F$22,Travel!$D$5:$D$22,Projects!$A$8,Travel!$E$5:$E$22,10)+SUMIFS('M&amp;E'!$F$5:$F$22,'M&amp;E'!$D$5:$D$22,Projects!$A$8,'M&amp;E'!$E$5:$E$22,10))*Rates!$B$8),0))*Rates!$C$20+((SUMIFS('M&amp;E'!$F$5:$F$22,'M&amp;E'!$D$5:$D$22,Projects!$A$8,'M&amp;E'!$E$5:$E$22,10))+IFERROR((SUMIFS('M&amp;E'!$F$5:$F$22,'M&amp;E'!$D$5:$D$22,Projects!$A$8,'M&amp;E'!$E$5:$E$22,10))/((SUMPRODUCT((Labor!$G$6:$G$25=Projects!$A$8)*(Labor!$E$6:$E$25="Prime")*N(Labor!$AU$6:$AU$25))*(1+Rates!$B$6)*(1+Rates!$B$7)+SUMPRODUCT((Labor!$G$6:$G$25=Projects!$A$8)*(Labor!$E$6:$E$25="Sub")*N(Labor!$AU$6:$AU$25)))+SUMIFS(ODCs!$F$5:$F$22,ODCs!$D$5:$D$22,Projects!$A$8,ODCs!$E$5:$E$22,10)+SUMIFS(Travel!$F$5:$F$22,Travel!$D$5:$D$22,Projects!$A$8,Travel!$E$5:$E$22,10)+SUMIFS('M&amp;E'!$F$5:$F$22,'M&amp;E'!$D$5:$D$22,Projects!$A$8,'M&amp;E'!$E$5:$E$22,10))*(((SUMPRODUCT((Labor!$G$6:$G$25=Projects!$A$8)*(Labor!$E$6:$E$25="Prime")*N(Labor!$AU$6:$AU$25))*(1+Rates!$B$6)*(1+Rates!$B$7)+SUMPRODUCT((Labor!$G$6:$G$25=Projects!$A$8)*(Labor!$E$6:$E$25="Sub")*N(Labor!$AU$6:$AU$25)))+SUMIFS(ODCs!$F$5:$F$22,ODCs!$D$5:$D$22,Projects!$A$8,ODCs!$E$5:$E$22,10)+SUMIFS(Travel!$F$5:$F$22,Travel!$D$5:$D$22,Projects!$A$8,Travel!$E$5:$E$22,10)+SUMIFS('M&amp;E'!$F$5:$F$22,'M&amp;E'!$D$5:$D$22,Projects!$A$8,'M&amp;E'!$E$5:$E$22,10))*Rates!$B$8),0))*Rates!$C$21))</f>
        <v/>
      </c>
      <c r="L29" s="132">
        <f>IF(Projects!$A$8="","",(((SUMPRODUCT((Labor!$G$6:$G$25=Projects!$A$8)*(Labor!$E$6:$E$25="Prime")*N(Labor!$AY$6:$AY$25))*(1+Rates!$B$6)*(1+Rates!$B$7)+SUMPRODUCT((Labor!$G$6:$G$25=Projects!$A$8)*(Labor!$E$6:$E$25="Sub")*N(Labor!$AY$6:$AY$25)))+SUMIFS(ODCs!$F$5:$F$22,ODCs!$D$5:$D$22,Projects!$A$8,ODCs!$E$5:$E$22,11)+SUMIFS(Travel!$F$5:$F$22,Travel!$D$5:$D$22,Projects!$A$8,Travel!$E$5:$E$22,11)+SUMIFS('M&amp;E'!$F$5:$F$22,'M&amp;E'!$D$5:$D$22,Projects!$A$8,'M&amp;E'!$E$5:$E$22,11))+(((SUMPRODUCT((Labor!$G$6:$G$25=Projects!$A$8)*(Labor!$E$6:$E$25="Prime")*N(Labor!$AY$6:$AY$25))*(1+Rates!$B$6)*(1+Rates!$B$7)+SUMPRODUCT((Labor!$G$6:$G$25=Projects!$A$8)*(Labor!$E$6:$E$25="Sub")*N(Labor!$AY$6:$AY$25)))+SUMIFS(ODCs!$F$5:$F$22,ODCs!$D$5:$D$22,Projects!$A$8,ODCs!$E$5:$E$22,11)+SUMIFS(Travel!$F$5:$F$22,Travel!$D$5:$D$22,Projects!$A$8,Travel!$E$5:$E$22,11)+SUMIFS('M&amp;E'!$F$5:$F$22,'M&amp;E'!$D$5:$D$22,Projects!$A$8,'M&amp;E'!$E$5:$E$22,11))*Rates!$B$8))+((((SUMPRODUCT((Labor!$G$6:$G$25=Projects!$A$8)*(Labor!$E$6:$E$25="Prime")*N(Labor!$AY$6:$AY$25))*(1+Rates!$B$6)*(1+Rates!$B$7)+SUMPRODUCT((Labor!$G$6:$G$25=Projects!$A$8)*(Labor!$E$6:$E$25="Sub")*N(Labor!$AY$6:$AY$25))))+IFERROR(((SUMPRODUCT((Labor!$G$6:$G$25=Projects!$A$8)*(Labor!$E$6:$E$25="Prime")*N(Labor!$AY$6:$AY$25))*(1+Rates!$B$6)*(1+Rates!$B$7)+SUMPRODUCT((Labor!$G$6:$G$25=Projects!$A$8)*(Labor!$E$6:$E$25="Sub")*N(Labor!$AY$6:$AY$25))))/((SUMPRODUCT((Labor!$G$6:$G$25=Projects!$A$8)*(Labor!$E$6:$E$25="Prime")*N(Labor!$AY$6:$AY$25))*(1+Rates!$B$6)*(1+Rates!$B$7)+SUMPRODUCT((Labor!$G$6:$G$25=Projects!$A$8)*(Labor!$E$6:$E$25="Sub")*N(Labor!$AY$6:$AY$25)))+SUMIFS(ODCs!$F$5:$F$22,ODCs!$D$5:$D$22,Projects!$A$8,ODCs!$E$5:$E$22,11)+SUMIFS(Travel!$F$5:$F$22,Travel!$D$5:$D$22,Projects!$A$8,Travel!$E$5:$E$22,11)+SUMIFS('M&amp;E'!$F$5:$F$22,'M&amp;E'!$D$5:$D$22,Projects!$A$8,'M&amp;E'!$E$5:$E$22,11))*(((SUMPRODUCT((Labor!$G$6:$G$25=Projects!$A$8)*(Labor!$E$6:$E$25="Prime")*N(Labor!$AY$6:$AY$25))*(1+Rates!$B$6)*(1+Rates!$B$7)+SUMPRODUCT((Labor!$G$6:$G$25=Projects!$A$8)*(Labor!$E$6:$E$25="Sub")*N(Labor!$AY$6:$AY$25)))+SUMIFS(ODCs!$F$5:$F$22,ODCs!$D$5:$D$22,Projects!$A$8,ODCs!$E$5:$E$22,11)+SUMIFS(Travel!$F$5:$F$22,Travel!$D$5:$D$22,Projects!$A$8,Travel!$E$5:$E$22,11)+SUMIFS('M&amp;E'!$F$5:$F$22,'M&amp;E'!$D$5:$D$22,Projects!$A$8,'M&amp;E'!$E$5:$E$22,11))*Rates!$B$8),0))*Rates!$C$18+((SUMIFS(Travel!$F$5:$F$22,Travel!$D$5:$D$22,Projects!$A$8,Travel!$E$5:$E$22,11))+IFERROR((SUMIFS(Travel!$F$5:$F$22,Travel!$D$5:$D$22,Projects!$A$8,Travel!$E$5:$E$22,11))/((SUMPRODUCT((Labor!$G$6:$G$25=Projects!$A$8)*(Labor!$E$6:$E$25="Prime")*N(Labor!$AY$6:$AY$25))*(1+Rates!$B$6)*(1+Rates!$B$7)+SUMPRODUCT((Labor!$G$6:$G$25=Projects!$A$8)*(Labor!$E$6:$E$25="Sub")*N(Labor!$AY$6:$AY$25)))+SUMIFS(ODCs!$F$5:$F$22,ODCs!$D$5:$D$22,Projects!$A$8,ODCs!$E$5:$E$22,11)+SUMIFS(Travel!$F$5:$F$22,Travel!$D$5:$D$22,Projects!$A$8,Travel!$E$5:$E$22,11)+SUMIFS('M&amp;E'!$F$5:$F$22,'M&amp;E'!$D$5:$D$22,Projects!$A$8,'M&amp;E'!$E$5:$E$22,11))*(((SUMPRODUCT((Labor!$G$6:$G$25=Projects!$A$8)*(Labor!$E$6:$E$25="Prime")*N(Labor!$AY$6:$AY$25))*(1+Rates!$B$6)*(1+Rates!$B$7)+SUMPRODUCT((Labor!$G$6:$G$25=Projects!$A$8)*(Labor!$E$6:$E$25="Sub")*N(Labor!$AY$6:$AY$25)))+SUMIFS(ODCs!$F$5:$F$22,ODCs!$D$5:$D$22,Projects!$A$8,ODCs!$E$5:$E$22,11)+SUMIFS(Travel!$F$5:$F$22,Travel!$D$5:$D$22,Projects!$A$8,Travel!$E$5:$E$22,11)+SUMIFS('M&amp;E'!$F$5:$F$22,'M&amp;E'!$D$5:$D$22,Projects!$A$8,'M&amp;E'!$E$5:$E$22,11))*Rates!$B$8),0))*Rates!$C$19+((SUMIFS(ODCs!$F$5:$F$22,ODCs!$D$5:$D$22,Projects!$A$8,ODCs!$E$5:$E$22,11))+IFERROR((SUMIFS(ODCs!$F$5:$F$22,ODCs!$D$5:$D$22,Projects!$A$8,ODCs!$E$5:$E$22,11))/((SUMPRODUCT((Labor!$G$6:$G$25=Projects!$A$8)*(Labor!$E$6:$E$25="Prime")*N(Labor!$AY$6:$AY$25))*(1+Rates!$B$6)*(1+Rates!$B$7)+SUMPRODUCT((Labor!$G$6:$G$25=Projects!$A$8)*(Labor!$E$6:$E$25="Sub")*N(Labor!$AY$6:$AY$25)))+SUMIFS(ODCs!$F$5:$F$22,ODCs!$D$5:$D$22,Projects!$A$8,ODCs!$E$5:$E$22,11)+SUMIFS(Travel!$F$5:$F$22,Travel!$D$5:$D$22,Projects!$A$8,Travel!$E$5:$E$22,11)+SUMIFS('M&amp;E'!$F$5:$F$22,'M&amp;E'!$D$5:$D$22,Projects!$A$8,'M&amp;E'!$E$5:$E$22,11))*(((SUMPRODUCT((Labor!$G$6:$G$25=Projects!$A$8)*(Labor!$E$6:$E$25="Prime")*N(Labor!$AY$6:$AY$25))*(1+Rates!$B$6)*(1+Rates!$B$7)+SUMPRODUCT((Labor!$G$6:$G$25=Projects!$A$8)*(Labor!$E$6:$E$25="Sub")*N(Labor!$AY$6:$AY$25)))+SUMIFS(ODCs!$F$5:$F$22,ODCs!$D$5:$D$22,Projects!$A$8,ODCs!$E$5:$E$22,11)+SUMIFS(Travel!$F$5:$F$22,Travel!$D$5:$D$22,Projects!$A$8,Travel!$E$5:$E$22,11)+SUMIFS('M&amp;E'!$F$5:$F$22,'M&amp;E'!$D$5:$D$22,Projects!$A$8,'M&amp;E'!$E$5:$E$22,11))*Rates!$B$8),0))*Rates!$C$20+((SUMIFS('M&amp;E'!$F$5:$F$22,'M&amp;E'!$D$5:$D$22,Projects!$A$8,'M&amp;E'!$E$5:$E$22,11))+IFERROR((SUMIFS('M&amp;E'!$F$5:$F$22,'M&amp;E'!$D$5:$D$22,Projects!$A$8,'M&amp;E'!$E$5:$E$22,11))/((SUMPRODUCT((Labor!$G$6:$G$25=Projects!$A$8)*(Labor!$E$6:$E$25="Prime")*N(Labor!$AY$6:$AY$25))*(1+Rates!$B$6)*(1+Rates!$B$7)+SUMPRODUCT((Labor!$G$6:$G$25=Projects!$A$8)*(Labor!$E$6:$E$25="Sub")*N(Labor!$AY$6:$AY$25)))+SUMIFS(ODCs!$F$5:$F$22,ODCs!$D$5:$D$22,Projects!$A$8,ODCs!$E$5:$E$22,11)+SUMIFS(Travel!$F$5:$F$22,Travel!$D$5:$D$22,Projects!$A$8,Travel!$E$5:$E$22,11)+SUMIFS('M&amp;E'!$F$5:$F$22,'M&amp;E'!$D$5:$D$22,Projects!$A$8,'M&amp;E'!$E$5:$E$22,11))*(((SUMPRODUCT((Labor!$G$6:$G$25=Projects!$A$8)*(Labor!$E$6:$E$25="Prime")*N(Labor!$AY$6:$AY$25))*(1+Rates!$B$6)*(1+Rates!$B$7)+SUMPRODUCT((Labor!$G$6:$G$25=Projects!$A$8)*(Labor!$E$6:$E$25="Sub")*N(Labor!$AY$6:$AY$25)))+SUMIFS(ODCs!$F$5:$F$22,ODCs!$D$5:$D$22,Projects!$A$8,ODCs!$E$5:$E$22,11)+SUMIFS(Travel!$F$5:$F$22,Travel!$D$5:$D$22,Projects!$A$8,Travel!$E$5:$E$22,11)+SUMIFS('M&amp;E'!$F$5:$F$22,'M&amp;E'!$D$5:$D$22,Projects!$A$8,'M&amp;E'!$E$5:$E$22,11))*Rates!$B$8),0))*Rates!$C$21))</f>
        <v/>
      </c>
      <c r="M29" s="132">
        <f>IF(Projects!$A$8="","",(((SUMPRODUCT((Labor!$G$6:$G$25=Projects!$A$8)*(Labor!$E$6:$E$25="Prime")*N(Labor!$BC$6:$BC$25))*(1+Rates!$B$6)*(1+Rates!$B$7)+SUMPRODUCT((Labor!$G$6:$G$25=Projects!$A$8)*(Labor!$E$6:$E$25="Sub")*N(Labor!$BC$6:$BC$25)))+SUMIFS(ODCs!$F$5:$F$22,ODCs!$D$5:$D$22,Projects!$A$8,ODCs!$E$5:$E$22,12)+SUMIFS(Travel!$F$5:$F$22,Travel!$D$5:$D$22,Projects!$A$8,Travel!$E$5:$E$22,12)+SUMIFS('M&amp;E'!$F$5:$F$22,'M&amp;E'!$D$5:$D$22,Projects!$A$8,'M&amp;E'!$E$5:$E$22,12))+(((SUMPRODUCT((Labor!$G$6:$G$25=Projects!$A$8)*(Labor!$E$6:$E$25="Prime")*N(Labor!$BC$6:$BC$25))*(1+Rates!$B$6)*(1+Rates!$B$7)+SUMPRODUCT((Labor!$G$6:$G$25=Projects!$A$8)*(Labor!$E$6:$E$25="Sub")*N(Labor!$BC$6:$BC$25)))+SUMIFS(ODCs!$F$5:$F$22,ODCs!$D$5:$D$22,Projects!$A$8,ODCs!$E$5:$E$22,12)+SUMIFS(Travel!$F$5:$F$22,Travel!$D$5:$D$22,Projects!$A$8,Travel!$E$5:$E$22,12)+SUMIFS('M&amp;E'!$F$5:$F$22,'M&amp;E'!$D$5:$D$22,Projects!$A$8,'M&amp;E'!$E$5:$E$22,12))*Rates!$B$8))+((((SUMPRODUCT((Labor!$G$6:$G$25=Projects!$A$8)*(Labor!$E$6:$E$25="Prime")*N(Labor!$BC$6:$BC$25))*(1+Rates!$B$6)*(1+Rates!$B$7)+SUMPRODUCT((Labor!$G$6:$G$25=Projects!$A$8)*(Labor!$E$6:$E$25="Sub")*N(Labor!$BC$6:$BC$25))))+IFERROR(((SUMPRODUCT((Labor!$G$6:$G$25=Projects!$A$8)*(Labor!$E$6:$E$25="Prime")*N(Labor!$BC$6:$BC$25))*(1+Rates!$B$6)*(1+Rates!$B$7)+SUMPRODUCT((Labor!$G$6:$G$25=Projects!$A$8)*(Labor!$E$6:$E$25="Sub")*N(Labor!$BC$6:$BC$25))))/((SUMPRODUCT((Labor!$G$6:$G$25=Projects!$A$8)*(Labor!$E$6:$E$25="Prime")*N(Labor!$BC$6:$BC$25))*(1+Rates!$B$6)*(1+Rates!$B$7)+SUMPRODUCT((Labor!$G$6:$G$25=Projects!$A$8)*(Labor!$E$6:$E$25="Sub")*N(Labor!$BC$6:$BC$25)))+SUMIFS(ODCs!$F$5:$F$22,ODCs!$D$5:$D$22,Projects!$A$8,ODCs!$E$5:$E$22,12)+SUMIFS(Travel!$F$5:$F$22,Travel!$D$5:$D$22,Projects!$A$8,Travel!$E$5:$E$22,12)+SUMIFS('M&amp;E'!$F$5:$F$22,'M&amp;E'!$D$5:$D$22,Projects!$A$8,'M&amp;E'!$E$5:$E$22,12))*(((SUMPRODUCT((Labor!$G$6:$G$25=Projects!$A$8)*(Labor!$E$6:$E$25="Prime")*N(Labor!$BC$6:$BC$25))*(1+Rates!$B$6)*(1+Rates!$B$7)+SUMPRODUCT((Labor!$G$6:$G$25=Projects!$A$8)*(Labor!$E$6:$E$25="Sub")*N(Labor!$BC$6:$BC$25)))+SUMIFS(ODCs!$F$5:$F$22,ODCs!$D$5:$D$22,Projects!$A$8,ODCs!$E$5:$E$22,12)+SUMIFS(Travel!$F$5:$F$22,Travel!$D$5:$D$22,Projects!$A$8,Travel!$E$5:$E$22,12)+SUMIFS('M&amp;E'!$F$5:$F$22,'M&amp;E'!$D$5:$D$22,Projects!$A$8,'M&amp;E'!$E$5:$E$22,12))*Rates!$B$8),0))*Rates!$C$18+((SUMIFS(Travel!$F$5:$F$22,Travel!$D$5:$D$22,Projects!$A$8,Travel!$E$5:$E$22,12))+IFERROR((SUMIFS(Travel!$F$5:$F$22,Travel!$D$5:$D$22,Projects!$A$8,Travel!$E$5:$E$22,12))/((SUMPRODUCT((Labor!$G$6:$G$25=Projects!$A$8)*(Labor!$E$6:$E$25="Prime")*N(Labor!$BC$6:$BC$25))*(1+Rates!$B$6)*(1+Rates!$B$7)+SUMPRODUCT((Labor!$G$6:$G$25=Projects!$A$8)*(Labor!$E$6:$E$25="Sub")*N(Labor!$BC$6:$BC$25)))+SUMIFS(ODCs!$F$5:$F$22,ODCs!$D$5:$D$22,Projects!$A$8,ODCs!$E$5:$E$22,12)+SUMIFS(Travel!$F$5:$F$22,Travel!$D$5:$D$22,Projects!$A$8,Travel!$E$5:$E$22,12)+SUMIFS('M&amp;E'!$F$5:$F$22,'M&amp;E'!$D$5:$D$22,Projects!$A$8,'M&amp;E'!$E$5:$E$22,12))*(((SUMPRODUCT((Labor!$G$6:$G$25=Projects!$A$8)*(Labor!$E$6:$E$25="Prime")*N(Labor!$BC$6:$BC$25))*(1+Rates!$B$6)*(1+Rates!$B$7)+SUMPRODUCT((Labor!$G$6:$G$25=Projects!$A$8)*(Labor!$E$6:$E$25="Sub")*N(Labor!$BC$6:$BC$25)))+SUMIFS(ODCs!$F$5:$F$22,ODCs!$D$5:$D$22,Projects!$A$8,ODCs!$E$5:$E$22,12)+SUMIFS(Travel!$F$5:$F$22,Travel!$D$5:$D$22,Projects!$A$8,Travel!$E$5:$E$22,12)+SUMIFS('M&amp;E'!$F$5:$F$22,'M&amp;E'!$D$5:$D$22,Projects!$A$8,'M&amp;E'!$E$5:$E$22,12))*Rates!$B$8),0))*Rates!$C$19+((SUMIFS(ODCs!$F$5:$F$22,ODCs!$D$5:$D$22,Projects!$A$8,ODCs!$E$5:$E$22,12))+IFERROR((SUMIFS(ODCs!$F$5:$F$22,ODCs!$D$5:$D$22,Projects!$A$8,ODCs!$E$5:$E$22,12))/((SUMPRODUCT((Labor!$G$6:$G$25=Projects!$A$8)*(Labor!$E$6:$E$25="Prime")*N(Labor!$BC$6:$BC$25))*(1+Rates!$B$6)*(1+Rates!$B$7)+SUMPRODUCT((Labor!$G$6:$G$25=Projects!$A$8)*(Labor!$E$6:$E$25="Sub")*N(Labor!$BC$6:$BC$25)))+SUMIFS(ODCs!$F$5:$F$22,ODCs!$D$5:$D$22,Projects!$A$8,ODCs!$E$5:$E$22,12)+SUMIFS(Travel!$F$5:$F$22,Travel!$D$5:$D$22,Projects!$A$8,Travel!$E$5:$E$22,12)+SUMIFS('M&amp;E'!$F$5:$F$22,'M&amp;E'!$D$5:$D$22,Projects!$A$8,'M&amp;E'!$E$5:$E$22,12))*(((SUMPRODUCT((Labor!$G$6:$G$25=Projects!$A$8)*(Labor!$E$6:$E$25="Prime")*N(Labor!$BC$6:$BC$25))*(1+Rates!$B$6)*(1+Rates!$B$7)+SUMPRODUCT((Labor!$G$6:$G$25=Projects!$A$8)*(Labor!$E$6:$E$25="Sub")*N(Labor!$BC$6:$BC$25)))+SUMIFS(ODCs!$F$5:$F$22,ODCs!$D$5:$D$22,Projects!$A$8,ODCs!$E$5:$E$22,12)+SUMIFS(Travel!$F$5:$F$22,Travel!$D$5:$D$22,Projects!$A$8,Travel!$E$5:$E$22,12)+SUMIFS('M&amp;E'!$F$5:$F$22,'M&amp;E'!$D$5:$D$22,Projects!$A$8,'M&amp;E'!$E$5:$E$22,12))*Rates!$B$8),0))*Rates!$C$20+((SUMIFS('M&amp;E'!$F$5:$F$22,'M&amp;E'!$D$5:$D$22,Projects!$A$8,'M&amp;E'!$E$5:$E$22,12))+IFERROR((SUMIFS('M&amp;E'!$F$5:$F$22,'M&amp;E'!$D$5:$D$22,Projects!$A$8,'M&amp;E'!$E$5:$E$22,12))/((SUMPRODUCT((Labor!$G$6:$G$25=Projects!$A$8)*(Labor!$E$6:$E$25="Prime")*N(Labor!$BC$6:$BC$25))*(1+Rates!$B$6)*(1+Rates!$B$7)+SUMPRODUCT((Labor!$G$6:$G$25=Projects!$A$8)*(Labor!$E$6:$E$25="Sub")*N(Labor!$BC$6:$BC$25)))+SUMIFS(ODCs!$F$5:$F$22,ODCs!$D$5:$D$22,Projects!$A$8,ODCs!$E$5:$E$22,12)+SUMIFS(Travel!$F$5:$F$22,Travel!$D$5:$D$22,Projects!$A$8,Travel!$E$5:$E$22,12)+SUMIFS('M&amp;E'!$F$5:$F$22,'M&amp;E'!$D$5:$D$22,Projects!$A$8,'M&amp;E'!$E$5:$E$22,12))*(((SUMPRODUCT((Labor!$G$6:$G$25=Projects!$A$8)*(Labor!$E$6:$E$25="Prime")*N(Labor!$BC$6:$BC$25))*(1+Rates!$B$6)*(1+Rates!$B$7)+SUMPRODUCT((Labor!$G$6:$G$25=Projects!$A$8)*(Labor!$E$6:$E$25="Sub")*N(Labor!$BC$6:$BC$25)))+SUMIFS(ODCs!$F$5:$F$22,ODCs!$D$5:$D$22,Projects!$A$8,ODCs!$E$5:$E$22,12)+SUMIFS(Travel!$F$5:$F$22,Travel!$D$5:$D$22,Projects!$A$8,Travel!$E$5:$E$22,12)+SUMIFS('M&amp;E'!$F$5:$F$22,'M&amp;E'!$D$5:$D$22,Projects!$A$8,'M&amp;E'!$E$5:$E$22,12))*Rates!$B$8),0))*Rates!$C$21))</f>
        <v/>
      </c>
      <c r="N29" s="135">
        <f>SUM(B29,C29,D29)</f>
        <v/>
      </c>
      <c r="O29" s="135">
        <f>SUM(E29,F29,G29)</f>
        <v/>
      </c>
      <c r="P29" s="135">
        <f>SUM(H29,I29,J29)</f>
        <v/>
      </c>
      <c r="Q29" s="135">
        <f>SUM(K29,L29,M29)</f>
        <v/>
      </c>
      <c r="R29" s="135">
        <f>SUM(N29,O29,P29,Q29)</f>
        <v/>
      </c>
    </row>
    <row r="30">
      <c r="A30" s="117" t="inlineStr">
        <is>
          <t>Variance $</t>
        </is>
      </c>
      <c r="B30" s="204">
        <f>IFERROR(IF(B29="","",B29-B28),0)</f>
        <v/>
      </c>
      <c r="C30" s="204">
        <f>IFERROR(IF(C29="","",C29-C28),0)</f>
        <v/>
      </c>
      <c r="D30" s="204">
        <f>IFERROR(IF(D29="","",D29-D28),0)</f>
        <v/>
      </c>
      <c r="E30" s="204">
        <f>IFERROR(IF(E29="","",E29-E28),0)</f>
        <v/>
      </c>
      <c r="F30" s="204">
        <f>IFERROR(IF(F29="","",F29-F28),0)</f>
        <v/>
      </c>
      <c r="G30" s="204">
        <f>IFERROR(IF(G29="","",G29-G28),0)</f>
        <v/>
      </c>
      <c r="H30" s="204">
        <f>IFERROR(IF(H29="","",H29-H28),0)</f>
        <v/>
      </c>
      <c r="I30" s="204">
        <f>IFERROR(IF(I29="","",I29-I28),0)</f>
        <v/>
      </c>
      <c r="J30" s="204">
        <f>IFERROR(IF(J29="","",J29-J28),0)</f>
        <v/>
      </c>
      <c r="K30" s="204">
        <f>IFERROR(IF(K29="","",K29-K28),0)</f>
        <v/>
      </c>
      <c r="L30" s="204">
        <f>IFERROR(IF(L29="","",L29-L28),0)</f>
        <v/>
      </c>
      <c r="M30" s="204">
        <f>IFERROR(IF(M29="","",M29-M28),0)</f>
        <v/>
      </c>
      <c r="N30" s="135">
        <f>SUM(B30,C30,D30)</f>
        <v/>
      </c>
      <c r="O30" s="135">
        <f>SUM(E30,F30,G30)</f>
        <v/>
      </c>
      <c r="P30" s="135">
        <f>SUM(H30,I30,J30)</f>
        <v/>
      </c>
      <c r="Q30" s="135">
        <f>SUM(K30,L30,M30)</f>
        <v/>
      </c>
      <c r="R30" s="135">
        <f>SUM(N30,O30,P30,Q30)</f>
        <v/>
      </c>
    </row>
    <row r="31">
      <c r="A31" s="117" t="inlineStr">
        <is>
          <t>Variance %</t>
        </is>
      </c>
      <c r="B31" s="205">
        <f>IFERROR(B30/B28,0)</f>
        <v/>
      </c>
      <c r="C31" s="205">
        <f>IFERROR(C30/C28,0)</f>
        <v/>
      </c>
      <c r="D31" s="205">
        <f>IFERROR(D30/D28,0)</f>
        <v/>
      </c>
      <c r="E31" s="205">
        <f>IFERROR(E30/E28,0)</f>
        <v/>
      </c>
      <c r="F31" s="205">
        <f>IFERROR(F30/F28,0)</f>
        <v/>
      </c>
      <c r="G31" s="205">
        <f>IFERROR(G30/G28,0)</f>
        <v/>
      </c>
      <c r="H31" s="205">
        <f>IFERROR(H30/H28,0)</f>
        <v/>
      </c>
      <c r="I31" s="205">
        <f>IFERROR(I30/I28,0)</f>
        <v/>
      </c>
      <c r="J31" s="205">
        <f>IFERROR(J30/J28,0)</f>
        <v/>
      </c>
      <c r="K31" s="205">
        <f>IFERROR(K30/K28,0)</f>
        <v/>
      </c>
      <c r="L31" s="205">
        <f>IFERROR(L30/L28,0)</f>
        <v/>
      </c>
      <c r="M31" s="205">
        <f>IFERROR(M30/M28,0)</f>
        <v/>
      </c>
      <c r="N31" s="140">
        <f>IFERROR(N30/N28,0)</f>
        <v/>
      </c>
      <c r="O31" s="140">
        <f>IFERROR(O30/O28,0)</f>
        <v/>
      </c>
      <c r="P31" s="140">
        <f>IFERROR(P30/P28,0)</f>
        <v/>
      </c>
      <c r="Q31" s="140">
        <f>IFERROR(Q30/Q28,0)</f>
        <v/>
      </c>
      <c r="R31" s="140">
        <f>IFERROR(R30/R28,0)</f>
        <v/>
      </c>
    </row>
    <row r="33">
      <c r="A33" s="136">
        <f>IF(Projects!$A$9="","",Projects!$A$9&amp;" — "&amp;Projects!$B$9)</f>
        <v/>
      </c>
    </row>
    <row r="34">
      <c r="A34" s="124" t="inlineStr">
        <is>
          <t>Forecasted Revenue $</t>
        </is>
      </c>
      <c r="B34" s="131" t="n">
        <v>0</v>
      </c>
      <c r="C34" s="131" t="n">
        <v>0</v>
      </c>
      <c r="D34" s="131" t="n">
        <v>0</v>
      </c>
      <c r="E34" s="131" t="n">
        <v>0</v>
      </c>
      <c r="F34" s="131" t="n">
        <v>0</v>
      </c>
      <c r="G34" s="131" t="n">
        <v>0</v>
      </c>
      <c r="H34" s="131" t="n">
        <v>0</v>
      </c>
      <c r="I34" s="131" t="n">
        <v>0</v>
      </c>
      <c r="J34" s="131" t="n">
        <v>0</v>
      </c>
      <c r="K34" s="131" t="n">
        <v>0</v>
      </c>
      <c r="L34" s="131" t="n">
        <v>0</v>
      </c>
      <c r="M34" s="131" t="n">
        <v>0</v>
      </c>
      <c r="N34" s="135">
        <f>SUM(B34,C34,D34)</f>
        <v/>
      </c>
      <c r="O34" s="135">
        <f>SUM(E34,F34,G34)</f>
        <v/>
      </c>
      <c r="P34" s="135">
        <f>SUM(H34,I34,J34)</f>
        <v/>
      </c>
      <c r="Q34" s="135">
        <f>SUM(K34,L34,M34)</f>
        <v/>
      </c>
      <c r="R34" s="135">
        <f>SUM(N34,O34,P34,Q34)</f>
        <v/>
      </c>
    </row>
    <row r="35">
      <c r="A35" s="124" t="inlineStr">
        <is>
          <t>Actual Revenue $</t>
        </is>
      </c>
      <c r="B35" s="132">
        <f>IF(Projects!$A$9="","",(((SUMPRODUCT((Labor!$G$6:$G$25=Projects!$A$9)*(Labor!$E$6:$E$25="Prime")*N(Labor!$K$6:$K$25))*(1+Rates!$B$6)*(1+Rates!$B$7)+SUMPRODUCT((Labor!$G$6:$G$25=Projects!$A$9)*(Labor!$E$6:$E$25="Sub")*N(Labor!$K$6:$K$25)))+SUMIFS(ODCs!$F$5:$F$22,ODCs!$D$5:$D$22,Projects!$A$9,ODCs!$E$5:$E$22,1)+SUMIFS(Travel!$F$5:$F$22,Travel!$D$5:$D$22,Projects!$A$9,Travel!$E$5:$E$22,1)+SUMIFS('M&amp;E'!$F$5:$F$22,'M&amp;E'!$D$5:$D$22,Projects!$A$9,'M&amp;E'!$E$5:$E$22,1))+(((SUMPRODUCT((Labor!$G$6:$G$25=Projects!$A$9)*(Labor!$E$6:$E$25="Prime")*N(Labor!$K$6:$K$25))*(1+Rates!$B$6)*(1+Rates!$B$7)+SUMPRODUCT((Labor!$G$6:$G$25=Projects!$A$9)*(Labor!$E$6:$E$25="Sub")*N(Labor!$K$6:$K$25)))+SUMIFS(ODCs!$F$5:$F$22,ODCs!$D$5:$D$22,Projects!$A$9,ODCs!$E$5:$E$22,1)+SUMIFS(Travel!$F$5:$F$22,Travel!$D$5:$D$22,Projects!$A$9,Travel!$E$5:$E$22,1)+SUMIFS('M&amp;E'!$F$5:$F$22,'M&amp;E'!$D$5:$D$22,Projects!$A$9,'M&amp;E'!$E$5:$E$22,1))*Rates!$B$8))+((((SUMPRODUCT((Labor!$G$6:$G$25=Projects!$A$9)*(Labor!$E$6:$E$25="Prime")*N(Labor!$K$6:$K$25))*(1+Rates!$B$6)*(1+Rates!$B$7)+SUMPRODUCT((Labor!$G$6:$G$25=Projects!$A$9)*(Labor!$E$6:$E$25="Sub")*N(Labor!$K$6:$K$25))))+IFERROR(((SUMPRODUCT((Labor!$G$6:$G$25=Projects!$A$9)*(Labor!$E$6:$E$25="Prime")*N(Labor!$K$6:$K$25))*(1+Rates!$B$6)*(1+Rates!$B$7)+SUMPRODUCT((Labor!$G$6:$G$25=Projects!$A$9)*(Labor!$E$6:$E$25="Sub")*N(Labor!$K$6:$K$25))))/((SUMPRODUCT((Labor!$G$6:$G$25=Projects!$A$9)*(Labor!$E$6:$E$25="Prime")*N(Labor!$K$6:$K$25))*(1+Rates!$B$6)*(1+Rates!$B$7)+SUMPRODUCT((Labor!$G$6:$G$25=Projects!$A$9)*(Labor!$E$6:$E$25="Sub")*N(Labor!$K$6:$K$25)))+SUMIFS(ODCs!$F$5:$F$22,ODCs!$D$5:$D$22,Projects!$A$9,ODCs!$E$5:$E$22,1)+SUMIFS(Travel!$F$5:$F$22,Travel!$D$5:$D$22,Projects!$A$9,Travel!$E$5:$E$22,1)+SUMIFS('M&amp;E'!$F$5:$F$22,'M&amp;E'!$D$5:$D$22,Projects!$A$9,'M&amp;E'!$E$5:$E$22,1))*(((SUMPRODUCT((Labor!$G$6:$G$25=Projects!$A$9)*(Labor!$E$6:$E$25="Prime")*N(Labor!$K$6:$K$25))*(1+Rates!$B$6)*(1+Rates!$B$7)+SUMPRODUCT((Labor!$G$6:$G$25=Projects!$A$9)*(Labor!$E$6:$E$25="Sub")*N(Labor!$K$6:$K$25)))+SUMIFS(ODCs!$F$5:$F$22,ODCs!$D$5:$D$22,Projects!$A$9,ODCs!$E$5:$E$22,1)+SUMIFS(Travel!$F$5:$F$22,Travel!$D$5:$D$22,Projects!$A$9,Travel!$E$5:$E$22,1)+SUMIFS('M&amp;E'!$F$5:$F$22,'M&amp;E'!$D$5:$D$22,Projects!$A$9,'M&amp;E'!$E$5:$E$22,1))*Rates!$B$8),0))*Rates!$C$18+((SUMIFS(Travel!$F$5:$F$22,Travel!$D$5:$D$22,Projects!$A$9,Travel!$E$5:$E$22,1))+IFERROR((SUMIFS(Travel!$F$5:$F$22,Travel!$D$5:$D$22,Projects!$A$9,Travel!$E$5:$E$22,1))/((SUMPRODUCT((Labor!$G$6:$G$25=Projects!$A$9)*(Labor!$E$6:$E$25="Prime")*N(Labor!$K$6:$K$25))*(1+Rates!$B$6)*(1+Rates!$B$7)+SUMPRODUCT((Labor!$G$6:$G$25=Projects!$A$9)*(Labor!$E$6:$E$25="Sub")*N(Labor!$K$6:$K$25)))+SUMIFS(ODCs!$F$5:$F$22,ODCs!$D$5:$D$22,Projects!$A$9,ODCs!$E$5:$E$22,1)+SUMIFS(Travel!$F$5:$F$22,Travel!$D$5:$D$22,Projects!$A$9,Travel!$E$5:$E$22,1)+SUMIFS('M&amp;E'!$F$5:$F$22,'M&amp;E'!$D$5:$D$22,Projects!$A$9,'M&amp;E'!$E$5:$E$22,1))*(((SUMPRODUCT((Labor!$G$6:$G$25=Projects!$A$9)*(Labor!$E$6:$E$25="Prime")*N(Labor!$K$6:$K$25))*(1+Rates!$B$6)*(1+Rates!$B$7)+SUMPRODUCT((Labor!$G$6:$G$25=Projects!$A$9)*(Labor!$E$6:$E$25="Sub")*N(Labor!$K$6:$K$25)))+SUMIFS(ODCs!$F$5:$F$22,ODCs!$D$5:$D$22,Projects!$A$9,ODCs!$E$5:$E$22,1)+SUMIFS(Travel!$F$5:$F$22,Travel!$D$5:$D$22,Projects!$A$9,Travel!$E$5:$E$22,1)+SUMIFS('M&amp;E'!$F$5:$F$22,'M&amp;E'!$D$5:$D$22,Projects!$A$9,'M&amp;E'!$E$5:$E$22,1))*Rates!$B$8),0))*Rates!$C$19+((SUMIFS(ODCs!$F$5:$F$22,ODCs!$D$5:$D$22,Projects!$A$9,ODCs!$E$5:$E$22,1))+IFERROR((SUMIFS(ODCs!$F$5:$F$22,ODCs!$D$5:$D$22,Projects!$A$9,ODCs!$E$5:$E$22,1))/((SUMPRODUCT((Labor!$G$6:$G$25=Projects!$A$9)*(Labor!$E$6:$E$25="Prime")*N(Labor!$K$6:$K$25))*(1+Rates!$B$6)*(1+Rates!$B$7)+SUMPRODUCT((Labor!$G$6:$G$25=Projects!$A$9)*(Labor!$E$6:$E$25="Sub")*N(Labor!$K$6:$K$25)))+SUMIFS(ODCs!$F$5:$F$22,ODCs!$D$5:$D$22,Projects!$A$9,ODCs!$E$5:$E$22,1)+SUMIFS(Travel!$F$5:$F$22,Travel!$D$5:$D$22,Projects!$A$9,Travel!$E$5:$E$22,1)+SUMIFS('M&amp;E'!$F$5:$F$22,'M&amp;E'!$D$5:$D$22,Projects!$A$9,'M&amp;E'!$E$5:$E$22,1))*(((SUMPRODUCT((Labor!$G$6:$G$25=Projects!$A$9)*(Labor!$E$6:$E$25="Prime")*N(Labor!$K$6:$K$25))*(1+Rates!$B$6)*(1+Rates!$B$7)+SUMPRODUCT((Labor!$G$6:$G$25=Projects!$A$9)*(Labor!$E$6:$E$25="Sub")*N(Labor!$K$6:$K$25)))+SUMIFS(ODCs!$F$5:$F$22,ODCs!$D$5:$D$22,Projects!$A$9,ODCs!$E$5:$E$22,1)+SUMIFS(Travel!$F$5:$F$22,Travel!$D$5:$D$22,Projects!$A$9,Travel!$E$5:$E$22,1)+SUMIFS('M&amp;E'!$F$5:$F$22,'M&amp;E'!$D$5:$D$22,Projects!$A$9,'M&amp;E'!$E$5:$E$22,1))*Rates!$B$8),0))*Rates!$C$20+((SUMIFS('M&amp;E'!$F$5:$F$22,'M&amp;E'!$D$5:$D$22,Projects!$A$9,'M&amp;E'!$E$5:$E$22,1))+IFERROR((SUMIFS('M&amp;E'!$F$5:$F$22,'M&amp;E'!$D$5:$D$22,Projects!$A$9,'M&amp;E'!$E$5:$E$22,1))/((SUMPRODUCT((Labor!$G$6:$G$25=Projects!$A$9)*(Labor!$E$6:$E$25="Prime")*N(Labor!$K$6:$K$25))*(1+Rates!$B$6)*(1+Rates!$B$7)+SUMPRODUCT((Labor!$G$6:$G$25=Projects!$A$9)*(Labor!$E$6:$E$25="Sub")*N(Labor!$K$6:$K$25)))+SUMIFS(ODCs!$F$5:$F$22,ODCs!$D$5:$D$22,Projects!$A$9,ODCs!$E$5:$E$22,1)+SUMIFS(Travel!$F$5:$F$22,Travel!$D$5:$D$22,Projects!$A$9,Travel!$E$5:$E$22,1)+SUMIFS('M&amp;E'!$F$5:$F$22,'M&amp;E'!$D$5:$D$22,Projects!$A$9,'M&amp;E'!$E$5:$E$22,1))*(((SUMPRODUCT((Labor!$G$6:$G$25=Projects!$A$9)*(Labor!$E$6:$E$25="Prime")*N(Labor!$K$6:$K$25))*(1+Rates!$B$6)*(1+Rates!$B$7)+SUMPRODUCT((Labor!$G$6:$G$25=Projects!$A$9)*(Labor!$E$6:$E$25="Sub")*N(Labor!$K$6:$K$25)))+SUMIFS(ODCs!$F$5:$F$22,ODCs!$D$5:$D$22,Projects!$A$9,ODCs!$E$5:$E$22,1)+SUMIFS(Travel!$F$5:$F$22,Travel!$D$5:$D$22,Projects!$A$9,Travel!$E$5:$E$22,1)+SUMIFS('M&amp;E'!$F$5:$F$22,'M&amp;E'!$D$5:$D$22,Projects!$A$9,'M&amp;E'!$E$5:$E$22,1))*Rates!$B$8),0))*Rates!$C$21))</f>
        <v/>
      </c>
      <c r="C35" s="132">
        <f>IF(Projects!$A$9="","",(((SUMPRODUCT((Labor!$G$6:$G$25=Projects!$A$9)*(Labor!$E$6:$E$25="Prime")*N(Labor!$O$6:$O$25))*(1+Rates!$B$6)*(1+Rates!$B$7)+SUMPRODUCT((Labor!$G$6:$G$25=Projects!$A$9)*(Labor!$E$6:$E$25="Sub")*N(Labor!$O$6:$O$25)))+SUMIFS(ODCs!$F$5:$F$22,ODCs!$D$5:$D$22,Projects!$A$9,ODCs!$E$5:$E$22,2)+SUMIFS(Travel!$F$5:$F$22,Travel!$D$5:$D$22,Projects!$A$9,Travel!$E$5:$E$22,2)+SUMIFS('M&amp;E'!$F$5:$F$22,'M&amp;E'!$D$5:$D$22,Projects!$A$9,'M&amp;E'!$E$5:$E$22,2))+(((SUMPRODUCT((Labor!$G$6:$G$25=Projects!$A$9)*(Labor!$E$6:$E$25="Prime")*N(Labor!$O$6:$O$25))*(1+Rates!$B$6)*(1+Rates!$B$7)+SUMPRODUCT((Labor!$G$6:$G$25=Projects!$A$9)*(Labor!$E$6:$E$25="Sub")*N(Labor!$O$6:$O$25)))+SUMIFS(ODCs!$F$5:$F$22,ODCs!$D$5:$D$22,Projects!$A$9,ODCs!$E$5:$E$22,2)+SUMIFS(Travel!$F$5:$F$22,Travel!$D$5:$D$22,Projects!$A$9,Travel!$E$5:$E$22,2)+SUMIFS('M&amp;E'!$F$5:$F$22,'M&amp;E'!$D$5:$D$22,Projects!$A$9,'M&amp;E'!$E$5:$E$22,2))*Rates!$B$8))+((((SUMPRODUCT((Labor!$G$6:$G$25=Projects!$A$9)*(Labor!$E$6:$E$25="Prime")*N(Labor!$O$6:$O$25))*(1+Rates!$B$6)*(1+Rates!$B$7)+SUMPRODUCT((Labor!$G$6:$G$25=Projects!$A$9)*(Labor!$E$6:$E$25="Sub")*N(Labor!$O$6:$O$25))))+IFERROR(((SUMPRODUCT((Labor!$G$6:$G$25=Projects!$A$9)*(Labor!$E$6:$E$25="Prime")*N(Labor!$O$6:$O$25))*(1+Rates!$B$6)*(1+Rates!$B$7)+SUMPRODUCT((Labor!$G$6:$G$25=Projects!$A$9)*(Labor!$E$6:$E$25="Sub")*N(Labor!$O$6:$O$25))))/((SUMPRODUCT((Labor!$G$6:$G$25=Projects!$A$9)*(Labor!$E$6:$E$25="Prime")*N(Labor!$O$6:$O$25))*(1+Rates!$B$6)*(1+Rates!$B$7)+SUMPRODUCT((Labor!$G$6:$G$25=Projects!$A$9)*(Labor!$E$6:$E$25="Sub")*N(Labor!$O$6:$O$25)))+SUMIFS(ODCs!$F$5:$F$22,ODCs!$D$5:$D$22,Projects!$A$9,ODCs!$E$5:$E$22,2)+SUMIFS(Travel!$F$5:$F$22,Travel!$D$5:$D$22,Projects!$A$9,Travel!$E$5:$E$22,2)+SUMIFS('M&amp;E'!$F$5:$F$22,'M&amp;E'!$D$5:$D$22,Projects!$A$9,'M&amp;E'!$E$5:$E$22,2))*(((SUMPRODUCT((Labor!$G$6:$G$25=Projects!$A$9)*(Labor!$E$6:$E$25="Prime")*N(Labor!$O$6:$O$25))*(1+Rates!$B$6)*(1+Rates!$B$7)+SUMPRODUCT((Labor!$G$6:$G$25=Projects!$A$9)*(Labor!$E$6:$E$25="Sub")*N(Labor!$O$6:$O$25)))+SUMIFS(ODCs!$F$5:$F$22,ODCs!$D$5:$D$22,Projects!$A$9,ODCs!$E$5:$E$22,2)+SUMIFS(Travel!$F$5:$F$22,Travel!$D$5:$D$22,Projects!$A$9,Travel!$E$5:$E$22,2)+SUMIFS('M&amp;E'!$F$5:$F$22,'M&amp;E'!$D$5:$D$22,Projects!$A$9,'M&amp;E'!$E$5:$E$22,2))*Rates!$B$8),0))*Rates!$C$18+((SUMIFS(Travel!$F$5:$F$22,Travel!$D$5:$D$22,Projects!$A$9,Travel!$E$5:$E$22,2))+IFERROR((SUMIFS(Travel!$F$5:$F$22,Travel!$D$5:$D$22,Projects!$A$9,Travel!$E$5:$E$22,2))/((SUMPRODUCT((Labor!$G$6:$G$25=Projects!$A$9)*(Labor!$E$6:$E$25="Prime")*N(Labor!$O$6:$O$25))*(1+Rates!$B$6)*(1+Rates!$B$7)+SUMPRODUCT((Labor!$G$6:$G$25=Projects!$A$9)*(Labor!$E$6:$E$25="Sub")*N(Labor!$O$6:$O$25)))+SUMIFS(ODCs!$F$5:$F$22,ODCs!$D$5:$D$22,Projects!$A$9,ODCs!$E$5:$E$22,2)+SUMIFS(Travel!$F$5:$F$22,Travel!$D$5:$D$22,Projects!$A$9,Travel!$E$5:$E$22,2)+SUMIFS('M&amp;E'!$F$5:$F$22,'M&amp;E'!$D$5:$D$22,Projects!$A$9,'M&amp;E'!$E$5:$E$22,2))*(((SUMPRODUCT((Labor!$G$6:$G$25=Projects!$A$9)*(Labor!$E$6:$E$25="Prime")*N(Labor!$O$6:$O$25))*(1+Rates!$B$6)*(1+Rates!$B$7)+SUMPRODUCT((Labor!$G$6:$G$25=Projects!$A$9)*(Labor!$E$6:$E$25="Sub")*N(Labor!$O$6:$O$25)))+SUMIFS(ODCs!$F$5:$F$22,ODCs!$D$5:$D$22,Projects!$A$9,ODCs!$E$5:$E$22,2)+SUMIFS(Travel!$F$5:$F$22,Travel!$D$5:$D$22,Projects!$A$9,Travel!$E$5:$E$22,2)+SUMIFS('M&amp;E'!$F$5:$F$22,'M&amp;E'!$D$5:$D$22,Projects!$A$9,'M&amp;E'!$E$5:$E$22,2))*Rates!$B$8),0))*Rates!$C$19+((SUMIFS(ODCs!$F$5:$F$22,ODCs!$D$5:$D$22,Projects!$A$9,ODCs!$E$5:$E$22,2))+IFERROR((SUMIFS(ODCs!$F$5:$F$22,ODCs!$D$5:$D$22,Projects!$A$9,ODCs!$E$5:$E$22,2))/((SUMPRODUCT((Labor!$G$6:$G$25=Projects!$A$9)*(Labor!$E$6:$E$25="Prime")*N(Labor!$O$6:$O$25))*(1+Rates!$B$6)*(1+Rates!$B$7)+SUMPRODUCT((Labor!$G$6:$G$25=Projects!$A$9)*(Labor!$E$6:$E$25="Sub")*N(Labor!$O$6:$O$25)))+SUMIFS(ODCs!$F$5:$F$22,ODCs!$D$5:$D$22,Projects!$A$9,ODCs!$E$5:$E$22,2)+SUMIFS(Travel!$F$5:$F$22,Travel!$D$5:$D$22,Projects!$A$9,Travel!$E$5:$E$22,2)+SUMIFS('M&amp;E'!$F$5:$F$22,'M&amp;E'!$D$5:$D$22,Projects!$A$9,'M&amp;E'!$E$5:$E$22,2))*(((SUMPRODUCT((Labor!$G$6:$G$25=Projects!$A$9)*(Labor!$E$6:$E$25="Prime")*N(Labor!$O$6:$O$25))*(1+Rates!$B$6)*(1+Rates!$B$7)+SUMPRODUCT((Labor!$G$6:$G$25=Projects!$A$9)*(Labor!$E$6:$E$25="Sub")*N(Labor!$O$6:$O$25)))+SUMIFS(ODCs!$F$5:$F$22,ODCs!$D$5:$D$22,Projects!$A$9,ODCs!$E$5:$E$22,2)+SUMIFS(Travel!$F$5:$F$22,Travel!$D$5:$D$22,Projects!$A$9,Travel!$E$5:$E$22,2)+SUMIFS('M&amp;E'!$F$5:$F$22,'M&amp;E'!$D$5:$D$22,Projects!$A$9,'M&amp;E'!$E$5:$E$22,2))*Rates!$B$8),0))*Rates!$C$20+((SUMIFS('M&amp;E'!$F$5:$F$22,'M&amp;E'!$D$5:$D$22,Projects!$A$9,'M&amp;E'!$E$5:$E$22,2))+IFERROR((SUMIFS('M&amp;E'!$F$5:$F$22,'M&amp;E'!$D$5:$D$22,Projects!$A$9,'M&amp;E'!$E$5:$E$22,2))/((SUMPRODUCT((Labor!$G$6:$G$25=Projects!$A$9)*(Labor!$E$6:$E$25="Prime")*N(Labor!$O$6:$O$25))*(1+Rates!$B$6)*(1+Rates!$B$7)+SUMPRODUCT((Labor!$G$6:$G$25=Projects!$A$9)*(Labor!$E$6:$E$25="Sub")*N(Labor!$O$6:$O$25)))+SUMIFS(ODCs!$F$5:$F$22,ODCs!$D$5:$D$22,Projects!$A$9,ODCs!$E$5:$E$22,2)+SUMIFS(Travel!$F$5:$F$22,Travel!$D$5:$D$22,Projects!$A$9,Travel!$E$5:$E$22,2)+SUMIFS('M&amp;E'!$F$5:$F$22,'M&amp;E'!$D$5:$D$22,Projects!$A$9,'M&amp;E'!$E$5:$E$22,2))*(((SUMPRODUCT((Labor!$G$6:$G$25=Projects!$A$9)*(Labor!$E$6:$E$25="Prime")*N(Labor!$O$6:$O$25))*(1+Rates!$B$6)*(1+Rates!$B$7)+SUMPRODUCT((Labor!$G$6:$G$25=Projects!$A$9)*(Labor!$E$6:$E$25="Sub")*N(Labor!$O$6:$O$25)))+SUMIFS(ODCs!$F$5:$F$22,ODCs!$D$5:$D$22,Projects!$A$9,ODCs!$E$5:$E$22,2)+SUMIFS(Travel!$F$5:$F$22,Travel!$D$5:$D$22,Projects!$A$9,Travel!$E$5:$E$22,2)+SUMIFS('M&amp;E'!$F$5:$F$22,'M&amp;E'!$D$5:$D$22,Projects!$A$9,'M&amp;E'!$E$5:$E$22,2))*Rates!$B$8),0))*Rates!$C$21))</f>
        <v/>
      </c>
      <c r="D35" s="132">
        <f>IF(Projects!$A$9="","",(((SUMPRODUCT((Labor!$G$6:$G$25=Projects!$A$9)*(Labor!$E$6:$E$25="Prime")*N(Labor!$S$6:$S$25))*(1+Rates!$B$6)*(1+Rates!$B$7)+SUMPRODUCT((Labor!$G$6:$G$25=Projects!$A$9)*(Labor!$E$6:$E$25="Sub")*N(Labor!$S$6:$S$25)))+SUMIFS(ODCs!$F$5:$F$22,ODCs!$D$5:$D$22,Projects!$A$9,ODCs!$E$5:$E$22,3)+SUMIFS(Travel!$F$5:$F$22,Travel!$D$5:$D$22,Projects!$A$9,Travel!$E$5:$E$22,3)+SUMIFS('M&amp;E'!$F$5:$F$22,'M&amp;E'!$D$5:$D$22,Projects!$A$9,'M&amp;E'!$E$5:$E$22,3))+(((SUMPRODUCT((Labor!$G$6:$G$25=Projects!$A$9)*(Labor!$E$6:$E$25="Prime")*N(Labor!$S$6:$S$25))*(1+Rates!$B$6)*(1+Rates!$B$7)+SUMPRODUCT((Labor!$G$6:$G$25=Projects!$A$9)*(Labor!$E$6:$E$25="Sub")*N(Labor!$S$6:$S$25)))+SUMIFS(ODCs!$F$5:$F$22,ODCs!$D$5:$D$22,Projects!$A$9,ODCs!$E$5:$E$22,3)+SUMIFS(Travel!$F$5:$F$22,Travel!$D$5:$D$22,Projects!$A$9,Travel!$E$5:$E$22,3)+SUMIFS('M&amp;E'!$F$5:$F$22,'M&amp;E'!$D$5:$D$22,Projects!$A$9,'M&amp;E'!$E$5:$E$22,3))*Rates!$B$8))+((((SUMPRODUCT((Labor!$G$6:$G$25=Projects!$A$9)*(Labor!$E$6:$E$25="Prime")*N(Labor!$S$6:$S$25))*(1+Rates!$B$6)*(1+Rates!$B$7)+SUMPRODUCT((Labor!$G$6:$G$25=Projects!$A$9)*(Labor!$E$6:$E$25="Sub")*N(Labor!$S$6:$S$25))))+IFERROR(((SUMPRODUCT((Labor!$G$6:$G$25=Projects!$A$9)*(Labor!$E$6:$E$25="Prime")*N(Labor!$S$6:$S$25))*(1+Rates!$B$6)*(1+Rates!$B$7)+SUMPRODUCT((Labor!$G$6:$G$25=Projects!$A$9)*(Labor!$E$6:$E$25="Sub")*N(Labor!$S$6:$S$25))))/((SUMPRODUCT((Labor!$G$6:$G$25=Projects!$A$9)*(Labor!$E$6:$E$25="Prime")*N(Labor!$S$6:$S$25))*(1+Rates!$B$6)*(1+Rates!$B$7)+SUMPRODUCT((Labor!$G$6:$G$25=Projects!$A$9)*(Labor!$E$6:$E$25="Sub")*N(Labor!$S$6:$S$25)))+SUMIFS(ODCs!$F$5:$F$22,ODCs!$D$5:$D$22,Projects!$A$9,ODCs!$E$5:$E$22,3)+SUMIFS(Travel!$F$5:$F$22,Travel!$D$5:$D$22,Projects!$A$9,Travel!$E$5:$E$22,3)+SUMIFS('M&amp;E'!$F$5:$F$22,'M&amp;E'!$D$5:$D$22,Projects!$A$9,'M&amp;E'!$E$5:$E$22,3))*(((SUMPRODUCT((Labor!$G$6:$G$25=Projects!$A$9)*(Labor!$E$6:$E$25="Prime")*N(Labor!$S$6:$S$25))*(1+Rates!$B$6)*(1+Rates!$B$7)+SUMPRODUCT((Labor!$G$6:$G$25=Projects!$A$9)*(Labor!$E$6:$E$25="Sub")*N(Labor!$S$6:$S$25)))+SUMIFS(ODCs!$F$5:$F$22,ODCs!$D$5:$D$22,Projects!$A$9,ODCs!$E$5:$E$22,3)+SUMIFS(Travel!$F$5:$F$22,Travel!$D$5:$D$22,Projects!$A$9,Travel!$E$5:$E$22,3)+SUMIFS('M&amp;E'!$F$5:$F$22,'M&amp;E'!$D$5:$D$22,Projects!$A$9,'M&amp;E'!$E$5:$E$22,3))*Rates!$B$8),0))*Rates!$C$18+((SUMIFS(Travel!$F$5:$F$22,Travel!$D$5:$D$22,Projects!$A$9,Travel!$E$5:$E$22,3))+IFERROR((SUMIFS(Travel!$F$5:$F$22,Travel!$D$5:$D$22,Projects!$A$9,Travel!$E$5:$E$22,3))/((SUMPRODUCT((Labor!$G$6:$G$25=Projects!$A$9)*(Labor!$E$6:$E$25="Prime")*N(Labor!$S$6:$S$25))*(1+Rates!$B$6)*(1+Rates!$B$7)+SUMPRODUCT((Labor!$G$6:$G$25=Projects!$A$9)*(Labor!$E$6:$E$25="Sub")*N(Labor!$S$6:$S$25)))+SUMIFS(ODCs!$F$5:$F$22,ODCs!$D$5:$D$22,Projects!$A$9,ODCs!$E$5:$E$22,3)+SUMIFS(Travel!$F$5:$F$22,Travel!$D$5:$D$22,Projects!$A$9,Travel!$E$5:$E$22,3)+SUMIFS('M&amp;E'!$F$5:$F$22,'M&amp;E'!$D$5:$D$22,Projects!$A$9,'M&amp;E'!$E$5:$E$22,3))*(((SUMPRODUCT((Labor!$G$6:$G$25=Projects!$A$9)*(Labor!$E$6:$E$25="Prime")*N(Labor!$S$6:$S$25))*(1+Rates!$B$6)*(1+Rates!$B$7)+SUMPRODUCT((Labor!$G$6:$G$25=Projects!$A$9)*(Labor!$E$6:$E$25="Sub")*N(Labor!$S$6:$S$25)))+SUMIFS(ODCs!$F$5:$F$22,ODCs!$D$5:$D$22,Projects!$A$9,ODCs!$E$5:$E$22,3)+SUMIFS(Travel!$F$5:$F$22,Travel!$D$5:$D$22,Projects!$A$9,Travel!$E$5:$E$22,3)+SUMIFS('M&amp;E'!$F$5:$F$22,'M&amp;E'!$D$5:$D$22,Projects!$A$9,'M&amp;E'!$E$5:$E$22,3))*Rates!$B$8),0))*Rates!$C$19+((SUMIFS(ODCs!$F$5:$F$22,ODCs!$D$5:$D$22,Projects!$A$9,ODCs!$E$5:$E$22,3))+IFERROR((SUMIFS(ODCs!$F$5:$F$22,ODCs!$D$5:$D$22,Projects!$A$9,ODCs!$E$5:$E$22,3))/((SUMPRODUCT((Labor!$G$6:$G$25=Projects!$A$9)*(Labor!$E$6:$E$25="Prime")*N(Labor!$S$6:$S$25))*(1+Rates!$B$6)*(1+Rates!$B$7)+SUMPRODUCT((Labor!$G$6:$G$25=Projects!$A$9)*(Labor!$E$6:$E$25="Sub")*N(Labor!$S$6:$S$25)))+SUMIFS(ODCs!$F$5:$F$22,ODCs!$D$5:$D$22,Projects!$A$9,ODCs!$E$5:$E$22,3)+SUMIFS(Travel!$F$5:$F$22,Travel!$D$5:$D$22,Projects!$A$9,Travel!$E$5:$E$22,3)+SUMIFS('M&amp;E'!$F$5:$F$22,'M&amp;E'!$D$5:$D$22,Projects!$A$9,'M&amp;E'!$E$5:$E$22,3))*(((SUMPRODUCT((Labor!$G$6:$G$25=Projects!$A$9)*(Labor!$E$6:$E$25="Prime")*N(Labor!$S$6:$S$25))*(1+Rates!$B$6)*(1+Rates!$B$7)+SUMPRODUCT((Labor!$G$6:$G$25=Projects!$A$9)*(Labor!$E$6:$E$25="Sub")*N(Labor!$S$6:$S$25)))+SUMIFS(ODCs!$F$5:$F$22,ODCs!$D$5:$D$22,Projects!$A$9,ODCs!$E$5:$E$22,3)+SUMIFS(Travel!$F$5:$F$22,Travel!$D$5:$D$22,Projects!$A$9,Travel!$E$5:$E$22,3)+SUMIFS('M&amp;E'!$F$5:$F$22,'M&amp;E'!$D$5:$D$22,Projects!$A$9,'M&amp;E'!$E$5:$E$22,3))*Rates!$B$8),0))*Rates!$C$20+((SUMIFS('M&amp;E'!$F$5:$F$22,'M&amp;E'!$D$5:$D$22,Projects!$A$9,'M&amp;E'!$E$5:$E$22,3))+IFERROR((SUMIFS('M&amp;E'!$F$5:$F$22,'M&amp;E'!$D$5:$D$22,Projects!$A$9,'M&amp;E'!$E$5:$E$22,3))/((SUMPRODUCT((Labor!$G$6:$G$25=Projects!$A$9)*(Labor!$E$6:$E$25="Prime")*N(Labor!$S$6:$S$25))*(1+Rates!$B$6)*(1+Rates!$B$7)+SUMPRODUCT((Labor!$G$6:$G$25=Projects!$A$9)*(Labor!$E$6:$E$25="Sub")*N(Labor!$S$6:$S$25)))+SUMIFS(ODCs!$F$5:$F$22,ODCs!$D$5:$D$22,Projects!$A$9,ODCs!$E$5:$E$22,3)+SUMIFS(Travel!$F$5:$F$22,Travel!$D$5:$D$22,Projects!$A$9,Travel!$E$5:$E$22,3)+SUMIFS('M&amp;E'!$F$5:$F$22,'M&amp;E'!$D$5:$D$22,Projects!$A$9,'M&amp;E'!$E$5:$E$22,3))*(((SUMPRODUCT((Labor!$G$6:$G$25=Projects!$A$9)*(Labor!$E$6:$E$25="Prime")*N(Labor!$S$6:$S$25))*(1+Rates!$B$6)*(1+Rates!$B$7)+SUMPRODUCT((Labor!$G$6:$G$25=Projects!$A$9)*(Labor!$E$6:$E$25="Sub")*N(Labor!$S$6:$S$25)))+SUMIFS(ODCs!$F$5:$F$22,ODCs!$D$5:$D$22,Projects!$A$9,ODCs!$E$5:$E$22,3)+SUMIFS(Travel!$F$5:$F$22,Travel!$D$5:$D$22,Projects!$A$9,Travel!$E$5:$E$22,3)+SUMIFS('M&amp;E'!$F$5:$F$22,'M&amp;E'!$D$5:$D$22,Projects!$A$9,'M&amp;E'!$E$5:$E$22,3))*Rates!$B$8),0))*Rates!$C$21))</f>
        <v/>
      </c>
      <c r="E35" s="132">
        <f>IF(Projects!$A$9="","",(((SUMPRODUCT((Labor!$G$6:$G$25=Projects!$A$9)*(Labor!$E$6:$E$25="Prime")*N(Labor!$W$6:$W$25))*(1+Rates!$B$6)*(1+Rates!$B$7)+SUMPRODUCT((Labor!$G$6:$G$25=Projects!$A$9)*(Labor!$E$6:$E$25="Sub")*N(Labor!$W$6:$W$25)))+SUMIFS(ODCs!$F$5:$F$22,ODCs!$D$5:$D$22,Projects!$A$9,ODCs!$E$5:$E$22,4)+SUMIFS(Travel!$F$5:$F$22,Travel!$D$5:$D$22,Projects!$A$9,Travel!$E$5:$E$22,4)+SUMIFS('M&amp;E'!$F$5:$F$22,'M&amp;E'!$D$5:$D$22,Projects!$A$9,'M&amp;E'!$E$5:$E$22,4))+(((SUMPRODUCT((Labor!$G$6:$G$25=Projects!$A$9)*(Labor!$E$6:$E$25="Prime")*N(Labor!$W$6:$W$25))*(1+Rates!$B$6)*(1+Rates!$B$7)+SUMPRODUCT((Labor!$G$6:$G$25=Projects!$A$9)*(Labor!$E$6:$E$25="Sub")*N(Labor!$W$6:$W$25)))+SUMIFS(ODCs!$F$5:$F$22,ODCs!$D$5:$D$22,Projects!$A$9,ODCs!$E$5:$E$22,4)+SUMIFS(Travel!$F$5:$F$22,Travel!$D$5:$D$22,Projects!$A$9,Travel!$E$5:$E$22,4)+SUMIFS('M&amp;E'!$F$5:$F$22,'M&amp;E'!$D$5:$D$22,Projects!$A$9,'M&amp;E'!$E$5:$E$22,4))*Rates!$B$8))+((((SUMPRODUCT((Labor!$G$6:$G$25=Projects!$A$9)*(Labor!$E$6:$E$25="Prime")*N(Labor!$W$6:$W$25))*(1+Rates!$B$6)*(1+Rates!$B$7)+SUMPRODUCT((Labor!$G$6:$G$25=Projects!$A$9)*(Labor!$E$6:$E$25="Sub")*N(Labor!$W$6:$W$25))))+IFERROR(((SUMPRODUCT((Labor!$G$6:$G$25=Projects!$A$9)*(Labor!$E$6:$E$25="Prime")*N(Labor!$W$6:$W$25))*(1+Rates!$B$6)*(1+Rates!$B$7)+SUMPRODUCT((Labor!$G$6:$G$25=Projects!$A$9)*(Labor!$E$6:$E$25="Sub")*N(Labor!$W$6:$W$25))))/((SUMPRODUCT((Labor!$G$6:$G$25=Projects!$A$9)*(Labor!$E$6:$E$25="Prime")*N(Labor!$W$6:$W$25))*(1+Rates!$B$6)*(1+Rates!$B$7)+SUMPRODUCT((Labor!$G$6:$G$25=Projects!$A$9)*(Labor!$E$6:$E$25="Sub")*N(Labor!$W$6:$W$25)))+SUMIFS(ODCs!$F$5:$F$22,ODCs!$D$5:$D$22,Projects!$A$9,ODCs!$E$5:$E$22,4)+SUMIFS(Travel!$F$5:$F$22,Travel!$D$5:$D$22,Projects!$A$9,Travel!$E$5:$E$22,4)+SUMIFS('M&amp;E'!$F$5:$F$22,'M&amp;E'!$D$5:$D$22,Projects!$A$9,'M&amp;E'!$E$5:$E$22,4))*(((SUMPRODUCT((Labor!$G$6:$G$25=Projects!$A$9)*(Labor!$E$6:$E$25="Prime")*N(Labor!$W$6:$W$25))*(1+Rates!$B$6)*(1+Rates!$B$7)+SUMPRODUCT((Labor!$G$6:$G$25=Projects!$A$9)*(Labor!$E$6:$E$25="Sub")*N(Labor!$W$6:$W$25)))+SUMIFS(ODCs!$F$5:$F$22,ODCs!$D$5:$D$22,Projects!$A$9,ODCs!$E$5:$E$22,4)+SUMIFS(Travel!$F$5:$F$22,Travel!$D$5:$D$22,Projects!$A$9,Travel!$E$5:$E$22,4)+SUMIFS('M&amp;E'!$F$5:$F$22,'M&amp;E'!$D$5:$D$22,Projects!$A$9,'M&amp;E'!$E$5:$E$22,4))*Rates!$B$8),0))*Rates!$C$18+((SUMIFS(Travel!$F$5:$F$22,Travel!$D$5:$D$22,Projects!$A$9,Travel!$E$5:$E$22,4))+IFERROR((SUMIFS(Travel!$F$5:$F$22,Travel!$D$5:$D$22,Projects!$A$9,Travel!$E$5:$E$22,4))/((SUMPRODUCT((Labor!$G$6:$G$25=Projects!$A$9)*(Labor!$E$6:$E$25="Prime")*N(Labor!$W$6:$W$25))*(1+Rates!$B$6)*(1+Rates!$B$7)+SUMPRODUCT((Labor!$G$6:$G$25=Projects!$A$9)*(Labor!$E$6:$E$25="Sub")*N(Labor!$W$6:$W$25)))+SUMIFS(ODCs!$F$5:$F$22,ODCs!$D$5:$D$22,Projects!$A$9,ODCs!$E$5:$E$22,4)+SUMIFS(Travel!$F$5:$F$22,Travel!$D$5:$D$22,Projects!$A$9,Travel!$E$5:$E$22,4)+SUMIFS('M&amp;E'!$F$5:$F$22,'M&amp;E'!$D$5:$D$22,Projects!$A$9,'M&amp;E'!$E$5:$E$22,4))*(((SUMPRODUCT((Labor!$G$6:$G$25=Projects!$A$9)*(Labor!$E$6:$E$25="Prime")*N(Labor!$W$6:$W$25))*(1+Rates!$B$6)*(1+Rates!$B$7)+SUMPRODUCT((Labor!$G$6:$G$25=Projects!$A$9)*(Labor!$E$6:$E$25="Sub")*N(Labor!$W$6:$W$25)))+SUMIFS(ODCs!$F$5:$F$22,ODCs!$D$5:$D$22,Projects!$A$9,ODCs!$E$5:$E$22,4)+SUMIFS(Travel!$F$5:$F$22,Travel!$D$5:$D$22,Projects!$A$9,Travel!$E$5:$E$22,4)+SUMIFS('M&amp;E'!$F$5:$F$22,'M&amp;E'!$D$5:$D$22,Projects!$A$9,'M&amp;E'!$E$5:$E$22,4))*Rates!$B$8),0))*Rates!$C$19+((SUMIFS(ODCs!$F$5:$F$22,ODCs!$D$5:$D$22,Projects!$A$9,ODCs!$E$5:$E$22,4))+IFERROR((SUMIFS(ODCs!$F$5:$F$22,ODCs!$D$5:$D$22,Projects!$A$9,ODCs!$E$5:$E$22,4))/((SUMPRODUCT((Labor!$G$6:$G$25=Projects!$A$9)*(Labor!$E$6:$E$25="Prime")*N(Labor!$W$6:$W$25))*(1+Rates!$B$6)*(1+Rates!$B$7)+SUMPRODUCT((Labor!$G$6:$G$25=Projects!$A$9)*(Labor!$E$6:$E$25="Sub")*N(Labor!$W$6:$W$25)))+SUMIFS(ODCs!$F$5:$F$22,ODCs!$D$5:$D$22,Projects!$A$9,ODCs!$E$5:$E$22,4)+SUMIFS(Travel!$F$5:$F$22,Travel!$D$5:$D$22,Projects!$A$9,Travel!$E$5:$E$22,4)+SUMIFS('M&amp;E'!$F$5:$F$22,'M&amp;E'!$D$5:$D$22,Projects!$A$9,'M&amp;E'!$E$5:$E$22,4))*(((SUMPRODUCT((Labor!$G$6:$G$25=Projects!$A$9)*(Labor!$E$6:$E$25="Prime")*N(Labor!$W$6:$W$25))*(1+Rates!$B$6)*(1+Rates!$B$7)+SUMPRODUCT((Labor!$G$6:$G$25=Projects!$A$9)*(Labor!$E$6:$E$25="Sub")*N(Labor!$W$6:$W$25)))+SUMIFS(ODCs!$F$5:$F$22,ODCs!$D$5:$D$22,Projects!$A$9,ODCs!$E$5:$E$22,4)+SUMIFS(Travel!$F$5:$F$22,Travel!$D$5:$D$22,Projects!$A$9,Travel!$E$5:$E$22,4)+SUMIFS('M&amp;E'!$F$5:$F$22,'M&amp;E'!$D$5:$D$22,Projects!$A$9,'M&amp;E'!$E$5:$E$22,4))*Rates!$B$8),0))*Rates!$C$20+((SUMIFS('M&amp;E'!$F$5:$F$22,'M&amp;E'!$D$5:$D$22,Projects!$A$9,'M&amp;E'!$E$5:$E$22,4))+IFERROR((SUMIFS('M&amp;E'!$F$5:$F$22,'M&amp;E'!$D$5:$D$22,Projects!$A$9,'M&amp;E'!$E$5:$E$22,4))/((SUMPRODUCT((Labor!$G$6:$G$25=Projects!$A$9)*(Labor!$E$6:$E$25="Prime")*N(Labor!$W$6:$W$25))*(1+Rates!$B$6)*(1+Rates!$B$7)+SUMPRODUCT((Labor!$G$6:$G$25=Projects!$A$9)*(Labor!$E$6:$E$25="Sub")*N(Labor!$W$6:$W$25)))+SUMIFS(ODCs!$F$5:$F$22,ODCs!$D$5:$D$22,Projects!$A$9,ODCs!$E$5:$E$22,4)+SUMIFS(Travel!$F$5:$F$22,Travel!$D$5:$D$22,Projects!$A$9,Travel!$E$5:$E$22,4)+SUMIFS('M&amp;E'!$F$5:$F$22,'M&amp;E'!$D$5:$D$22,Projects!$A$9,'M&amp;E'!$E$5:$E$22,4))*(((SUMPRODUCT((Labor!$G$6:$G$25=Projects!$A$9)*(Labor!$E$6:$E$25="Prime")*N(Labor!$W$6:$W$25))*(1+Rates!$B$6)*(1+Rates!$B$7)+SUMPRODUCT((Labor!$G$6:$G$25=Projects!$A$9)*(Labor!$E$6:$E$25="Sub")*N(Labor!$W$6:$W$25)))+SUMIFS(ODCs!$F$5:$F$22,ODCs!$D$5:$D$22,Projects!$A$9,ODCs!$E$5:$E$22,4)+SUMIFS(Travel!$F$5:$F$22,Travel!$D$5:$D$22,Projects!$A$9,Travel!$E$5:$E$22,4)+SUMIFS('M&amp;E'!$F$5:$F$22,'M&amp;E'!$D$5:$D$22,Projects!$A$9,'M&amp;E'!$E$5:$E$22,4))*Rates!$B$8),0))*Rates!$C$21))</f>
        <v/>
      </c>
      <c r="F35" s="132">
        <f>IF(Projects!$A$9="","",(((SUMPRODUCT((Labor!$G$6:$G$25=Projects!$A$9)*(Labor!$E$6:$E$25="Prime")*N(Labor!$AA$6:$AA$25))*(1+Rates!$B$6)*(1+Rates!$B$7)+SUMPRODUCT((Labor!$G$6:$G$25=Projects!$A$9)*(Labor!$E$6:$E$25="Sub")*N(Labor!$AA$6:$AA$25)))+SUMIFS(ODCs!$F$5:$F$22,ODCs!$D$5:$D$22,Projects!$A$9,ODCs!$E$5:$E$22,5)+SUMIFS(Travel!$F$5:$F$22,Travel!$D$5:$D$22,Projects!$A$9,Travel!$E$5:$E$22,5)+SUMIFS('M&amp;E'!$F$5:$F$22,'M&amp;E'!$D$5:$D$22,Projects!$A$9,'M&amp;E'!$E$5:$E$22,5))+(((SUMPRODUCT((Labor!$G$6:$G$25=Projects!$A$9)*(Labor!$E$6:$E$25="Prime")*N(Labor!$AA$6:$AA$25))*(1+Rates!$B$6)*(1+Rates!$B$7)+SUMPRODUCT((Labor!$G$6:$G$25=Projects!$A$9)*(Labor!$E$6:$E$25="Sub")*N(Labor!$AA$6:$AA$25)))+SUMIFS(ODCs!$F$5:$F$22,ODCs!$D$5:$D$22,Projects!$A$9,ODCs!$E$5:$E$22,5)+SUMIFS(Travel!$F$5:$F$22,Travel!$D$5:$D$22,Projects!$A$9,Travel!$E$5:$E$22,5)+SUMIFS('M&amp;E'!$F$5:$F$22,'M&amp;E'!$D$5:$D$22,Projects!$A$9,'M&amp;E'!$E$5:$E$22,5))*Rates!$B$8))+((((SUMPRODUCT((Labor!$G$6:$G$25=Projects!$A$9)*(Labor!$E$6:$E$25="Prime")*N(Labor!$AA$6:$AA$25))*(1+Rates!$B$6)*(1+Rates!$B$7)+SUMPRODUCT((Labor!$G$6:$G$25=Projects!$A$9)*(Labor!$E$6:$E$25="Sub")*N(Labor!$AA$6:$AA$25))))+IFERROR(((SUMPRODUCT((Labor!$G$6:$G$25=Projects!$A$9)*(Labor!$E$6:$E$25="Prime")*N(Labor!$AA$6:$AA$25))*(1+Rates!$B$6)*(1+Rates!$B$7)+SUMPRODUCT((Labor!$G$6:$G$25=Projects!$A$9)*(Labor!$E$6:$E$25="Sub")*N(Labor!$AA$6:$AA$25))))/((SUMPRODUCT((Labor!$G$6:$G$25=Projects!$A$9)*(Labor!$E$6:$E$25="Prime")*N(Labor!$AA$6:$AA$25))*(1+Rates!$B$6)*(1+Rates!$B$7)+SUMPRODUCT((Labor!$G$6:$G$25=Projects!$A$9)*(Labor!$E$6:$E$25="Sub")*N(Labor!$AA$6:$AA$25)))+SUMIFS(ODCs!$F$5:$F$22,ODCs!$D$5:$D$22,Projects!$A$9,ODCs!$E$5:$E$22,5)+SUMIFS(Travel!$F$5:$F$22,Travel!$D$5:$D$22,Projects!$A$9,Travel!$E$5:$E$22,5)+SUMIFS('M&amp;E'!$F$5:$F$22,'M&amp;E'!$D$5:$D$22,Projects!$A$9,'M&amp;E'!$E$5:$E$22,5))*(((SUMPRODUCT((Labor!$G$6:$G$25=Projects!$A$9)*(Labor!$E$6:$E$25="Prime")*N(Labor!$AA$6:$AA$25))*(1+Rates!$B$6)*(1+Rates!$B$7)+SUMPRODUCT((Labor!$G$6:$G$25=Projects!$A$9)*(Labor!$E$6:$E$25="Sub")*N(Labor!$AA$6:$AA$25)))+SUMIFS(ODCs!$F$5:$F$22,ODCs!$D$5:$D$22,Projects!$A$9,ODCs!$E$5:$E$22,5)+SUMIFS(Travel!$F$5:$F$22,Travel!$D$5:$D$22,Projects!$A$9,Travel!$E$5:$E$22,5)+SUMIFS('M&amp;E'!$F$5:$F$22,'M&amp;E'!$D$5:$D$22,Projects!$A$9,'M&amp;E'!$E$5:$E$22,5))*Rates!$B$8),0))*Rates!$C$18+((SUMIFS(Travel!$F$5:$F$22,Travel!$D$5:$D$22,Projects!$A$9,Travel!$E$5:$E$22,5))+IFERROR((SUMIFS(Travel!$F$5:$F$22,Travel!$D$5:$D$22,Projects!$A$9,Travel!$E$5:$E$22,5))/((SUMPRODUCT((Labor!$G$6:$G$25=Projects!$A$9)*(Labor!$E$6:$E$25="Prime")*N(Labor!$AA$6:$AA$25))*(1+Rates!$B$6)*(1+Rates!$B$7)+SUMPRODUCT((Labor!$G$6:$G$25=Projects!$A$9)*(Labor!$E$6:$E$25="Sub")*N(Labor!$AA$6:$AA$25)))+SUMIFS(ODCs!$F$5:$F$22,ODCs!$D$5:$D$22,Projects!$A$9,ODCs!$E$5:$E$22,5)+SUMIFS(Travel!$F$5:$F$22,Travel!$D$5:$D$22,Projects!$A$9,Travel!$E$5:$E$22,5)+SUMIFS('M&amp;E'!$F$5:$F$22,'M&amp;E'!$D$5:$D$22,Projects!$A$9,'M&amp;E'!$E$5:$E$22,5))*(((SUMPRODUCT((Labor!$G$6:$G$25=Projects!$A$9)*(Labor!$E$6:$E$25="Prime")*N(Labor!$AA$6:$AA$25))*(1+Rates!$B$6)*(1+Rates!$B$7)+SUMPRODUCT((Labor!$G$6:$G$25=Projects!$A$9)*(Labor!$E$6:$E$25="Sub")*N(Labor!$AA$6:$AA$25)))+SUMIFS(ODCs!$F$5:$F$22,ODCs!$D$5:$D$22,Projects!$A$9,ODCs!$E$5:$E$22,5)+SUMIFS(Travel!$F$5:$F$22,Travel!$D$5:$D$22,Projects!$A$9,Travel!$E$5:$E$22,5)+SUMIFS('M&amp;E'!$F$5:$F$22,'M&amp;E'!$D$5:$D$22,Projects!$A$9,'M&amp;E'!$E$5:$E$22,5))*Rates!$B$8),0))*Rates!$C$19+((SUMIFS(ODCs!$F$5:$F$22,ODCs!$D$5:$D$22,Projects!$A$9,ODCs!$E$5:$E$22,5))+IFERROR((SUMIFS(ODCs!$F$5:$F$22,ODCs!$D$5:$D$22,Projects!$A$9,ODCs!$E$5:$E$22,5))/((SUMPRODUCT((Labor!$G$6:$G$25=Projects!$A$9)*(Labor!$E$6:$E$25="Prime")*N(Labor!$AA$6:$AA$25))*(1+Rates!$B$6)*(1+Rates!$B$7)+SUMPRODUCT((Labor!$G$6:$G$25=Projects!$A$9)*(Labor!$E$6:$E$25="Sub")*N(Labor!$AA$6:$AA$25)))+SUMIFS(ODCs!$F$5:$F$22,ODCs!$D$5:$D$22,Projects!$A$9,ODCs!$E$5:$E$22,5)+SUMIFS(Travel!$F$5:$F$22,Travel!$D$5:$D$22,Projects!$A$9,Travel!$E$5:$E$22,5)+SUMIFS('M&amp;E'!$F$5:$F$22,'M&amp;E'!$D$5:$D$22,Projects!$A$9,'M&amp;E'!$E$5:$E$22,5))*(((SUMPRODUCT((Labor!$G$6:$G$25=Projects!$A$9)*(Labor!$E$6:$E$25="Prime")*N(Labor!$AA$6:$AA$25))*(1+Rates!$B$6)*(1+Rates!$B$7)+SUMPRODUCT((Labor!$G$6:$G$25=Projects!$A$9)*(Labor!$E$6:$E$25="Sub")*N(Labor!$AA$6:$AA$25)))+SUMIFS(ODCs!$F$5:$F$22,ODCs!$D$5:$D$22,Projects!$A$9,ODCs!$E$5:$E$22,5)+SUMIFS(Travel!$F$5:$F$22,Travel!$D$5:$D$22,Projects!$A$9,Travel!$E$5:$E$22,5)+SUMIFS('M&amp;E'!$F$5:$F$22,'M&amp;E'!$D$5:$D$22,Projects!$A$9,'M&amp;E'!$E$5:$E$22,5))*Rates!$B$8),0))*Rates!$C$20+((SUMIFS('M&amp;E'!$F$5:$F$22,'M&amp;E'!$D$5:$D$22,Projects!$A$9,'M&amp;E'!$E$5:$E$22,5))+IFERROR((SUMIFS('M&amp;E'!$F$5:$F$22,'M&amp;E'!$D$5:$D$22,Projects!$A$9,'M&amp;E'!$E$5:$E$22,5))/((SUMPRODUCT((Labor!$G$6:$G$25=Projects!$A$9)*(Labor!$E$6:$E$25="Prime")*N(Labor!$AA$6:$AA$25))*(1+Rates!$B$6)*(1+Rates!$B$7)+SUMPRODUCT((Labor!$G$6:$G$25=Projects!$A$9)*(Labor!$E$6:$E$25="Sub")*N(Labor!$AA$6:$AA$25)))+SUMIFS(ODCs!$F$5:$F$22,ODCs!$D$5:$D$22,Projects!$A$9,ODCs!$E$5:$E$22,5)+SUMIFS(Travel!$F$5:$F$22,Travel!$D$5:$D$22,Projects!$A$9,Travel!$E$5:$E$22,5)+SUMIFS('M&amp;E'!$F$5:$F$22,'M&amp;E'!$D$5:$D$22,Projects!$A$9,'M&amp;E'!$E$5:$E$22,5))*(((SUMPRODUCT((Labor!$G$6:$G$25=Projects!$A$9)*(Labor!$E$6:$E$25="Prime")*N(Labor!$AA$6:$AA$25))*(1+Rates!$B$6)*(1+Rates!$B$7)+SUMPRODUCT((Labor!$G$6:$G$25=Projects!$A$9)*(Labor!$E$6:$E$25="Sub")*N(Labor!$AA$6:$AA$25)))+SUMIFS(ODCs!$F$5:$F$22,ODCs!$D$5:$D$22,Projects!$A$9,ODCs!$E$5:$E$22,5)+SUMIFS(Travel!$F$5:$F$22,Travel!$D$5:$D$22,Projects!$A$9,Travel!$E$5:$E$22,5)+SUMIFS('M&amp;E'!$F$5:$F$22,'M&amp;E'!$D$5:$D$22,Projects!$A$9,'M&amp;E'!$E$5:$E$22,5))*Rates!$B$8),0))*Rates!$C$21))</f>
        <v/>
      </c>
      <c r="G35" s="132">
        <f>IF(Projects!$A$9="","",(((SUMPRODUCT((Labor!$G$6:$G$25=Projects!$A$9)*(Labor!$E$6:$E$25="Prime")*N(Labor!$AE$6:$AE$25))*(1+Rates!$B$6)*(1+Rates!$B$7)+SUMPRODUCT((Labor!$G$6:$G$25=Projects!$A$9)*(Labor!$E$6:$E$25="Sub")*N(Labor!$AE$6:$AE$25)))+SUMIFS(ODCs!$F$5:$F$22,ODCs!$D$5:$D$22,Projects!$A$9,ODCs!$E$5:$E$22,6)+SUMIFS(Travel!$F$5:$F$22,Travel!$D$5:$D$22,Projects!$A$9,Travel!$E$5:$E$22,6)+SUMIFS('M&amp;E'!$F$5:$F$22,'M&amp;E'!$D$5:$D$22,Projects!$A$9,'M&amp;E'!$E$5:$E$22,6))+(((SUMPRODUCT((Labor!$G$6:$G$25=Projects!$A$9)*(Labor!$E$6:$E$25="Prime")*N(Labor!$AE$6:$AE$25))*(1+Rates!$B$6)*(1+Rates!$B$7)+SUMPRODUCT((Labor!$G$6:$G$25=Projects!$A$9)*(Labor!$E$6:$E$25="Sub")*N(Labor!$AE$6:$AE$25)))+SUMIFS(ODCs!$F$5:$F$22,ODCs!$D$5:$D$22,Projects!$A$9,ODCs!$E$5:$E$22,6)+SUMIFS(Travel!$F$5:$F$22,Travel!$D$5:$D$22,Projects!$A$9,Travel!$E$5:$E$22,6)+SUMIFS('M&amp;E'!$F$5:$F$22,'M&amp;E'!$D$5:$D$22,Projects!$A$9,'M&amp;E'!$E$5:$E$22,6))*Rates!$B$8))+((((SUMPRODUCT((Labor!$G$6:$G$25=Projects!$A$9)*(Labor!$E$6:$E$25="Prime")*N(Labor!$AE$6:$AE$25))*(1+Rates!$B$6)*(1+Rates!$B$7)+SUMPRODUCT((Labor!$G$6:$G$25=Projects!$A$9)*(Labor!$E$6:$E$25="Sub")*N(Labor!$AE$6:$AE$25))))+IFERROR(((SUMPRODUCT((Labor!$G$6:$G$25=Projects!$A$9)*(Labor!$E$6:$E$25="Prime")*N(Labor!$AE$6:$AE$25))*(1+Rates!$B$6)*(1+Rates!$B$7)+SUMPRODUCT((Labor!$G$6:$G$25=Projects!$A$9)*(Labor!$E$6:$E$25="Sub")*N(Labor!$AE$6:$AE$25))))/((SUMPRODUCT((Labor!$G$6:$G$25=Projects!$A$9)*(Labor!$E$6:$E$25="Prime")*N(Labor!$AE$6:$AE$25))*(1+Rates!$B$6)*(1+Rates!$B$7)+SUMPRODUCT((Labor!$G$6:$G$25=Projects!$A$9)*(Labor!$E$6:$E$25="Sub")*N(Labor!$AE$6:$AE$25)))+SUMIFS(ODCs!$F$5:$F$22,ODCs!$D$5:$D$22,Projects!$A$9,ODCs!$E$5:$E$22,6)+SUMIFS(Travel!$F$5:$F$22,Travel!$D$5:$D$22,Projects!$A$9,Travel!$E$5:$E$22,6)+SUMIFS('M&amp;E'!$F$5:$F$22,'M&amp;E'!$D$5:$D$22,Projects!$A$9,'M&amp;E'!$E$5:$E$22,6))*(((SUMPRODUCT((Labor!$G$6:$G$25=Projects!$A$9)*(Labor!$E$6:$E$25="Prime")*N(Labor!$AE$6:$AE$25))*(1+Rates!$B$6)*(1+Rates!$B$7)+SUMPRODUCT((Labor!$G$6:$G$25=Projects!$A$9)*(Labor!$E$6:$E$25="Sub")*N(Labor!$AE$6:$AE$25)))+SUMIFS(ODCs!$F$5:$F$22,ODCs!$D$5:$D$22,Projects!$A$9,ODCs!$E$5:$E$22,6)+SUMIFS(Travel!$F$5:$F$22,Travel!$D$5:$D$22,Projects!$A$9,Travel!$E$5:$E$22,6)+SUMIFS('M&amp;E'!$F$5:$F$22,'M&amp;E'!$D$5:$D$22,Projects!$A$9,'M&amp;E'!$E$5:$E$22,6))*Rates!$B$8),0))*Rates!$C$18+((SUMIFS(Travel!$F$5:$F$22,Travel!$D$5:$D$22,Projects!$A$9,Travel!$E$5:$E$22,6))+IFERROR((SUMIFS(Travel!$F$5:$F$22,Travel!$D$5:$D$22,Projects!$A$9,Travel!$E$5:$E$22,6))/((SUMPRODUCT((Labor!$G$6:$G$25=Projects!$A$9)*(Labor!$E$6:$E$25="Prime")*N(Labor!$AE$6:$AE$25))*(1+Rates!$B$6)*(1+Rates!$B$7)+SUMPRODUCT((Labor!$G$6:$G$25=Projects!$A$9)*(Labor!$E$6:$E$25="Sub")*N(Labor!$AE$6:$AE$25)))+SUMIFS(ODCs!$F$5:$F$22,ODCs!$D$5:$D$22,Projects!$A$9,ODCs!$E$5:$E$22,6)+SUMIFS(Travel!$F$5:$F$22,Travel!$D$5:$D$22,Projects!$A$9,Travel!$E$5:$E$22,6)+SUMIFS('M&amp;E'!$F$5:$F$22,'M&amp;E'!$D$5:$D$22,Projects!$A$9,'M&amp;E'!$E$5:$E$22,6))*(((SUMPRODUCT((Labor!$G$6:$G$25=Projects!$A$9)*(Labor!$E$6:$E$25="Prime")*N(Labor!$AE$6:$AE$25))*(1+Rates!$B$6)*(1+Rates!$B$7)+SUMPRODUCT((Labor!$G$6:$G$25=Projects!$A$9)*(Labor!$E$6:$E$25="Sub")*N(Labor!$AE$6:$AE$25)))+SUMIFS(ODCs!$F$5:$F$22,ODCs!$D$5:$D$22,Projects!$A$9,ODCs!$E$5:$E$22,6)+SUMIFS(Travel!$F$5:$F$22,Travel!$D$5:$D$22,Projects!$A$9,Travel!$E$5:$E$22,6)+SUMIFS('M&amp;E'!$F$5:$F$22,'M&amp;E'!$D$5:$D$22,Projects!$A$9,'M&amp;E'!$E$5:$E$22,6))*Rates!$B$8),0))*Rates!$C$19+((SUMIFS(ODCs!$F$5:$F$22,ODCs!$D$5:$D$22,Projects!$A$9,ODCs!$E$5:$E$22,6))+IFERROR((SUMIFS(ODCs!$F$5:$F$22,ODCs!$D$5:$D$22,Projects!$A$9,ODCs!$E$5:$E$22,6))/((SUMPRODUCT((Labor!$G$6:$G$25=Projects!$A$9)*(Labor!$E$6:$E$25="Prime")*N(Labor!$AE$6:$AE$25))*(1+Rates!$B$6)*(1+Rates!$B$7)+SUMPRODUCT((Labor!$G$6:$G$25=Projects!$A$9)*(Labor!$E$6:$E$25="Sub")*N(Labor!$AE$6:$AE$25)))+SUMIFS(ODCs!$F$5:$F$22,ODCs!$D$5:$D$22,Projects!$A$9,ODCs!$E$5:$E$22,6)+SUMIFS(Travel!$F$5:$F$22,Travel!$D$5:$D$22,Projects!$A$9,Travel!$E$5:$E$22,6)+SUMIFS('M&amp;E'!$F$5:$F$22,'M&amp;E'!$D$5:$D$22,Projects!$A$9,'M&amp;E'!$E$5:$E$22,6))*(((SUMPRODUCT((Labor!$G$6:$G$25=Projects!$A$9)*(Labor!$E$6:$E$25="Prime")*N(Labor!$AE$6:$AE$25))*(1+Rates!$B$6)*(1+Rates!$B$7)+SUMPRODUCT((Labor!$G$6:$G$25=Projects!$A$9)*(Labor!$E$6:$E$25="Sub")*N(Labor!$AE$6:$AE$25)))+SUMIFS(ODCs!$F$5:$F$22,ODCs!$D$5:$D$22,Projects!$A$9,ODCs!$E$5:$E$22,6)+SUMIFS(Travel!$F$5:$F$22,Travel!$D$5:$D$22,Projects!$A$9,Travel!$E$5:$E$22,6)+SUMIFS('M&amp;E'!$F$5:$F$22,'M&amp;E'!$D$5:$D$22,Projects!$A$9,'M&amp;E'!$E$5:$E$22,6))*Rates!$B$8),0))*Rates!$C$20+((SUMIFS('M&amp;E'!$F$5:$F$22,'M&amp;E'!$D$5:$D$22,Projects!$A$9,'M&amp;E'!$E$5:$E$22,6))+IFERROR((SUMIFS('M&amp;E'!$F$5:$F$22,'M&amp;E'!$D$5:$D$22,Projects!$A$9,'M&amp;E'!$E$5:$E$22,6))/((SUMPRODUCT((Labor!$G$6:$G$25=Projects!$A$9)*(Labor!$E$6:$E$25="Prime")*N(Labor!$AE$6:$AE$25))*(1+Rates!$B$6)*(1+Rates!$B$7)+SUMPRODUCT((Labor!$G$6:$G$25=Projects!$A$9)*(Labor!$E$6:$E$25="Sub")*N(Labor!$AE$6:$AE$25)))+SUMIFS(ODCs!$F$5:$F$22,ODCs!$D$5:$D$22,Projects!$A$9,ODCs!$E$5:$E$22,6)+SUMIFS(Travel!$F$5:$F$22,Travel!$D$5:$D$22,Projects!$A$9,Travel!$E$5:$E$22,6)+SUMIFS('M&amp;E'!$F$5:$F$22,'M&amp;E'!$D$5:$D$22,Projects!$A$9,'M&amp;E'!$E$5:$E$22,6))*(((SUMPRODUCT((Labor!$G$6:$G$25=Projects!$A$9)*(Labor!$E$6:$E$25="Prime")*N(Labor!$AE$6:$AE$25))*(1+Rates!$B$6)*(1+Rates!$B$7)+SUMPRODUCT((Labor!$G$6:$G$25=Projects!$A$9)*(Labor!$E$6:$E$25="Sub")*N(Labor!$AE$6:$AE$25)))+SUMIFS(ODCs!$F$5:$F$22,ODCs!$D$5:$D$22,Projects!$A$9,ODCs!$E$5:$E$22,6)+SUMIFS(Travel!$F$5:$F$22,Travel!$D$5:$D$22,Projects!$A$9,Travel!$E$5:$E$22,6)+SUMIFS('M&amp;E'!$F$5:$F$22,'M&amp;E'!$D$5:$D$22,Projects!$A$9,'M&amp;E'!$E$5:$E$22,6))*Rates!$B$8),0))*Rates!$C$21))</f>
        <v/>
      </c>
      <c r="H35" s="132">
        <f>IF(Projects!$A$9="","",(((SUMPRODUCT((Labor!$G$6:$G$25=Projects!$A$9)*(Labor!$E$6:$E$25="Prime")*N(Labor!$AI$6:$AI$25))*(1+Rates!$B$6)*(1+Rates!$B$7)+SUMPRODUCT((Labor!$G$6:$G$25=Projects!$A$9)*(Labor!$E$6:$E$25="Sub")*N(Labor!$AI$6:$AI$25)))+SUMIFS(ODCs!$F$5:$F$22,ODCs!$D$5:$D$22,Projects!$A$9,ODCs!$E$5:$E$22,7)+SUMIFS(Travel!$F$5:$F$22,Travel!$D$5:$D$22,Projects!$A$9,Travel!$E$5:$E$22,7)+SUMIFS('M&amp;E'!$F$5:$F$22,'M&amp;E'!$D$5:$D$22,Projects!$A$9,'M&amp;E'!$E$5:$E$22,7))+(((SUMPRODUCT((Labor!$G$6:$G$25=Projects!$A$9)*(Labor!$E$6:$E$25="Prime")*N(Labor!$AI$6:$AI$25))*(1+Rates!$B$6)*(1+Rates!$B$7)+SUMPRODUCT((Labor!$G$6:$G$25=Projects!$A$9)*(Labor!$E$6:$E$25="Sub")*N(Labor!$AI$6:$AI$25)))+SUMIFS(ODCs!$F$5:$F$22,ODCs!$D$5:$D$22,Projects!$A$9,ODCs!$E$5:$E$22,7)+SUMIFS(Travel!$F$5:$F$22,Travel!$D$5:$D$22,Projects!$A$9,Travel!$E$5:$E$22,7)+SUMIFS('M&amp;E'!$F$5:$F$22,'M&amp;E'!$D$5:$D$22,Projects!$A$9,'M&amp;E'!$E$5:$E$22,7))*Rates!$B$8))+((((SUMPRODUCT((Labor!$G$6:$G$25=Projects!$A$9)*(Labor!$E$6:$E$25="Prime")*N(Labor!$AI$6:$AI$25))*(1+Rates!$B$6)*(1+Rates!$B$7)+SUMPRODUCT((Labor!$G$6:$G$25=Projects!$A$9)*(Labor!$E$6:$E$25="Sub")*N(Labor!$AI$6:$AI$25))))+IFERROR(((SUMPRODUCT((Labor!$G$6:$G$25=Projects!$A$9)*(Labor!$E$6:$E$25="Prime")*N(Labor!$AI$6:$AI$25))*(1+Rates!$B$6)*(1+Rates!$B$7)+SUMPRODUCT((Labor!$G$6:$G$25=Projects!$A$9)*(Labor!$E$6:$E$25="Sub")*N(Labor!$AI$6:$AI$25))))/((SUMPRODUCT((Labor!$G$6:$G$25=Projects!$A$9)*(Labor!$E$6:$E$25="Prime")*N(Labor!$AI$6:$AI$25))*(1+Rates!$B$6)*(1+Rates!$B$7)+SUMPRODUCT((Labor!$G$6:$G$25=Projects!$A$9)*(Labor!$E$6:$E$25="Sub")*N(Labor!$AI$6:$AI$25)))+SUMIFS(ODCs!$F$5:$F$22,ODCs!$D$5:$D$22,Projects!$A$9,ODCs!$E$5:$E$22,7)+SUMIFS(Travel!$F$5:$F$22,Travel!$D$5:$D$22,Projects!$A$9,Travel!$E$5:$E$22,7)+SUMIFS('M&amp;E'!$F$5:$F$22,'M&amp;E'!$D$5:$D$22,Projects!$A$9,'M&amp;E'!$E$5:$E$22,7))*(((SUMPRODUCT((Labor!$G$6:$G$25=Projects!$A$9)*(Labor!$E$6:$E$25="Prime")*N(Labor!$AI$6:$AI$25))*(1+Rates!$B$6)*(1+Rates!$B$7)+SUMPRODUCT((Labor!$G$6:$G$25=Projects!$A$9)*(Labor!$E$6:$E$25="Sub")*N(Labor!$AI$6:$AI$25)))+SUMIFS(ODCs!$F$5:$F$22,ODCs!$D$5:$D$22,Projects!$A$9,ODCs!$E$5:$E$22,7)+SUMIFS(Travel!$F$5:$F$22,Travel!$D$5:$D$22,Projects!$A$9,Travel!$E$5:$E$22,7)+SUMIFS('M&amp;E'!$F$5:$F$22,'M&amp;E'!$D$5:$D$22,Projects!$A$9,'M&amp;E'!$E$5:$E$22,7))*Rates!$B$8),0))*Rates!$C$18+((SUMIFS(Travel!$F$5:$F$22,Travel!$D$5:$D$22,Projects!$A$9,Travel!$E$5:$E$22,7))+IFERROR((SUMIFS(Travel!$F$5:$F$22,Travel!$D$5:$D$22,Projects!$A$9,Travel!$E$5:$E$22,7))/((SUMPRODUCT((Labor!$G$6:$G$25=Projects!$A$9)*(Labor!$E$6:$E$25="Prime")*N(Labor!$AI$6:$AI$25))*(1+Rates!$B$6)*(1+Rates!$B$7)+SUMPRODUCT((Labor!$G$6:$G$25=Projects!$A$9)*(Labor!$E$6:$E$25="Sub")*N(Labor!$AI$6:$AI$25)))+SUMIFS(ODCs!$F$5:$F$22,ODCs!$D$5:$D$22,Projects!$A$9,ODCs!$E$5:$E$22,7)+SUMIFS(Travel!$F$5:$F$22,Travel!$D$5:$D$22,Projects!$A$9,Travel!$E$5:$E$22,7)+SUMIFS('M&amp;E'!$F$5:$F$22,'M&amp;E'!$D$5:$D$22,Projects!$A$9,'M&amp;E'!$E$5:$E$22,7))*(((SUMPRODUCT((Labor!$G$6:$G$25=Projects!$A$9)*(Labor!$E$6:$E$25="Prime")*N(Labor!$AI$6:$AI$25))*(1+Rates!$B$6)*(1+Rates!$B$7)+SUMPRODUCT((Labor!$G$6:$G$25=Projects!$A$9)*(Labor!$E$6:$E$25="Sub")*N(Labor!$AI$6:$AI$25)))+SUMIFS(ODCs!$F$5:$F$22,ODCs!$D$5:$D$22,Projects!$A$9,ODCs!$E$5:$E$22,7)+SUMIFS(Travel!$F$5:$F$22,Travel!$D$5:$D$22,Projects!$A$9,Travel!$E$5:$E$22,7)+SUMIFS('M&amp;E'!$F$5:$F$22,'M&amp;E'!$D$5:$D$22,Projects!$A$9,'M&amp;E'!$E$5:$E$22,7))*Rates!$B$8),0))*Rates!$C$19+((SUMIFS(ODCs!$F$5:$F$22,ODCs!$D$5:$D$22,Projects!$A$9,ODCs!$E$5:$E$22,7))+IFERROR((SUMIFS(ODCs!$F$5:$F$22,ODCs!$D$5:$D$22,Projects!$A$9,ODCs!$E$5:$E$22,7))/((SUMPRODUCT((Labor!$G$6:$G$25=Projects!$A$9)*(Labor!$E$6:$E$25="Prime")*N(Labor!$AI$6:$AI$25))*(1+Rates!$B$6)*(1+Rates!$B$7)+SUMPRODUCT((Labor!$G$6:$G$25=Projects!$A$9)*(Labor!$E$6:$E$25="Sub")*N(Labor!$AI$6:$AI$25)))+SUMIFS(ODCs!$F$5:$F$22,ODCs!$D$5:$D$22,Projects!$A$9,ODCs!$E$5:$E$22,7)+SUMIFS(Travel!$F$5:$F$22,Travel!$D$5:$D$22,Projects!$A$9,Travel!$E$5:$E$22,7)+SUMIFS('M&amp;E'!$F$5:$F$22,'M&amp;E'!$D$5:$D$22,Projects!$A$9,'M&amp;E'!$E$5:$E$22,7))*(((SUMPRODUCT((Labor!$G$6:$G$25=Projects!$A$9)*(Labor!$E$6:$E$25="Prime")*N(Labor!$AI$6:$AI$25))*(1+Rates!$B$6)*(1+Rates!$B$7)+SUMPRODUCT((Labor!$G$6:$G$25=Projects!$A$9)*(Labor!$E$6:$E$25="Sub")*N(Labor!$AI$6:$AI$25)))+SUMIFS(ODCs!$F$5:$F$22,ODCs!$D$5:$D$22,Projects!$A$9,ODCs!$E$5:$E$22,7)+SUMIFS(Travel!$F$5:$F$22,Travel!$D$5:$D$22,Projects!$A$9,Travel!$E$5:$E$22,7)+SUMIFS('M&amp;E'!$F$5:$F$22,'M&amp;E'!$D$5:$D$22,Projects!$A$9,'M&amp;E'!$E$5:$E$22,7))*Rates!$B$8),0))*Rates!$C$20+((SUMIFS('M&amp;E'!$F$5:$F$22,'M&amp;E'!$D$5:$D$22,Projects!$A$9,'M&amp;E'!$E$5:$E$22,7))+IFERROR((SUMIFS('M&amp;E'!$F$5:$F$22,'M&amp;E'!$D$5:$D$22,Projects!$A$9,'M&amp;E'!$E$5:$E$22,7))/((SUMPRODUCT((Labor!$G$6:$G$25=Projects!$A$9)*(Labor!$E$6:$E$25="Prime")*N(Labor!$AI$6:$AI$25))*(1+Rates!$B$6)*(1+Rates!$B$7)+SUMPRODUCT((Labor!$G$6:$G$25=Projects!$A$9)*(Labor!$E$6:$E$25="Sub")*N(Labor!$AI$6:$AI$25)))+SUMIFS(ODCs!$F$5:$F$22,ODCs!$D$5:$D$22,Projects!$A$9,ODCs!$E$5:$E$22,7)+SUMIFS(Travel!$F$5:$F$22,Travel!$D$5:$D$22,Projects!$A$9,Travel!$E$5:$E$22,7)+SUMIFS('M&amp;E'!$F$5:$F$22,'M&amp;E'!$D$5:$D$22,Projects!$A$9,'M&amp;E'!$E$5:$E$22,7))*(((SUMPRODUCT((Labor!$G$6:$G$25=Projects!$A$9)*(Labor!$E$6:$E$25="Prime")*N(Labor!$AI$6:$AI$25))*(1+Rates!$B$6)*(1+Rates!$B$7)+SUMPRODUCT((Labor!$G$6:$G$25=Projects!$A$9)*(Labor!$E$6:$E$25="Sub")*N(Labor!$AI$6:$AI$25)))+SUMIFS(ODCs!$F$5:$F$22,ODCs!$D$5:$D$22,Projects!$A$9,ODCs!$E$5:$E$22,7)+SUMIFS(Travel!$F$5:$F$22,Travel!$D$5:$D$22,Projects!$A$9,Travel!$E$5:$E$22,7)+SUMIFS('M&amp;E'!$F$5:$F$22,'M&amp;E'!$D$5:$D$22,Projects!$A$9,'M&amp;E'!$E$5:$E$22,7))*Rates!$B$8),0))*Rates!$C$21))</f>
        <v/>
      </c>
      <c r="I35" s="132">
        <f>IF(Projects!$A$9="","",(((SUMPRODUCT((Labor!$G$6:$G$25=Projects!$A$9)*(Labor!$E$6:$E$25="Prime")*N(Labor!$AM$6:$AM$25))*(1+Rates!$B$6)*(1+Rates!$B$7)+SUMPRODUCT((Labor!$G$6:$G$25=Projects!$A$9)*(Labor!$E$6:$E$25="Sub")*N(Labor!$AM$6:$AM$25)))+SUMIFS(ODCs!$F$5:$F$22,ODCs!$D$5:$D$22,Projects!$A$9,ODCs!$E$5:$E$22,8)+SUMIFS(Travel!$F$5:$F$22,Travel!$D$5:$D$22,Projects!$A$9,Travel!$E$5:$E$22,8)+SUMIFS('M&amp;E'!$F$5:$F$22,'M&amp;E'!$D$5:$D$22,Projects!$A$9,'M&amp;E'!$E$5:$E$22,8))+(((SUMPRODUCT((Labor!$G$6:$G$25=Projects!$A$9)*(Labor!$E$6:$E$25="Prime")*N(Labor!$AM$6:$AM$25))*(1+Rates!$B$6)*(1+Rates!$B$7)+SUMPRODUCT((Labor!$G$6:$G$25=Projects!$A$9)*(Labor!$E$6:$E$25="Sub")*N(Labor!$AM$6:$AM$25)))+SUMIFS(ODCs!$F$5:$F$22,ODCs!$D$5:$D$22,Projects!$A$9,ODCs!$E$5:$E$22,8)+SUMIFS(Travel!$F$5:$F$22,Travel!$D$5:$D$22,Projects!$A$9,Travel!$E$5:$E$22,8)+SUMIFS('M&amp;E'!$F$5:$F$22,'M&amp;E'!$D$5:$D$22,Projects!$A$9,'M&amp;E'!$E$5:$E$22,8))*Rates!$B$8))+((((SUMPRODUCT((Labor!$G$6:$G$25=Projects!$A$9)*(Labor!$E$6:$E$25="Prime")*N(Labor!$AM$6:$AM$25))*(1+Rates!$B$6)*(1+Rates!$B$7)+SUMPRODUCT((Labor!$G$6:$G$25=Projects!$A$9)*(Labor!$E$6:$E$25="Sub")*N(Labor!$AM$6:$AM$25))))+IFERROR(((SUMPRODUCT((Labor!$G$6:$G$25=Projects!$A$9)*(Labor!$E$6:$E$25="Prime")*N(Labor!$AM$6:$AM$25))*(1+Rates!$B$6)*(1+Rates!$B$7)+SUMPRODUCT((Labor!$G$6:$G$25=Projects!$A$9)*(Labor!$E$6:$E$25="Sub")*N(Labor!$AM$6:$AM$25))))/((SUMPRODUCT((Labor!$G$6:$G$25=Projects!$A$9)*(Labor!$E$6:$E$25="Prime")*N(Labor!$AM$6:$AM$25))*(1+Rates!$B$6)*(1+Rates!$B$7)+SUMPRODUCT((Labor!$G$6:$G$25=Projects!$A$9)*(Labor!$E$6:$E$25="Sub")*N(Labor!$AM$6:$AM$25)))+SUMIFS(ODCs!$F$5:$F$22,ODCs!$D$5:$D$22,Projects!$A$9,ODCs!$E$5:$E$22,8)+SUMIFS(Travel!$F$5:$F$22,Travel!$D$5:$D$22,Projects!$A$9,Travel!$E$5:$E$22,8)+SUMIFS('M&amp;E'!$F$5:$F$22,'M&amp;E'!$D$5:$D$22,Projects!$A$9,'M&amp;E'!$E$5:$E$22,8))*(((SUMPRODUCT((Labor!$G$6:$G$25=Projects!$A$9)*(Labor!$E$6:$E$25="Prime")*N(Labor!$AM$6:$AM$25))*(1+Rates!$B$6)*(1+Rates!$B$7)+SUMPRODUCT((Labor!$G$6:$G$25=Projects!$A$9)*(Labor!$E$6:$E$25="Sub")*N(Labor!$AM$6:$AM$25)))+SUMIFS(ODCs!$F$5:$F$22,ODCs!$D$5:$D$22,Projects!$A$9,ODCs!$E$5:$E$22,8)+SUMIFS(Travel!$F$5:$F$22,Travel!$D$5:$D$22,Projects!$A$9,Travel!$E$5:$E$22,8)+SUMIFS('M&amp;E'!$F$5:$F$22,'M&amp;E'!$D$5:$D$22,Projects!$A$9,'M&amp;E'!$E$5:$E$22,8))*Rates!$B$8),0))*Rates!$C$18+((SUMIFS(Travel!$F$5:$F$22,Travel!$D$5:$D$22,Projects!$A$9,Travel!$E$5:$E$22,8))+IFERROR((SUMIFS(Travel!$F$5:$F$22,Travel!$D$5:$D$22,Projects!$A$9,Travel!$E$5:$E$22,8))/((SUMPRODUCT((Labor!$G$6:$G$25=Projects!$A$9)*(Labor!$E$6:$E$25="Prime")*N(Labor!$AM$6:$AM$25))*(1+Rates!$B$6)*(1+Rates!$B$7)+SUMPRODUCT((Labor!$G$6:$G$25=Projects!$A$9)*(Labor!$E$6:$E$25="Sub")*N(Labor!$AM$6:$AM$25)))+SUMIFS(ODCs!$F$5:$F$22,ODCs!$D$5:$D$22,Projects!$A$9,ODCs!$E$5:$E$22,8)+SUMIFS(Travel!$F$5:$F$22,Travel!$D$5:$D$22,Projects!$A$9,Travel!$E$5:$E$22,8)+SUMIFS('M&amp;E'!$F$5:$F$22,'M&amp;E'!$D$5:$D$22,Projects!$A$9,'M&amp;E'!$E$5:$E$22,8))*(((SUMPRODUCT((Labor!$G$6:$G$25=Projects!$A$9)*(Labor!$E$6:$E$25="Prime")*N(Labor!$AM$6:$AM$25))*(1+Rates!$B$6)*(1+Rates!$B$7)+SUMPRODUCT((Labor!$G$6:$G$25=Projects!$A$9)*(Labor!$E$6:$E$25="Sub")*N(Labor!$AM$6:$AM$25)))+SUMIFS(ODCs!$F$5:$F$22,ODCs!$D$5:$D$22,Projects!$A$9,ODCs!$E$5:$E$22,8)+SUMIFS(Travel!$F$5:$F$22,Travel!$D$5:$D$22,Projects!$A$9,Travel!$E$5:$E$22,8)+SUMIFS('M&amp;E'!$F$5:$F$22,'M&amp;E'!$D$5:$D$22,Projects!$A$9,'M&amp;E'!$E$5:$E$22,8))*Rates!$B$8),0))*Rates!$C$19+((SUMIFS(ODCs!$F$5:$F$22,ODCs!$D$5:$D$22,Projects!$A$9,ODCs!$E$5:$E$22,8))+IFERROR((SUMIFS(ODCs!$F$5:$F$22,ODCs!$D$5:$D$22,Projects!$A$9,ODCs!$E$5:$E$22,8))/((SUMPRODUCT((Labor!$G$6:$G$25=Projects!$A$9)*(Labor!$E$6:$E$25="Prime")*N(Labor!$AM$6:$AM$25))*(1+Rates!$B$6)*(1+Rates!$B$7)+SUMPRODUCT((Labor!$G$6:$G$25=Projects!$A$9)*(Labor!$E$6:$E$25="Sub")*N(Labor!$AM$6:$AM$25)))+SUMIFS(ODCs!$F$5:$F$22,ODCs!$D$5:$D$22,Projects!$A$9,ODCs!$E$5:$E$22,8)+SUMIFS(Travel!$F$5:$F$22,Travel!$D$5:$D$22,Projects!$A$9,Travel!$E$5:$E$22,8)+SUMIFS('M&amp;E'!$F$5:$F$22,'M&amp;E'!$D$5:$D$22,Projects!$A$9,'M&amp;E'!$E$5:$E$22,8))*(((SUMPRODUCT((Labor!$G$6:$G$25=Projects!$A$9)*(Labor!$E$6:$E$25="Prime")*N(Labor!$AM$6:$AM$25))*(1+Rates!$B$6)*(1+Rates!$B$7)+SUMPRODUCT((Labor!$G$6:$G$25=Projects!$A$9)*(Labor!$E$6:$E$25="Sub")*N(Labor!$AM$6:$AM$25)))+SUMIFS(ODCs!$F$5:$F$22,ODCs!$D$5:$D$22,Projects!$A$9,ODCs!$E$5:$E$22,8)+SUMIFS(Travel!$F$5:$F$22,Travel!$D$5:$D$22,Projects!$A$9,Travel!$E$5:$E$22,8)+SUMIFS('M&amp;E'!$F$5:$F$22,'M&amp;E'!$D$5:$D$22,Projects!$A$9,'M&amp;E'!$E$5:$E$22,8))*Rates!$B$8),0))*Rates!$C$20+((SUMIFS('M&amp;E'!$F$5:$F$22,'M&amp;E'!$D$5:$D$22,Projects!$A$9,'M&amp;E'!$E$5:$E$22,8))+IFERROR((SUMIFS('M&amp;E'!$F$5:$F$22,'M&amp;E'!$D$5:$D$22,Projects!$A$9,'M&amp;E'!$E$5:$E$22,8))/((SUMPRODUCT((Labor!$G$6:$G$25=Projects!$A$9)*(Labor!$E$6:$E$25="Prime")*N(Labor!$AM$6:$AM$25))*(1+Rates!$B$6)*(1+Rates!$B$7)+SUMPRODUCT((Labor!$G$6:$G$25=Projects!$A$9)*(Labor!$E$6:$E$25="Sub")*N(Labor!$AM$6:$AM$25)))+SUMIFS(ODCs!$F$5:$F$22,ODCs!$D$5:$D$22,Projects!$A$9,ODCs!$E$5:$E$22,8)+SUMIFS(Travel!$F$5:$F$22,Travel!$D$5:$D$22,Projects!$A$9,Travel!$E$5:$E$22,8)+SUMIFS('M&amp;E'!$F$5:$F$22,'M&amp;E'!$D$5:$D$22,Projects!$A$9,'M&amp;E'!$E$5:$E$22,8))*(((SUMPRODUCT((Labor!$G$6:$G$25=Projects!$A$9)*(Labor!$E$6:$E$25="Prime")*N(Labor!$AM$6:$AM$25))*(1+Rates!$B$6)*(1+Rates!$B$7)+SUMPRODUCT((Labor!$G$6:$G$25=Projects!$A$9)*(Labor!$E$6:$E$25="Sub")*N(Labor!$AM$6:$AM$25)))+SUMIFS(ODCs!$F$5:$F$22,ODCs!$D$5:$D$22,Projects!$A$9,ODCs!$E$5:$E$22,8)+SUMIFS(Travel!$F$5:$F$22,Travel!$D$5:$D$22,Projects!$A$9,Travel!$E$5:$E$22,8)+SUMIFS('M&amp;E'!$F$5:$F$22,'M&amp;E'!$D$5:$D$22,Projects!$A$9,'M&amp;E'!$E$5:$E$22,8))*Rates!$B$8),0))*Rates!$C$21))</f>
        <v/>
      </c>
      <c r="J35" s="132">
        <f>IF(Projects!$A$9="","",(((SUMPRODUCT((Labor!$G$6:$G$25=Projects!$A$9)*(Labor!$E$6:$E$25="Prime")*N(Labor!$AQ$6:$AQ$25))*(1+Rates!$B$6)*(1+Rates!$B$7)+SUMPRODUCT((Labor!$G$6:$G$25=Projects!$A$9)*(Labor!$E$6:$E$25="Sub")*N(Labor!$AQ$6:$AQ$25)))+SUMIFS(ODCs!$F$5:$F$22,ODCs!$D$5:$D$22,Projects!$A$9,ODCs!$E$5:$E$22,9)+SUMIFS(Travel!$F$5:$F$22,Travel!$D$5:$D$22,Projects!$A$9,Travel!$E$5:$E$22,9)+SUMIFS('M&amp;E'!$F$5:$F$22,'M&amp;E'!$D$5:$D$22,Projects!$A$9,'M&amp;E'!$E$5:$E$22,9))+(((SUMPRODUCT((Labor!$G$6:$G$25=Projects!$A$9)*(Labor!$E$6:$E$25="Prime")*N(Labor!$AQ$6:$AQ$25))*(1+Rates!$B$6)*(1+Rates!$B$7)+SUMPRODUCT((Labor!$G$6:$G$25=Projects!$A$9)*(Labor!$E$6:$E$25="Sub")*N(Labor!$AQ$6:$AQ$25)))+SUMIFS(ODCs!$F$5:$F$22,ODCs!$D$5:$D$22,Projects!$A$9,ODCs!$E$5:$E$22,9)+SUMIFS(Travel!$F$5:$F$22,Travel!$D$5:$D$22,Projects!$A$9,Travel!$E$5:$E$22,9)+SUMIFS('M&amp;E'!$F$5:$F$22,'M&amp;E'!$D$5:$D$22,Projects!$A$9,'M&amp;E'!$E$5:$E$22,9))*Rates!$B$8))+((((SUMPRODUCT((Labor!$G$6:$G$25=Projects!$A$9)*(Labor!$E$6:$E$25="Prime")*N(Labor!$AQ$6:$AQ$25))*(1+Rates!$B$6)*(1+Rates!$B$7)+SUMPRODUCT((Labor!$G$6:$G$25=Projects!$A$9)*(Labor!$E$6:$E$25="Sub")*N(Labor!$AQ$6:$AQ$25))))+IFERROR(((SUMPRODUCT((Labor!$G$6:$G$25=Projects!$A$9)*(Labor!$E$6:$E$25="Prime")*N(Labor!$AQ$6:$AQ$25))*(1+Rates!$B$6)*(1+Rates!$B$7)+SUMPRODUCT((Labor!$G$6:$G$25=Projects!$A$9)*(Labor!$E$6:$E$25="Sub")*N(Labor!$AQ$6:$AQ$25))))/((SUMPRODUCT((Labor!$G$6:$G$25=Projects!$A$9)*(Labor!$E$6:$E$25="Prime")*N(Labor!$AQ$6:$AQ$25))*(1+Rates!$B$6)*(1+Rates!$B$7)+SUMPRODUCT((Labor!$G$6:$G$25=Projects!$A$9)*(Labor!$E$6:$E$25="Sub")*N(Labor!$AQ$6:$AQ$25)))+SUMIFS(ODCs!$F$5:$F$22,ODCs!$D$5:$D$22,Projects!$A$9,ODCs!$E$5:$E$22,9)+SUMIFS(Travel!$F$5:$F$22,Travel!$D$5:$D$22,Projects!$A$9,Travel!$E$5:$E$22,9)+SUMIFS('M&amp;E'!$F$5:$F$22,'M&amp;E'!$D$5:$D$22,Projects!$A$9,'M&amp;E'!$E$5:$E$22,9))*(((SUMPRODUCT((Labor!$G$6:$G$25=Projects!$A$9)*(Labor!$E$6:$E$25="Prime")*N(Labor!$AQ$6:$AQ$25))*(1+Rates!$B$6)*(1+Rates!$B$7)+SUMPRODUCT((Labor!$G$6:$G$25=Projects!$A$9)*(Labor!$E$6:$E$25="Sub")*N(Labor!$AQ$6:$AQ$25)))+SUMIFS(ODCs!$F$5:$F$22,ODCs!$D$5:$D$22,Projects!$A$9,ODCs!$E$5:$E$22,9)+SUMIFS(Travel!$F$5:$F$22,Travel!$D$5:$D$22,Projects!$A$9,Travel!$E$5:$E$22,9)+SUMIFS('M&amp;E'!$F$5:$F$22,'M&amp;E'!$D$5:$D$22,Projects!$A$9,'M&amp;E'!$E$5:$E$22,9))*Rates!$B$8),0))*Rates!$C$18+((SUMIFS(Travel!$F$5:$F$22,Travel!$D$5:$D$22,Projects!$A$9,Travel!$E$5:$E$22,9))+IFERROR((SUMIFS(Travel!$F$5:$F$22,Travel!$D$5:$D$22,Projects!$A$9,Travel!$E$5:$E$22,9))/((SUMPRODUCT((Labor!$G$6:$G$25=Projects!$A$9)*(Labor!$E$6:$E$25="Prime")*N(Labor!$AQ$6:$AQ$25))*(1+Rates!$B$6)*(1+Rates!$B$7)+SUMPRODUCT((Labor!$G$6:$G$25=Projects!$A$9)*(Labor!$E$6:$E$25="Sub")*N(Labor!$AQ$6:$AQ$25)))+SUMIFS(ODCs!$F$5:$F$22,ODCs!$D$5:$D$22,Projects!$A$9,ODCs!$E$5:$E$22,9)+SUMIFS(Travel!$F$5:$F$22,Travel!$D$5:$D$22,Projects!$A$9,Travel!$E$5:$E$22,9)+SUMIFS('M&amp;E'!$F$5:$F$22,'M&amp;E'!$D$5:$D$22,Projects!$A$9,'M&amp;E'!$E$5:$E$22,9))*(((SUMPRODUCT((Labor!$G$6:$G$25=Projects!$A$9)*(Labor!$E$6:$E$25="Prime")*N(Labor!$AQ$6:$AQ$25))*(1+Rates!$B$6)*(1+Rates!$B$7)+SUMPRODUCT((Labor!$G$6:$G$25=Projects!$A$9)*(Labor!$E$6:$E$25="Sub")*N(Labor!$AQ$6:$AQ$25)))+SUMIFS(ODCs!$F$5:$F$22,ODCs!$D$5:$D$22,Projects!$A$9,ODCs!$E$5:$E$22,9)+SUMIFS(Travel!$F$5:$F$22,Travel!$D$5:$D$22,Projects!$A$9,Travel!$E$5:$E$22,9)+SUMIFS('M&amp;E'!$F$5:$F$22,'M&amp;E'!$D$5:$D$22,Projects!$A$9,'M&amp;E'!$E$5:$E$22,9))*Rates!$B$8),0))*Rates!$C$19+((SUMIFS(ODCs!$F$5:$F$22,ODCs!$D$5:$D$22,Projects!$A$9,ODCs!$E$5:$E$22,9))+IFERROR((SUMIFS(ODCs!$F$5:$F$22,ODCs!$D$5:$D$22,Projects!$A$9,ODCs!$E$5:$E$22,9))/((SUMPRODUCT((Labor!$G$6:$G$25=Projects!$A$9)*(Labor!$E$6:$E$25="Prime")*N(Labor!$AQ$6:$AQ$25))*(1+Rates!$B$6)*(1+Rates!$B$7)+SUMPRODUCT((Labor!$G$6:$G$25=Projects!$A$9)*(Labor!$E$6:$E$25="Sub")*N(Labor!$AQ$6:$AQ$25)))+SUMIFS(ODCs!$F$5:$F$22,ODCs!$D$5:$D$22,Projects!$A$9,ODCs!$E$5:$E$22,9)+SUMIFS(Travel!$F$5:$F$22,Travel!$D$5:$D$22,Projects!$A$9,Travel!$E$5:$E$22,9)+SUMIFS('M&amp;E'!$F$5:$F$22,'M&amp;E'!$D$5:$D$22,Projects!$A$9,'M&amp;E'!$E$5:$E$22,9))*(((SUMPRODUCT((Labor!$G$6:$G$25=Projects!$A$9)*(Labor!$E$6:$E$25="Prime")*N(Labor!$AQ$6:$AQ$25))*(1+Rates!$B$6)*(1+Rates!$B$7)+SUMPRODUCT((Labor!$G$6:$G$25=Projects!$A$9)*(Labor!$E$6:$E$25="Sub")*N(Labor!$AQ$6:$AQ$25)))+SUMIFS(ODCs!$F$5:$F$22,ODCs!$D$5:$D$22,Projects!$A$9,ODCs!$E$5:$E$22,9)+SUMIFS(Travel!$F$5:$F$22,Travel!$D$5:$D$22,Projects!$A$9,Travel!$E$5:$E$22,9)+SUMIFS('M&amp;E'!$F$5:$F$22,'M&amp;E'!$D$5:$D$22,Projects!$A$9,'M&amp;E'!$E$5:$E$22,9))*Rates!$B$8),0))*Rates!$C$20+((SUMIFS('M&amp;E'!$F$5:$F$22,'M&amp;E'!$D$5:$D$22,Projects!$A$9,'M&amp;E'!$E$5:$E$22,9))+IFERROR((SUMIFS('M&amp;E'!$F$5:$F$22,'M&amp;E'!$D$5:$D$22,Projects!$A$9,'M&amp;E'!$E$5:$E$22,9))/((SUMPRODUCT((Labor!$G$6:$G$25=Projects!$A$9)*(Labor!$E$6:$E$25="Prime")*N(Labor!$AQ$6:$AQ$25))*(1+Rates!$B$6)*(1+Rates!$B$7)+SUMPRODUCT((Labor!$G$6:$G$25=Projects!$A$9)*(Labor!$E$6:$E$25="Sub")*N(Labor!$AQ$6:$AQ$25)))+SUMIFS(ODCs!$F$5:$F$22,ODCs!$D$5:$D$22,Projects!$A$9,ODCs!$E$5:$E$22,9)+SUMIFS(Travel!$F$5:$F$22,Travel!$D$5:$D$22,Projects!$A$9,Travel!$E$5:$E$22,9)+SUMIFS('M&amp;E'!$F$5:$F$22,'M&amp;E'!$D$5:$D$22,Projects!$A$9,'M&amp;E'!$E$5:$E$22,9))*(((SUMPRODUCT((Labor!$G$6:$G$25=Projects!$A$9)*(Labor!$E$6:$E$25="Prime")*N(Labor!$AQ$6:$AQ$25))*(1+Rates!$B$6)*(1+Rates!$B$7)+SUMPRODUCT((Labor!$G$6:$G$25=Projects!$A$9)*(Labor!$E$6:$E$25="Sub")*N(Labor!$AQ$6:$AQ$25)))+SUMIFS(ODCs!$F$5:$F$22,ODCs!$D$5:$D$22,Projects!$A$9,ODCs!$E$5:$E$22,9)+SUMIFS(Travel!$F$5:$F$22,Travel!$D$5:$D$22,Projects!$A$9,Travel!$E$5:$E$22,9)+SUMIFS('M&amp;E'!$F$5:$F$22,'M&amp;E'!$D$5:$D$22,Projects!$A$9,'M&amp;E'!$E$5:$E$22,9))*Rates!$B$8),0))*Rates!$C$21))</f>
        <v/>
      </c>
      <c r="K35" s="132">
        <f>IF(Projects!$A$9="","",(((SUMPRODUCT((Labor!$G$6:$G$25=Projects!$A$9)*(Labor!$E$6:$E$25="Prime")*N(Labor!$AU$6:$AU$25))*(1+Rates!$B$6)*(1+Rates!$B$7)+SUMPRODUCT((Labor!$G$6:$G$25=Projects!$A$9)*(Labor!$E$6:$E$25="Sub")*N(Labor!$AU$6:$AU$25)))+SUMIFS(ODCs!$F$5:$F$22,ODCs!$D$5:$D$22,Projects!$A$9,ODCs!$E$5:$E$22,10)+SUMIFS(Travel!$F$5:$F$22,Travel!$D$5:$D$22,Projects!$A$9,Travel!$E$5:$E$22,10)+SUMIFS('M&amp;E'!$F$5:$F$22,'M&amp;E'!$D$5:$D$22,Projects!$A$9,'M&amp;E'!$E$5:$E$22,10))+(((SUMPRODUCT((Labor!$G$6:$G$25=Projects!$A$9)*(Labor!$E$6:$E$25="Prime")*N(Labor!$AU$6:$AU$25))*(1+Rates!$B$6)*(1+Rates!$B$7)+SUMPRODUCT((Labor!$G$6:$G$25=Projects!$A$9)*(Labor!$E$6:$E$25="Sub")*N(Labor!$AU$6:$AU$25)))+SUMIFS(ODCs!$F$5:$F$22,ODCs!$D$5:$D$22,Projects!$A$9,ODCs!$E$5:$E$22,10)+SUMIFS(Travel!$F$5:$F$22,Travel!$D$5:$D$22,Projects!$A$9,Travel!$E$5:$E$22,10)+SUMIFS('M&amp;E'!$F$5:$F$22,'M&amp;E'!$D$5:$D$22,Projects!$A$9,'M&amp;E'!$E$5:$E$22,10))*Rates!$B$8))+((((SUMPRODUCT((Labor!$G$6:$G$25=Projects!$A$9)*(Labor!$E$6:$E$25="Prime")*N(Labor!$AU$6:$AU$25))*(1+Rates!$B$6)*(1+Rates!$B$7)+SUMPRODUCT((Labor!$G$6:$G$25=Projects!$A$9)*(Labor!$E$6:$E$25="Sub")*N(Labor!$AU$6:$AU$25))))+IFERROR(((SUMPRODUCT((Labor!$G$6:$G$25=Projects!$A$9)*(Labor!$E$6:$E$25="Prime")*N(Labor!$AU$6:$AU$25))*(1+Rates!$B$6)*(1+Rates!$B$7)+SUMPRODUCT((Labor!$G$6:$G$25=Projects!$A$9)*(Labor!$E$6:$E$25="Sub")*N(Labor!$AU$6:$AU$25))))/((SUMPRODUCT((Labor!$G$6:$G$25=Projects!$A$9)*(Labor!$E$6:$E$25="Prime")*N(Labor!$AU$6:$AU$25))*(1+Rates!$B$6)*(1+Rates!$B$7)+SUMPRODUCT((Labor!$G$6:$G$25=Projects!$A$9)*(Labor!$E$6:$E$25="Sub")*N(Labor!$AU$6:$AU$25)))+SUMIFS(ODCs!$F$5:$F$22,ODCs!$D$5:$D$22,Projects!$A$9,ODCs!$E$5:$E$22,10)+SUMIFS(Travel!$F$5:$F$22,Travel!$D$5:$D$22,Projects!$A$9,Travel!$E$5:$E$22,10)+SUMIFS('M&amp;E'!$F$5:$F$22,'M&amp;E'!$D$5:$D$22,Projects!$A$9,'M&amp;E'!$E$5:$E$22,10))*(((SUMPRODUCT((Labor!$G$6:$G$25=Projects!$A$9)*(Labor!$E$6:$E$25="Prime")*N(Labor!$AU$6:$AU$25))*(1+Rates!$B$6)*(1+Rates!$B$7)+SUMPRODUCT((Labor!$G$6:$G$25=Projects!$A$9)*(Labor!$E$6:$E$25="Sub")*N(Labor!$AU$6:$AU$25)))+SUMIFS(ODCs!$F$5:$F$22,ODCs!$D$5:$D$22,Projects!$A$9,ODCs!$E$5:$E$22,10)+SUMIFS(Travel!$F$5:$F$22,Travel!$D$5:$D$22,Projects!$A$9,Travel!$E$5:$E$22,10)+SUMIFS('M&amp;E'!$F$5:$F$22,'M&amp;E'!$D$5:$D$22,Projects!$A$9,'M&amp;E'!$E$5:$E$22,10))*Rates!$B$8),0))*Rates!$C$18+((SUMIFS(Travel!$F$5:$F$22,Travel!$D$5:$D$22,Projects!$A$9,Travel!$E$5:$E$22,10))+IFERROR((SUMIFS(Travel!$F$5:$F$22,Travel!$D$5:$D$22,Projects!$A$9,Travel!$E$5:$E$22,10))/((SUMPRODUCT((Labor!$G$6:$G$25=Projects!$A$9)*(Labor!$E$6:$E$25="Prime")*N(Labor!$AU$6:$AU$25))*(1+Rates!$B$6)*(1+Rates!$B$7)+SUMPRODUCT((Labor!$G$6:$G$25=Projects!$A$9)*(Labor!$E$6:$E$25="Sub")*N(Labor!$AU$6:$AU$25)))+SUMIFS(ODCs!$F$5:$F$22,ODCs!$D$5:$D$22,Projects!$A$9,ODCs!$E$5:$E$22,10)+SUMIFS(Travel!$F$5:$F$22,Travel!$D$5:$D$22,Projects!$A$9,Travel!$E$5:$E$22,10)+SUMIFS('M&amp;E'!$F$5:$F$22,'M&amp;E'!$D$5:$D$22,Projects!$A$9,'M&amp;E'!$E$5:$E$22,10))*(((SUMPRODUCT((Labor!$G$6:$G$25=Projects!$A$9)*(Labor!$E$6:$E$25="Prime")*N(Labor!$AU$6:$AU$25))*(1+Rates!$B$6)*(1+Rates!$B$7)+SUMPRODUCT((Labor!$G$6:$G$25=Projects!$A$9)*(Labor!$E$6:$E$25="Sub")*N(Labor!$AU$6:$AU$25)))+SUMIFS(ODCs!$F$5:$F$22,ODCs!$D$5:$D$22,Projects!$A$9,ODCs!$E$5:$E$22,10)+SUMIFS(Travel!$F$5:$F$22,Travel!$D$5:$D$22,Projects!$A$9,Travel!$E$5:$E$22,10)+SUMIFS('M&amp;E'!$F$5:$F$22,'M&amp;E'!$D$5:$D$22,Projects!$A$9,'M&amp;E'!$E$5:$E$22,10))*Rates!$B$8),0))*Rates!$C$19+((SUMIFS(ODCs!$F$5:$F$22,ODCs!$D$5:$D$22,Projects!$A$9,ODCs!$E$5:$E$22,10))+IFERROR((SUMIFS(ODCs!$F$5:$F$22,ODCs!$D$5:$D$22,Projects!$A$9,ODCs!$E$5:$E$22,10))/((SUMPRODUCT((Labor!$G$6:$G$25=Projects!$A$9)*(Labor!$E$6:$E$25="Prime")*N(Labor!$AU$6:$AU$25))*(1+Rates!$B$6)*(1+Rates!$B$7)+SUMPRODUCT((Labor!$G$6:$G$25=Projects!$A$9)*(Labor!$E$6:$E$25="Sub")*N(Labor!$AU$6:$AU$25)))+SUMIFS(ODCs!$F$5:$F$22,ODCs!$D$5:$D$22,Projects!$A$9,ODCs!$E$5:$E$22,10)+SUMIFS(Travel!$F$5:$F$22,Travel!$D$5:$D$22,Projects!$A$9,Travel!$E$5:$E$22,10)+SUMIFS('M&amp;E'!$F$5:$F$22,'M&amp;E'!$D$5:$D$22,Projects!$A$9,'M&amp;E'!$E$5:$E$22,10))*(((SUMPRODUCT((Labor!$G$6:$G$25=Projects!$A$9)*(Labor!$E$6:$E$25="Prime")*N(Labor!$AU$6:$AU$25))*(1+Rates!$B$6)*(1+Rates!$B$7)+SUMPRODUCT((Labor!$G$6:$G$25=Projects!$A$9)*(Labor!$E$6:$E$25="Sub")*N(Labor!$AU$6:$AU$25)))+SUMIFS(ODCs!$F$5:$F$22,ODCs!$D$5:$D$22,Projects!$A$9,ODCs!$E$5:$E$22,10)+SUMIFS(Travel!$F$5:$F$22,Travel!$D$5:$D$22,Projects!$A$9,Travel!$E$5:$E$22,10)+SUMIFS('M&amp;E'!$F$5:$F$22,'M&amp;E'!$D$5:$D$22,Projects!$A$9,'M&amp;E'!$E$5:$E$22,10))*Rates!$B$8),0))*Rates!$C$20+((SUMIFS('M&amp;E'!$F$5:$F$22,'M&amp;E'!$D$5:$D$22,Projects!$A$9,'M&amp;E'!$E$5:$E$22,10))+IFERROR((SUMIFS('M&amp;E'!$F$5:$F$22,'M&amp;E'!$D$5:$D$22,Projects!$A$9,'M&amp;E'!$E$5:$E$22,10))/((SUMPRODUCT((Labor!$G$6:$G$25=Projects!$A$9)*(Labor!$E$6:$E$25="Prime")*N(Labor!$AU$6:$AU$25))*(1+Rates!$B$6)*(1+Rates!$B$7)+SUMPRODUCT((Labor!$G$6:$G$25=Projects!$A$9)*(Labor!$E$6:$E$25="Sub")*N(Labor!$AU$6:$AU$25)))+SUMIFS(ODCs!$F$5:$F$22,ODCs!$D$5:$D$22,Projects!$A$9,ODCs!$E$5:$E$22,10)+SUMIFS(Travel!$F$5:$F$22,Travel!$D$5:$D$22,Projects!$A$9,Travel!$E$5:$E$22,10)+SUMIFS('M&amp;E'!$F$5:$F$22,'M&amp;E'!$D$5:$D$22,Projects!$A$9,'M&amp;E'!$E$5:$E$22,10))*(((SUMPRODUCT((Labor!$G$6:$G$25=Projects!$A$9)*(Labor!$E$6:$E$25="Prime")*N(Labor!$AU$6:$AU$25))*(1+Rates!$B$6)*(1+Rates!$B$7)+SUMPRODUCT((Labor!$G$6:$G$25=Projects!$A$9)*(Labor!$E$6:$E$25="Sub")*N(Labor!$AU$6:$AU$25)))+SUMIFS(ODCs!$F$5:$F$22,ODCs!$D$5:$D$22,Projects!$A$9,ODCs!$E$5:$E$22,10)+SUMIFS(Travel!$F$5:$F$22,Travel!$D$5:$D$22,Projects!$A$9,Travel!$E$5:$E$22,10)+SUMIFS('M&amp;E'!$F$5:$F$22,'M&amp;E'!$D$5:$D$22,Projects!$A$9,'M&amp;E'!$E$5:$E$22,10))*Rates!$B$8),0))*Rates!$C$21))</f>
        <v/>
      </c>
      <c r="L35" s="132">
        <f>IF(Projects!$A$9="","",(((SUMPRODUCT((Labor!$G$6:$G$25=Projects!$A$9)*(Labor!$E$6:$E$25="Prime")*N(Labor!$AY$6:$AY$25))*(1+Rates!$B$6)*(1+Rates!$B$7)+SUMPRODUCT((Labor!$G$6:$G$25=Projects!$A$9)*(Labor!$E$6:$E$25="Sub")*N(Labor!$AY$6:$AY$25)))+SUMIFS(ODCs!$F$5:$F$22,ODCs!$D$5:$D$22,Projects!$A$9,ODCs!$E$5:$E$22,11)+SUMIFS(Travel!$F$5:$F$22,Travel!$D$5:$D$22,Projects!$A$9,Travel!$E$5:$E$22,11)+SUMIFS('M&amp;E'!$F$5:$F$22,'M&amp;E'!$D$5:$D$22,Projects!$A$9,'M&amp;E'!$E$5:$E$22,11))+(((SUMPRODUCT((Labor!$G$6:$G$25=Projects!$A$9)*(Labor!$E$6:$E$25="Prime")*N(Labor!$AY$6:$AY$25))*(1+Rates!$B$6)*(1+Rates!$B$7)+SUMPRODUCT((Labor!$G$6:$G$25=Projects!$A$9)*(Labor!$E$6:$E$25="Sub")*N(Labor!$AY$6:$AY$25)))+SUMIFS(ODCs!$F$5:$F$22,ODCs!$D$5:$D$22,Projects!$A$9,ODCs!$E$5:$E$22,11)+SUMIFS(Travel!$F$5:$F$22,Travel!$D$5:$D$22,Projects!$A$9,Travel!$E$5:$E$22,11)+SUMIFS('M&amp;E'!$F$5:$F$22,'M&amp;E'!$D$5:$D$22,Projects!$A$9,'M&amp;E'!$E$5:$E$22,11))*Rates!$B$8))+((((SUMPRODUCT((Labor!$G$6:$G$25=Projects!$A$9)*(Labor!$E$6:$E$25="Prime")*N(Labor!$AY$6:$AY$25))*(1+Rates!$B$6)*(1+Rates!$B$7)+SUMPRODUCT((Labor!$G$6:$G$25=Projects!$A$9)*(Labor!$E$6:$E$25="Sub")*N(Labor!$AY$6:$AY$25))))+IFERROR(((SUMPRODUCT((Labor!$G$6:$G$25=Projects!$A$9)*(Labor!$E$6:$E$25="Prime")*N(Labor!$AY$6:$AY$25))*(1+Rates!$B$6)*(1+Rates!$B$7)+SUMPRODUCT((Labor!$G$6:$G$25=Projects!$A$9)*(Labor!$E$6:$E$25="Sub")*N(Labor!$AY$6:$AY$25))))/((SUMPRODUCT((Labor!$G$6:$G$25=Projects!$A$9)*(Labor!$E$6:$E$25="Prime")*N(Labor!$AY$6:$AY$25))*(1+Rates!$B$6)*(1+Rates!$B$7)+SUMPRODUCT((Labor!$G$6:$G$25=Projects!$A$9)*(Labor!$E$6:$E$25="Sub")*N(Labor!$AY$6:$AY$25)))+SUMIFS(ODCs!$F$5:$F$22,ODCs!$D$5:$D$22,Projects!$A$9,ODCs!$E$5:$E$22,11)+SUMIFS(Travel!$F$5:$F$22,Travel!$D$5:$D$22,Projects!$A$9,Travel!$E$5:$E$22,11)+SUMIFS('M&amp;E'!$F$5:$F$22,'M&amp;E'!$D$5:$D$22,Projects!$A$9,'M&amp;E'!$E$5:$E$22,11))*(((SUMPRODUCT((Labor!$G$6:$G$25=Projects!$A$9)*(Labor!$E$6:$E$25="Prime")*N(Labor!$AY$6:$AY$25))*(1+Rates!$B$6)*(1+Rates!$B$7)+SUMPRODUCT((Labor!$G$6:$G$25=Projects!$A$9)*(Labor!$E$6:$E$25="Sub")*N(Labor!$AY$6:$AY$25)))+SUMIFS(ODCs!$F$5:$F$22,ODCs!$D$5:$D$22,Projects!$A$9,ODCs!$E$5:$E$22,11)+SUMIFS(Travel!$F$5:$F$22,Travel!$D$5:$D$22,Projects!$A$9,Travel!$E$5:$E$22,11)+SUMIFS('M&amp;E'!$F$5:$F$22,'M&amp;E'!$D$5:$D$22,Projects!$A$9,'M&amp;E'!$E$5:$E$22,11))*Rates!$B$8),0))*Rates!$C$18+((SUMIFS(Travel!$F$5:$F$22,Travel!$D$5:$D$22,Projects!$A$9,Travel!$E$5:$E$22,11))+IFERROR((SUMIFS(Travel!$F$5:$F$22,Travel!$D$5:$D$22,Projects!$A$9,Travel!$E$5:$E$22,11))/((SUMPRODUCT((Labor!$G$6:$G$25=Projects!$A$9)*(Labor!$E$6:$E$25="Prime")*N(Labor!$AY$6:$AY$25))*(1+Rates!$B$6)*(1+Rates!$B$7)+SUMPRODUCT((Labor!$G$6:$G$25=Projects!$A$9)*(Labor!$E$6:$E$25="Sub")*N(Labor!$AY$6:$AY$25)))+SUMIFS(ODCs!$F$5:$F$22,ODCs!$D$5:$D$22,Projects!$A$9,ODCs!$E$5:$E$22,11)+SUMIFS(Travel!$F$5:$F$22,Travel!$D$5:$D$22,Projects!$A$9,Travel!$E$5:$E$22,11)+SUMIFS('M&amp;E'!$F$5:$F$22,'M&amp;E'!$D$5:$D$22,Projects!$A$9,'M&amp;E'!$E$5:$E$22,11))*(((SUMPRODUCT((Labor!$G$6:$G$25=Projects!$A$9)*(Labor!$E$6:$E$25="Prime")*N(Labor!$AY$6:$AY$25))*(1+Rates!$B$6)*(1+Rates!$B$7)+SUMPRODUCT((Labor!$G$6:$G$25=Projects!$A$9)*(Labor!$E$6:$E$25="Sub")*N(Labor!$AY$6:$AY$25)))+SUMIFS(ODCs!$F$5:$F$22,ODCs!$D$5:$D$22,Projects!$A$9,ODCs!$E$5:$E$22,11)+SUMIFS(Travel!$F$5:$F$22,Travel!$D$5:$D$22,Projects!$A$9,Travel!$E$5:$E$22,11)+SUMIFS('M&amp;E'!$F$5:$F$22,'M&amp;E'!$D$5:$D$22,Projects!$A$9,'M&amp;E'!$E$5:$E$22,11))*Rates!$B$8),0))*Rates!$C$19+((SUMIFS(ODCs!$F$5:$F$22,ODCs!$D$5:$D$22,Projects!$A$9,ODCs!$E$5:$E$22,11))+IFERROR((SUMIFS(ODCs!$F$5:$F$22,ODCs!$D$5:$D$22,Projects!$A$9,ODCs!$E$5:$E$22,11))/((SUMPRODUCT((Labor!$G$6:$G$25=Projects!$A$9)*(Labor!$E$6:$E$25="Prime")*N(Labor!$AY$6:$AY$25))*(1+Rates!$B$6)*(1+Rates!$B$7)+SUMPRODUCT((Labor!$G$6:$G$25=Projects!$A$9)*(Labor!$E$6:$E$25="Sub")*N(Labor!$AY$6:$AY$25)))+SUMIFS(ODCs!$F$5:$F$22,ODCs!$D$5:$D$22,Projects!$A$9,ODCs!$E$5:$E$22,11)+SUMIFS(Travel!$F$5:$F$22,Travel!$D$5:$D$22,Projects!$A$9,Travel!$E$5:$E$22,11)+SUMIFS('M&amp;E'!$F$5:$F$22,'M&amp;E'!$D$5:$D$22,Projects!$A$9,'M&amp;E'!$E$5:$E$22,11))*(((SUMPRODUCT((Labor!$G$6:$G$25=Projects!$A$9)*(Labor!$E$6:$E$25="Prime")*N(Labor!$AY$6:$AY$25))*(1+Rates!$B$6)*(1+Rates!$B$7)+SUMPRODUCT((Labor!$G$6:$G$25=Projects!$A$9)*(Labor!$E$6:$E$25="Sub")*N(Labor!$AY$6:$AY$25)))+SUMIFS(ODCs!$F$5:$F$22,ODCs!$D$5:$D$22,Projects!$A$9,ODCs!$E$5:$E$22,11)+SUMIFS(Travel!$F$5:$F$22,Travel!$D$5:$D$22,Projects!$A$9,Travel!$E$5:$E$22,11)+SUMIFS('M&amp;E'!$F$5:$F$22,'M&amp;E'!$D$5:$D$22,Projects!$A$9,'M&amp;E'!$E$5:$E$22,11))*Rates!$B$8),0))*Rates!$C$20+((SUMIFS('M&amp;E'!$F$5:$F$22,'M&amp;E'!$D$5:$D$22,Projects!$A$9,'M&amp;E'!$E$5:$E$22,11))+IFERROR((SUMIFS('M&amp;E'!$F$5:$F$22,'M&amp;E'!$D$5:$D$22,Projects!$A$9,'M&amp;E'!$E$5:$E$22,11))/((SUMPRODUCT((Labor!$G$6:$G$25=Projects!$A$9)*(Labor!$E$6:$E$25="Prime")*N(Labor!$AY$6:$AY$25))*(1+Rates!$B$6)*(1+Rates!$B$7)+SUMPRODUCT((Labor!$G$6:$G$25=Projects!$A$9)*(Labor!$E$6:$E$25="Sub")*N(Labor!$AY$6:$AY$25)))+SUMIFS(ODCs!$F$5:$F$22,ODCs!$D$5:$D$22,Projects!$A$9,ODCs!$E$5:$E$22,11)+SUMIFS(Travel!$F$5:$F$22,Travel!$D$5:$D$22,Projects!$A$9,Travel!$E$5:$E$22,11)+SUMIFS('M&amp;E'!$F$5:$F$22,'M&amp;E'!$D$5:$D$22,Projects!$A$9,'M&amp;E'!$E$5:$E$22,11))*(((SUMPRODUCT((Labor!$G$6:$G$25=Projects!$A$9)*(Labor!$E$6:$E$25="Prime")*N(Labor!$AY$6:$AY$25))*(1+Rates!$B$6)*(1+Rates!$B$7)+SUMPRODUCT((Labor!$G$6:$G$25=Projects!$A$9)*(Labor!$E$6:$E$25="Sub")*N(Labor!$AY$6:$AY$25)))+SUMIFS(ODCs!$F$5:$F$22,ODCs!$D$5:$D$22,Projects!$A$9,ODCs!$E$5:$E$22,11)+SUMIFS(Travel!$F$5:$F$22,Travel!$D$5:$D$22,Projects!$A$9,Travel!$E$5:$E$22,11)+SUMIFS('M&amp;E'!$F$5:$F$22,'M&amp;E'!$D$5:$D$22,Projects!$A$9,'M&amp;E'!$E$5:$E$22,11))*Rates!$B$8),0))*Rates!$C$21))</f>
        <v/>
      </c>
      <c r="M35" s="132">
        <f>IF(Projects!$A$9="","",(((SUMPRODUCT((Labor!$G$6:$G$25=Projects!$A$9)*(Labor!$E$6:$E$25="Prime")*N(Labor!$BC$6:$BC$25))*(1+Rates!$B$6)*(1+Rates!$B$7)+SUMPRODUCT((Labor!$G$6:$G$25=Projects!$A$9)*(Labor!$E$6:$E$25="Sub")*N(Labor!$BC$6:$BC$25)))+SUMIFS(ODCs!$F$5:$F$22,ODCs!$D$5:$D$22,Projects!$A$9,ODCs!$E$5:$E$22,12)+SUMIFS(Travel!$F$5:$F$22,Travel!$D$5:$D$22,Projects!$A$9,Travel!$E$5:$E$22,12)+SUMIFS('M&amp;E'!$F$5:$F$22,'M&amp;E'!$D$5:$D$22,Projects!$A$9,'M&amp;E'!$E$5:$E$22,12))+(((SUMPRODUCT((Labor!$G$6:$G$25=Projects!$A$9)*(Labor!$E$6:$E$25="Prime")*N(Labor!$BC$6:$BC$25))*(1+Rates!$B$6)*(1+Rates!$B$7)+SUMPRODUCT((Labor!$G$6:$G$25=Projects!$A$9)*(Labor!$E$6:$E$25="Sub")*N(Labor!$BC$6:$BC$25)))+SUMIFS(ODCs!$F$5:$F$22,ODCs!$D$5:$D$22,Projects!$A$9,ODCs!$E$5:$E$22,12)+SUMIFS(Travel!$F$5:$F$22,Travel!$D$5:$D$22,Projects!$A$9,Travel!$E$5:$E$22,12)+SUMIFS('M&amp;E'!$F$5:$F$22,'M&amp;E'!$D$5:$D$22,Projects!$A$9,'M&amp;E'!$E$5:$E$22,12))*Rates!$B$8))+((((SUMPRODUCT((Labor!$G$6:$G$25=Projects!$A$9)*(Labor!$E$6:$E$25="Prime")*N(Labor!$BC$6:$BC$25))*(1+Rates!$B$6)*(1+Rates!$B$7)+SUMPRODUCT((Labor!$G$6:$G$25=Projects!$A$9)*(Labor!$E$6:$E$25="Sub")*N(Labor!$BC$6:$BC$25))))+IFERROR(((SUMPRODUCT((Labor!$G$6:$G$25=Projects!$A$9)*(Labor!$E$6:$E$25="Prime")*N(Labor!$BC$6:$BC$25))*(1+Rates!$B$6)*(1+Rates!$B$7)+SUMPRODUCT((Labor!$G$6:$G$25=Projects!$A$9)*(Labor!$E$6:$E$25="Sub")*N(Labor!$BC$6:$BC$25))))/((SUMPRODUCT((Labor!$G$6:$G$25=Projects!$A$9)*(Labor!$E$6:$E$25="Prime")*N(Labor!$BC$6:$BC$25))*(1+Rates!$B$6)*(1+Rates!$B$7)+SUMPRODUCT((Labor!$G$6:$G$25=Projects!$A$9)*(Labor!$E$6:$E$25="Sub")*N(Labor!$BC$6:$BC$25)))+SUMIFS(ODCs!$F$5:$F$22,ODCs!$D$5:$D$22,Projects!$A$9,ODCs!$E$5:$E$22,12)+SUMIFS(Travel!$F$5:$F$22,Travel!$D$5:$D$22,Projects!$A$9,Travel!$E$5:$E$22,12)+SUMIFS('M&amp;E'!$F$5:$F$22,'M&amp;E'!$D$5:$D$22,Projects!$A$9,'M&amp;E'!$E$5:$E$22,12))*(((SUMPRODUCT((Labor!$G$6:$G$25=Projects!$A$9)*(Labor!$E$6:$E$25="Prime")*N(Labor!$BC$6:$BC$25))*(1+Rates!$B$6)*(1+Rates!$B$7)+SUMPRODUCT((Labor!$G$6:$G$25=Projects!$A$9)*(Labor!$E$6:$E$25="Sub")*N(Labor!$BC$6:$BC$25)))+SUMIFS(ODCs!$F$5:$F$22,ODCs!$D$5:$D$22,Projects!$A$9,ODCs!$E$5:$E$22,12)+SUMIFS(Travel!$F$5:$F$22,Travel!$D$5:$D$22,Projects!$A$9,Travel!$E$5:$E$22,12)+SUMIFS('M&amp;E'!$F$5:$F$22,'M&amp;E'!$D$5:$D$22,Projects!$A$9,'M&amp;E'!$E$5:$E$22,12))*Rates!$B$8),0))*Rates!$C$18+((SUMIFS(Travel!$F$5:$F$22,Travel!$D$5:$D$22,Projects!$A$9,Travel!$E$5:$E$22,12))+IFERROR((SUMIFS(Travel!$F$5:$F$22,Travel!$D$5:$D$22,Projects!$A$9,Travel!$E$5:$E$22,12))/((SUMPRODUCT((Labor!$G$6:$G$25=Projects!$A$9)*(Labor!$E$6:$E$25="Prime")*N(Labor!$BC$6:$BC$25))*(1+Rates!$B$6)*(1+Rates!$B$7)+SUMPRODUCT((Labor!$G$6:$G$25=Projects!$A$9)*(Labor!$E$6:$E$25="Sub")*N(Labor!$BC$6:$BC$25)))+SUMIFS(ODCs!$F$5:$F$22,ODCs!$D$5:$D$22,Projects!$A$9,ODCs!$E$5:$E$22,12)+SUMIFS(Travel!$F$5:$F$22,Travel!$D$5:$D$22,Projects!$A$9,Travel!$E$5:$E$22,12)+SUMIFS('M&amp;E'!$F$5:$F$22,'M&amp;E'!$D$5:$D$22,Projects!$A$9,'M&amp;E'!$E$5:$E$22,12))*(((SUMPRODUCT((Labor!$G$6:$G$25=Projects!$A$9)*(Labor!$E$6:$E$25="Prime")*N(Labor!$BC$6:$BC$25))*(1+Rates!$B$6)*(1+Rates!$B$7)+SUMPRODUCT((Labor!$G$6:$G$25=Projects!$A$9)*(Labor!$E$6:$E$25="Sub")*N(Labor!$BC$6:$BC$25)))+SUMIFS(ODCs!$F$5:$F$22,ODCs!$D$5:$D$22,Projects!$A$9,ODCs!$E$5:$E$22,12)+SUMIFS(Travel!$F$5:$F$22,Travel!$D$5:$D$22,Projects!$A$9,Travel!$E$5:$E$22,12)+SUMIFS('M&amp;E'!$F$5:$F$22,'M&amp;E'!$D$5:$D$22,Projects!$A$9,'M&amp;E'!$E$5:$E$22,12))*Rates!$B$8),0))*Rates!$C$19+((SUMIFS(ODCs!$F$5:$F$22,ODCs!$D$5:$D$22,Projects!$A$9,ODCs!$E$5:$E$22,12))+IFERROR((SUMIFS(ODCs!$F$5:$F$22,ODCs!$D$5:$D$22,Projects!$A$9,ODCs!$E$5:$E$22,12))/((SUMPRODUCT((Labor!$G$6:$G$25=Projects!$A$9)*(Labor!$E$6:$E$25="Prime")*N(Labor!$BC$6:$BC$25))*(1+Rates!$B$6)*(1+Rates!$B$7)+SUMPRODUCT((Labor!$G$6:$G$25=Projects!$A$9)*(Labor!$E$6:$E$25="Sub")*N(Labor!$BC$6:$BC$25)))+SUMIFS(ODCs!$F$5:$F$22,ODCs!$D$5:$D$22,Projects!$A$9,ODCs!$E$5:$E$22,12)+SUMIFS(Travel!$F$5:$F$22,Travel!$D$5:$D$22,Projects!$A$9,Travel!$E$5:$E$22,12)+SUMIFS('M&amp;E'!$F$5:$F$22,'M&amp;E'!$D$5:$D$22,Projects!$A$9,'M&amp;E'!$E$5:$E$22,12))*(((SUMPRODUCT((Labor!$G$6:$G$25=Projects!$A$9)*(Labor!$E$6:$E$25="Prime")*N(Labor!$BC$6:$BC$25))*(1+Rates!$B$6)*(1+Rates!$B$7)+SUMPRODUCT((Labor!$G$6:$G$25=Projects!$A$9)*(Labor!$E$6:$E$25="Sub")*N(Labor!$BC$6:$BC$25)))+SUMIFS(ODCs!$F$5:$F$22,ODCs!$D$5:$D$22,Projects!$A$9,ODCs!$E$5:$E$22,12)+SUMIFS(Travel!$F$5:$F$22,Travel!$D$5:$D$22,Projects!$A$9,Travel!$E$5:$E$22,12)+SUMIFS('M&amp;E'!$F$5:$F$22,'M&amp;E'!$D$5:$D$22,Projects!$A$9,'M&amp;E'!$E$5:$E$22,12))*Rates!$B$8),0))*Rates!$C$20+((SUMIFS('M&amp;E'!$F$5:$F$22,'M&amp;E'!$D$5:$D$22,Projects!$A$9,'M&amp;E'!$E$5:$E$22,12))+IFERROR((SUMIFS('M&amp;E'!$F$5:$F$22,'M&amp;E'!$D$5:$D$22,Projects!$A$9,'M&amp;E'!$E$5:$E$22,12))/((SUMPRODUCT((Labor!$G$6:$G$25=Projects!$A$9)*(Labor!$E$6:$E$25="Prime")*N(Labor!$BC$6:$BC$25))*(1+Rates!$B$6)*(1+Rates!$B$7)+SUMPRODUCT((Labor!$G$6:$G$25=Projects!$A$9)*(Labor!$E$6:$E$25="Sub")*N(Labor!$BC$6:$BC$25)))+SUMIFS(ODCs!$F$5:$F$22,ODCs!$D$5:$D$22,Projects!$A$9,ODCs!$E$5:$E$22,12)+SUMIFS(Travel!$F$5:$F$22,Travel!$D$5:$D$22,Projects!$A$9,Travel!$E$5:$E$22,12)+SUMIFS('M&amp;E'!$F$5:$F$22,'M&amp;E'!$D$5:$D$22,Projects!$A$9,'M&amp;E'!$E$5:$E$22,12))*(((SUMPRODUCT((Labor!$G$6:$G$25=Projects!$A$9)*(Labor!$E$6:$E$25="Prime")*N(Labor!$BC$6:$BC$25))*(1+Rates!$B$6)*(1+Rates!$B$7)+SUMPRODUCT((Labor!$G$6:$G$25=Projects!$A$9)*(Labor!$E$6:$E$25="Sub")*N(Labor!$BC$6:$BC$25)))+SUMIFS(ODCs!$F$5:$F$22,ODCs!$D$5:$D$22,Projects!$A$9,ODCs!$E$5:$E$22,12)+SUMIFS(Travel!$F$5:$F$22,Travel!$D$5:$D$22,Projects!$A$9,Travel!$E$5:$E$22,12)+SUMIFS('M&amp;E'!$F$5:$F$22,'M&amp;E'!$D$5:$D$22,Projects!$A$9,'M&amp;E'!$E$5:$E$22,12))*Rates!$B$8),0))*Rates!$C$21))</f>
        <v/>
      </c>
      <c r="N35" s="135">
        <f>SUM(B35,C35,D35)</f>
        <v/>
      </c>
      <c r="O35" s="135">
        <f>SUM(E35,F35,G35)</f>
        <v/>
      </c>
      <c r="P35" s="135">
        <f>SUM(H35,I35,J35)</f>
        <v/>
      </c>
      <c r="Q35" s="135">
        <f>SUM(K35,L35,M35)</f>
        <v/>
      </c>
      <c r="R35" s="135">
        <f>SUM(N35,O35,P35,Q35)</f>
        <v/>
      </c>
    </row>
    <row r="36">
      <c r="A36" s="117" t="inlineStr">
        <is>
          <t>Variance $</t>
        </is>
      </c>
      <c r="B36" s="204">
        <f>IFERROR(IF(B35="","",B35-B34),0)</f>
        <v/>
      </c>
      <c r="C36" s="204">
        <f>IFERROR(IF(C35="","",C35-C34),0)</f>
        <v/>
      </c>
      <c r="D36" s="204">
        <f>IFERROR(IF(D35="","",D35-D34),0)</f>
        <v/>
      </c>
      <c r="E36" s="204">
        <f>IFERROR(IF(E35="","",E35-E34),0)</f>
        <v/>
      </c>
      <c r="F36" s="204">
        <f>IFERROR(IF(F35="","",F35-F34),0)</f>
        <v/>
      </c>
      <c r="G36" s="204">
        <f>IFERROR(IF(G35="","",G35-G34),0)</f>
        <v/>
      </c>
      <c r="H36" s="204">
        <f>IFERROR(IF(H35="","",H35-H34),0)</f>
        <v/>
      </c>
      <c r="I36" s="204">
        <f>IFERROR(IF(I35="","",I35-I34),0)</f>
        <v/>
      </c>
      <c r="J36" s="204">
        <f>IFERROR(IF(J35="","",J35-J34),0)</f>
        <v/>
      </c>
      <c r="K36" s="204">
        <f>IFERROR(IF(K35="","",K35-K34),0)</f>
        <v/>
      </c>
      <c r="L36" s="204">
        <f>IFERROR(IF(L35="","",L35-L34),0)</f>
        <v/>
      </c>
      <c r="M36" s="204">
        <f>IFERROR(IF(M35="","",M35-M34),0)</f>
        <v/>
      </c>
      <c r="N36" s="135">
        <f>SUM(B36,C36,D36)</f>
        <v/>
      </c>
      <c r="O36" s="135">
        <f>SUM(E36,F36,G36)</f>
        <v/>
      </c>
      <c r="P36" s="135">
        <f>SUM(H36,I36,J36)</f>
        <v/>
      </c>
      <c r="Q36" s="135">
        <f>SUM(K36,L36,M36)</f>
        <v/>
      </c>
      <c r="R36" s="135">
        <f>SUM(N36,O36,P36,Q36)</f>
        <v/>
      </c>
    </row>
    <row r="37">
      <c r="A37" s="117" t="inlineStr">
        <is>
          <t>Variance %</t>
        </is>
      </c>
      <c r="B37" s="205">
        <f>IFERROR(B36/B34,0)</f>
        <v/>
      </c>
      <c r="C37" s="205">
        <f>IFERROR(C36/C34,0)</f>
        <v/>
      </c>
      <c r="D37" s="205">
        <f>IFERROR(D36/D34,0)</f>
        <v/>
      </c>
      <c r="E37" s="205">
        <f>IFERROR(E36/E34,0)</f>
        <v/>
      </c>
      <c r="F37" s="205">
        <f>IFERROR(F36/F34,0)</f>
        <v/>
      </c>
      <c r="G37" s="205">
        <f>IFERROR(G36/G34,0)</f>
        <v/>
      </c>
      <c r="H37" s="205">
        <f>IFERROR(H36/H34,0)</f>
        <v/>
      </c>
      <c r="I37" s="205">
        <f>IFERROR(I36/I34,0)</f>
        <v/>
      </c>
      <c r="J37" s="205">
        <f>IFERROR(J36/J34,0)</f>
        <v/>
      </c>
      <c r="K37" s="205">
        <f>IFERROR(K36/K34,0)</f>
        <v/>
      </c>
      <c r="L37" s="205">
        <f>IFERROR(L36/L34,0)</f>
        <v/>
      </c>
      <c r="M37" s="205">
        <f>IFERROR(M36/M34,0)</f>
        <v/>
      </c>
      <c r="N37" s="140">
        <f>IFERROR(N36/N34,0)</f>
        <v/>
      </c>
      <c r="O37" s="140">
        <f>IFERROR(O36/O34,0)</f>
        <v/>
      </c>
      <c r="P37" s="140">
        <f>IFERROR(P36/P34,0)</f>
        <v/>
      </c>
      <c r="Q37" s="140">
        <f>IFERROR(Q36/Q34,0)</f>
        <v/>
      </c>
      <c r="R37" s="140">
        <f>IFERROR(R36/R34,0)</f>
        <v/>
      </c>
    </row>
    <row r="39">
      <c r="A39" s="136">
        <f>IF(Projects!$A$10="","",Projects!$A$10&amp;" — "&amp;Projects!$B$10)</f>
        <v/>
      </c>
    </row>
    <row r="40">
      <c r="A40" s="124" t="inlineStr">
        <is>
          <t>Forecasted Revenue $</t>
        </is>
      </c>
      <c r="B40" s="131" t="n">
        <v>0</v>
      </c>
      <c r="C40" s="131" t="n">
        <v>0</v>
      </c>
      <c r="D40" s="131" t="n">
        <v>0</v>
      </c>
      <c r="E40" s="131" t="n">
        <v>0</v>
      </c>
      <c r="F40" s="131" t="n">
        <v>0</v>
      </c>
      <c r="G40" s="131" t="n">
        <v>0</v>
      </c>
      <c r="H40" s="131" t="n">
        <v>0</v>
      </c>
      <c r="I40" s="131" t="n">
        <v>0</v>
      </c>
      <c r="J40" s="131" t="n">
        <v>0</v>
      </c>
      <c r="K40" s="131" t="n">
        <v>0</v>
      </c>
      <c r="L40" s="131" t="n">
        <v>0</v>
      </c>
      <c r="M40" s="131" t="n">
        <v>0</v>
      </c>
      <c r="N40" s="135">
        <f>SUM(B40,C40,D40)</f>
        <v/>
      </c>
      <c r="O40" s="135">
        <f>SUM(E40,F40,G40)</f>
        <v/>
      </c>
      <c r="P40" s="135">
        <f>SUM(H40,I40,J40)</f>
        <v/>
      </c>
      <c r="Q40" s="135">
        <f>SUM(K40,L40,M40)</f>
        <v/>
      </c>
      <c r="R40" s="135">
        <f>SUM(N40,O40,P40,Q40)</f>
        <v/>
      </c>
    </row>
    <row r="41">
      <c r="A41" s="124" t="inlineStr">
        <is>
          <t>Actual Revenue $</t>
        </is>
      </c>
      <c r="B41" s="132">
        <f>IF(Projects!$A$10="","",(((SUMPRODUCT((Labor!$G$6:$G$25=Projects!$A$10)*(Labor!$E$6:$E$25="Prime")*N(Labor!$K$6:$K$25))*(1+Rates!$B$6)*(1+Rates!$B$7)+SUMPRODUCT((Labor!$G$6:$G$25=Projects!$A$10)*(Labor!$E$6:$E$25="Sub")*N(Labor!$K$6:$K$25)))+SUMIFS(ODCs!$F$5:$F$22,ODCs!$D$5:$D$22,Projects!$A$10,ODCs!$E$5:$E$22,1)+SUMIFS(Travel!$F$5:$F$22,Travel!$D$5:$D$22,Projects!$A$10,Travel!$E$5:$E$22,1)+SUMIFS('M&amp;E'!$F$5:$F$22,'M&amp;E'!$D$5:$D$22,Projects!$A$10,'M&amp;E'!$E$5:$E$22,1))+(((SUMPRODUCT((Labor!$G$6:$G$25=Projects!$A$10)*(Labor!$E$6:$E$25="Prime")*N(Labor!$K$6:$K$25))*(1+Rates!$B$6)*(1+Rates!$B$7)+SUMPRODUCT((Labor!$G$6:$G$25=Projects!$A$10)*(Labor!$E$6:$E$25="Sub")*N(Labor!$K$6:$K$25)))+SUMIFS(ODCs!$F$5:$F$22,ODCs!$D$5:$D$22,Projects!$A$10,ODCs!$E$5:$E$22,1)+SUMIFS(Travel!$F$5:$F$22,Travel!$D$5:$D$22,Projects!$A$10,Travel!$E$5:$E$22,1)+SUMIFS('M&amp;E'!$F$5:$F$22,'M&amp;E'!$D$5:$D$22,Projects!$A$10,'M&amp;E'!$E$5:$E$22,1))*Rates!$B$8))+((((SUMPRODUCT((Labor!$G$6:$G$25=Projects!$A$10)*(Labor!$E$6:$E$25="Prime")*N(Labor!$K$6:$K$25))*(1+Rates!$B$6)*(1+Rates!$B$7)+SUMPRODUCT((Labor!$G$6:$G$25=Projects!$A$10)*(Labor!$E$6:$E$25="Sub")*N(Labor!$K$6:$K$25))))+IFERROR(((SUMPRODUCT((Labor!$G$6:$G$25=Projects!$A$10)*(Labor!$E$6:$E$25="Prime")*N(Labor!$K$6:$K$25))*(1+Rates!$B$6)*(1+Rates!$B$7)+SUMPRODUCT((Labor!$G$6:$G$25=Projects!$A$10)*(Labor!$E$6:$E$25="Sub")*N(Labor!$K$6:$K$25))))/((SUMPRODUCT((Labor!$G$6:$G$25=Projects!$A$10)*(Labor!$E$6:$E$25="Prime")*N(Labor!$K$6:$K$25))*(1+Rates!$B$6)*(1+Rates!$B$7)+SUMPRODUCT((Labor!$G$6:$G$25=Projects!$A$10)*(Labor!$E$6:$E$25="Sub")*N(Labor!$K$6:$K$25)))+SUMIFS(ODCs!$F$5:$F$22,ODCs!$D$5:$D$22,Projects!$A$10,ODCs!$E$5:$E$22,1)+SUMIFS(Travel!$F$5:$F$22,Travel!$D$5:$D$22,Projects!$A$10,Travel!$E$5:$E$22,1)+SUMIFS('M&amp;E'!$F$5:$F$22,'M&amp;E'!$D$5:$D$22,Projects!$A$10,'M&amp;E'!$E$5:$E$22,1))*(((SUMPRODUCT((Labor!$G$6:$G$25=Projects!$A$10)*(Labor!$E$6:$E$25="Prime")*N(Labor!$K$6:$K$25))*(1+Rates!$B$6)*(1+Rates!$B$7)+SUMPRODUCT((Labor!$G$6:$G$25=Projects!$A$10)*(Labor!$E$6:$E$25="Sub")*N(Labor!$K$6:$K$25)))+SUMIFS(ODCs!$F$5:$F$22,ODCs!$D$5:$D$22,Projects!$A$10,ODCs!$E$5:$E$22,1)+SUMIFS(Travel!$F$5:$F$22,Travel!$D$5:$D$22,Projects!$A$10,Travel!$E$5:$E$22,1)+SUMIFS('M&amp;E'!$F$5:$F$22,'M&amp;E'!$D$5:$D$22,Projects!$A$10,'M&amp;E'!$E$5:$E$22,1))*Rates!$B$8),0))*Rates!$C$18+((SUMIFS(Travel!$F$5:$F$22,Travel!$D$5:$D$22,Projects!$A$10,Travel!$E$5:$E$22,1))+IFERROR((SUMIFS(Travel!$F$5:$F$22,Travel!$D$5:$D$22,Projects!$A$10,Travel!$E$5:$E$22,1))/((SUMPRODUCT((Labor!$G$6:$G$25=Projects!$A$10)*(Labor!$E$6:$E$25="Prime")*N(Labor!$K$6:$K$25))*(1+Rates!$B$6)*(1+Rates!$B$7)+SUMPRODUCT((Labor!$G$6:$G$25=Projects!$A$10)*(Labor!$E$6:$E$25="Sub")*N(Labor!$K$6:$K$25)))+SUMIFS(ODCs!$F$5:$F$22,ODCs!$D$5:$D$22,Projects!$A$10,ODCs!$E$5:$E$22,1)+SUMIFS(Travel!$F$5:$F$22,Travel!$D$5:$D$22,Projects!$A$10,Travel!$E$5:$E$22,1)+SUMIFS('M&amp;E'!$F$5:$F$22,'M&amp;E'!$D$5:$D$22,Projects!$A$10,'M&amp;E'!$E$5:$E$22,1))*(((SUMPRODUCT((Labor!$G$6:$G$25=Projects!$A$10)*(Labor!$E$6:$E$25="Prime")*N(Labor!$K$6:$K$25))*(1+Rates!$B$6)*(1+Rates!$B$7)+SUMPRODUCT((Labor!$G$6:$G$25=Projects!$A$10)*(Labor!$E$6:$E$25="Sub")*N(Labor!$K$6:$K$25)))+SUMIFS(ODCs!$F$5:$F$22,ODCs!$D$5:$D$22,Projects!$A$10,ODCs!$E$5:$E$22,1)+SUMIFS(Travel!$F$5:$F$22,Travel!$D$5:$D$22,Projects!$A$10,Travel!$E$5:$E$22,1)+SUMIFS('M&amp;E'!$F$5:$F$22,'M&amp;E'!$D$5:$D$22,Projects!$A$10,'M&amp;E'!$E$5:$E$22,1))*Rates!$B$8),0))*Rates!$C$19+((SUMIFS(ODCs!$F$5:$F$22,ODCs!$D$5:$D$22,Projects!$A$10,ODCs!$E$5:$E$22,1))+IFERROR((SUMIFS(ODCs!$F$5:$F$22,ODCs!$D$5:$D$22,Projects!$A$10,ODCs!$E$5:$E$22,1))/((SUMPRODUCT((Labor!$G$6:$G$25=Projects!$A$10)*(Labor!$E$6:$E$25="Prime")*N(Labor!$K$6:$K$25))*(1+Rates!$B$6)*(1+Rates!$B$7)+SUMPRODUCT((Labor!$G$6:$G$25=Projects!$A$10)*(Labor!$E$6:$E$25="Sub")*N(Labor!$K$6:$K$25)))+SUMIFS(ODCs!$F$5:$F$22,ODCs!$D$5:$D$22,Projects!$A$10,ODCs!$E$5:$E$22,1)+SUMIFS(Travel!$F$5:$F$22,Travel!$D$5:$D$22,Projects!$A$10,Travel!$E$5:$E$22,1)+SUMIFS('M&amp;E'!$F$5:$F$22,'M&amp;E'!$D$5:$D$22,Projects!$A$10,'M&amp;E'!$E$5:$E$22,1))*(((SUMPRODUCT((Labor!$G$6:$G$25=Projects!$A$10)*(Labor!$E$6:$E$25="Prime")*N(Labor!$K$6:$K$25))*(1+Rates!$B$6)*(1+Rates!$B$7)+SUMPRODUCT((Labor!$G$6:$G$25=Projects!$A$10)*(Labor!$E$6:$E$25="Sub")*N(Labor!$K$6:$K$25)))+SUMIFS(ODCs!$F$5:$F$22,ODCs!$D$5:$D$22,Projects!$A$10,ODCs!$E$5:$E$22,1)+SUMIFS(Travel!$F$5:$F$22,Travel!$D$5:$D$22,Projects!$A$10,Travel!$E$5:$E$22,1)+SUMIFS('M&amp;E'!$F$5:$F$22,'M&amp;E'!$D$5:$D$22,Projects!$A$10,'M&amp;E'!$E$5:$E$22,1))*Rates!$B$8),0))*Rates!$C$20+((SUMIFS('M&amp;E'!$F$5:$F$22,'M&amp;E'!$D$5:$D$22,Projects!$A$10,'M&amp;E'!$E$5:$E$22,1))+IFERROR((SUMIFS('M&amp;E'!$F$5:$F$22,'M&amp;E'!$D$5:$D$22,Projects!$A$10,'M&amp;E'!$E$5:$E$22,1))/((SUMPRODUCT((Labor!$G$6:$G$25=Projects!$A$10)*(Labor!$E$6:$E$25="Prime")*N(Labor!$K$6:$K$25))*(1+Rates!$B$6)*(1+Rates!$B$7)+SUMPRODUCT((Labor!$G$6:$G$25=Projects!$A$10)*(Labor!$E$6:$E$25="Sub")*N(Labor!$K$6:$K$25)))+SUMIFS(ODCs!$F$5:$F$22,ODCs!$D$5:$D$22,Projects!$A$10,ODCs!$E$5:$E$22,1)+SUMIFS(Travel!$F$5:$F$22,Travel!$D$5:$D$22,Projects!$A$10,Travel!$E$5:$E$22,1)+SUMIFS('M&amp;E'!$F$5:$F$22,'M&amp;E'!$D$5:$D$22,Projects!$A$10,'M&amp;E'!$E$5:$E$22,1))*(((SUMPRODUCT((Labor!$G$6:$G$25=Projects!$A$10)*(Labor!$E$6:$E$25="Prime")*N(Labor!$K$6:$K$25))*(1+Rates!$B$6)*(1+Rates!$B$7)+SUMPRODUCT((Labor!$G$6:$G$25=Projects!$A$10)*(Labor!$E$6:$E$25="Sub")*N(Labor!$K$6:$K$25)))+SUMIFS(ODCs!$F$5:$F$22,ODCs!$D$5:$D$22,Projects!$A$10,ODCs!$E$5:$E$22,1)+SUMIFS(Travel!$F$5:$F$22,Travel!$D$5:$D$22,Projects!$A$10,Travel!$E$5:$E$22,1)+SUMIFS('M&amp;E'!$F$5:$F$22,'M&amp;E'!$D$5:$D$22,Projects!$A$10,'M&amp;E'!$E$5:$E$22,1))*Rates!$B$8),0))*Rates!$C$21))</f>
        <v/>
      </c>
      <c r="C41" s="132">
        <f>IF(Projects!$A$10="","",(((SUMPRODUCT((Labor!$G$6:$G$25=Projects!$A$10)*(Labor!$E$6:$E$25="Prime")*N(Labor!$O$6:$O$25))*(1+Rates!$B$6)*(1+Rates!$B$7)+SUMPRODUCT((Labor!$G$6:$G$25=Projects!$A$10)*(Labor!$E$6:$E$25="Sub")*N(Labor!$O$6:$O$25)))+SUMIFS(ODCs!$F$5:$F$22,ODCs!$D$5:$D$22,Projects!$A$10,ODCs!$E$5:$E$22,2)+SUMIFS(Travel!$F$5:$F$22,Travel!$D$5:$D$22,Projects!$A$10,Travel!$E$5:$E$22,2)+SUMIFS('M&amp;E'!$F$5:$F$22,'M&amp;E'!$D$5:$D$22,Projects!$A$10,'M&amp;E'!$E$5:$E$22,2))+(((SUMPRODUCT((Labor!$G$6:$G$25=Projects!$A$10)*(Labor!$E$6:$E$25="Prime")*N(Labor!$O$6:$O$25))*(1+Rates!$B$6)*(1+Rates!$B$7)+SUMPRODUCT((Labor!$G$6:$G$25=Projects!$A$10)*(Labor!$E$6:$E$25="Sub")*N(Labor!$O$6:$O$25)))+SUMIFS(ODCs!$F$5:$F$22,ODCs!$D$5:$D$22,Projects!$A$10,ODCs!$E$5:$E$22,2)+SUMIFS(Travel!$F$5:$F$22,Travel!$D$5:$D$22,Projects!$A$10,Travel!$E$5:$E$22,2)+SUMIFS('M&amp;E'!$F$5:$F$22,'M&amp;E'!$D$5:$D$22,Projects!$A$10,'M&amp;E'!$E$5:$E$22,2))*Rates!$B$8))+((((SUMPRODUCT((Labor!$G$6:$G$25=Projects!$A$10)*(Labor!$E$6:$E$25="Prime")*N(Labor!$O$6:$O$25))*(1+Rates!$B$6)*(1+Rates!$B$7)+SUMPRODUCT((Labor!$G$6:$G$25=Projects!$A$10)*(Labor!$E$6:$E$25="Sub")*N(Labor!$O$6:$O$25))))+IFERROR(((SUMPRODUCT((Labor!$G$6:$G$25=Projects!$A$10)*(Labor!$E$6:$E$25="Prime")*N(Labor!$O$6:$O$25))*(1+Rates!$B$6)*(1+Rates!$B$7)+SUMPRODUCT((Labor!$G$6:$G$25=Projects!$A$10)*(Labor!$E$6:$E$25="Sub")*N(Labor!$O$6:$O$25))))/((SUMPRODUCT((Labor!$G$6:$G$25=Projects!$A$10)*(Labor!$E$6:$E$25="Prime")*N(Labor!$O$6:$O$25))*(1+Rates!$B$6)*(1+Rates!$B$7)+SUMPRODUCT((Labor!$G$6:$G$25=Projects!$A$10)*(Labor!$E$6:$E$25="Sub")*N(Labor!$O$6:$O$25)))+SUMIFS(ODCs!$F$5:$F$22,ODCs!$D$5:$D$22,Projects!$A$10,ODCs!$E$5:$E$22,2)+SUMIFS(Travel!$F$5:$F$22,Travel!$D$5:$D$22,Projects!$A$10,Travel!$E$5:$E$22,2)+SUMIFS('M&amp;E'!$F$5:$F$22,'M&amp;E'!$D$5:$D$22,Projects!$A$10,'M&amp;E'!$E$5:$E$22,2))*(((SUMPRODUCT((Labor!$G$6:$G$25=Projects!$A$10)*(Labor!$E$6:$E$25="Prime")*N(Labor!$O$6:$O$25))*(1+Rates!$B$6)*(1+Rates!$B$7)+SUMPRODUCT((Labor!$G$6:$G$25=Projects!$A$10)*(Labor!$E$6:$E$25="Sub")*N(Labor!$O$6:$O$25)))+SUMIFS(ODCs!$F$5:$F$22,ODCs!$D$5:$D$22,Projects!$A$10,ODCs!$E$5:$E$22,2)+SUMIFS(Travel!$F$5:$F$22,Travel!$D$5:$D$22,Projects!$A$10,Travel!$E$5:$E$22,2)+SUMIFS('M&amp;E'!$F$5:$F$22,'M&amp;E'!$D$5:$D$22,Projects!$A$10,'M&amp;E'!$E$5:$E$22,2))*Rates!$B$8),0))*Rates!$C$18+((SUMIFS(Travel!$F$5:$F$22,Travel!$D$5:$D$22,Projects!$A$10,Travel!$E$5:$E$22,2))+IFERROR((SUMIFS(Travel!$F$5:$F$22,Travel!$D$5:$D$22,Projects!$A$10,Travel!$E$5:$E$22,2))/((SUMPRODUCT((Labor!$G$6:$G$25=Projects!$A$10)*(Labor!$E$6:$E$25="Prime")*N(Labor!$O$6:$O$25))*(1+Rates!$B$6)*(1+Rates!$B$7)+SUMPRODUCT((Labor!$G$6:$G$25=Projects!$A$10)*(Labor!$E$6:$E$25="Sub")*N(Labor!$O$6:$O$25)))+SUMIFS(ODCs!$F$5:$F$22,ODCs!$D$5:$D$22,Projects!$A$10,ODCs!$E$5:$E$22,2)+SUMIFS(Travel!$F$5:$F$22,Travel!$D$5:$D$22,Projects!$A$10,Travel!$E$5:$E$22,2)+SUMIFS('M&amp;E'!$F$5:$F$22,'M&amp;E'!$D$5:$D$22,Projects!$A$10,'M&amp;E'!$E$5:$E$22,2))*(((SUMPRODUCT((Labor!$G$6:$G$25=Projects!$A$10)*(Labor!$E$6:$E$25="Prime")*N(Labor!$O$6:$O$25))*(1+Rates!$B$6)*(1+Rates!$B$7)+SUMPRODUCT((Labor!$G$6:$G$25=Projects!$A$10)*(Labor!$E$6:$E$25="Sub")*N(Labor!$O$6:$O$25)))+SUMIFS(ODCs!$F$5:$F$22,ODCs!$D$5:$D$22,Projects!$A$10,ODCs!$E$5:$E$22,2)+SUMIFS(Travel!$F$5:$F$22,Travel!$D$5:$D$22,Projects!$A$10,Travel!$E$5:$E$22,2)+SUMIFS('M&amp;E'!$F$5:$F$22,'M&amp;E'!$D$5:$D$22,Projects!$A$10,'M&amp;E'!$E$5:$E$22,2))*Rates!$B$8),0))*Rates!$C$19+((SUMIFS(ODCs!$F$5:$F$22,ODCs!$D$5:$D$22,Projects!$A$10,ODCs!$E$5:$E$22,2))+IFERROR((SUMIFS(ODCs!$F$5:$F$22,ODCs!$D$5:$D$22,Projects!$A$10,ODCs!$E$5:$E$22,2))/((SUMPRODUCT((Labor!$G$6:$G$25=Projects!$A$10)*(Labor!$E$6:$E$25="Prime")*N(Labor!$O$6:$O$25))*(1+Rates!$B$6)*(1+Rates!$B$7)+SUMPRODUCT((Labor!$G$6:$G$25=Projects!$A$10)*(Labor!$E$6:$E$25="Sub")*N(Labor!$O$6:$O$25)))+SUMIFS(ODCs!$F$5:$F$22,ODCs!$D$5:$D$22,Projects!$A$10,ODCs!$E$5:$E$22,2)+SUMIFS(Travel!$F$5:$F$22,Travel!$D$5:$D$22,Projects!$A$10,Travel!$E$5:$E$22,2)+SUMIFS('M&amp;E'!$F$5:$F$22,'M&amp;E'!$D$5:$D$22,Projects!$A$10,'M&amp;E'!$E$5:$E$22,2))*(((SUMPRODUCT((Labor!$G$6:$G$25=Projects!$A$10)*(Labor!$E$6:$E$25="Prime")*N(Labor!$O$6:$O$25))*(1+Rates!$B$6)*(1+Rates!$B$7)+SUMPRODUCT((Labor!$G$6:$G$25=Projects!$A$10)*(Labor!$E$6:$E$25="Sub")*N(Labor!$O$6:$O$25)))+SUMIFS(ODCs!$F$5:$F$22,ODCs!$D$5:$D$22,Projects!$A$10,ODCs!$E$5:$E$22,2)+SUMIFS(Travel!$F$5:$F$22,Travel!$D$5:$D$22,Projects!$A$10,Travel!$E$5:$E$22,2)+SUMIFS('M&amp;E'!$F$5:$F$22,'M&amp;E'!$D$5:$D$22,Projects!$A$10,'M&amp;E'!$E$5:$E$22,2))*Rates!$B$8),0))*Rates!$C$20+((SUMIFS('M&amp;E'!$F$5:$F$22,'M&amp;E'!$D$5:$D$22,Projects!$A$10,'M&amp;E'!$E$5:$E$22,2))+IFERROR((SUMIFS('M&amp;E'!$F$5:$F$22,'M&amp;E'!$D$5:$D$22,Projects!$A$10,'M&amp;E'!$E$5:$E$22,2))/((SUMPRODUCT((Labor!$G$6:$G$25=Projects!$A$10)*(Labor!$E$6:$E$25="Prime")*N(Labor!$O$6:$O$25))*(1+Rates!$B$6)*(1+Rates!$B$7)+SUMPRODUCT((Labor!$G$6:$G$25=Projects!$A$10)*(Labor!$E$6:$E$25="Sub")*N(Labor!$O$6:$O$25)))+SUMIFS(ODCs!$F$5:$F$22,ODCs!$D$5:$D$22,Projects!$A$10,ODCs!$E$5:$E$22,2)+SUMIFS(Travel!$F$5:$F$22,Travel!$D$5:$D$22,Projects!$A$10,Travel!$E$5:$E$22,2)+SUMIFS('M&amp;E'!$F$5:$F$22,'M&amp;E'!$D$5:$D$22,Projects!$A$10,'M&amp;E'!$E$5:$E$22,2))*(((SUMPRODUCT((Labor!$G$6:$G$25=Projects!$A$10)*(Labor!$E$6:$E$25="Prime")*N(Labor!$O$6:$O$25))*(1+Rates!$B$6)*(1+Rates!$B$7)+SUMPRODUCT((Labor!$G$6:$G$25=Projects!$A$10)*(Labor!$E$6:$E$25="Sub")*N(Labor!$O$6:$O$25)))+SUMIFS(ODCs!$F$5:$F$22,ODCs!$D$5:$D$22,Projects!$A$10,ODCs!$E$5:$E$22,2)+SUMIFS(Travel!$F$5:$F$22,Travel!$D$5:$D$22,Projects!$A$10,Travel!$E$5:$E$22,2)+SUMIFS('M&amp;E'!$F$5:$F$22,'M&amp;E'!$D$5:$D$22,Projects!$A$10,'M&amp;E'!$E$5:$E$22,2))*Rates!$B$8),0))*Rates!$C$21))</f>
        <v/>
      </c>
      <c r="D41" s="132">
        <f>IF(Projects!$A$10="","",(((SUMPRODUCT((Labor!$G$6:$G$25=Projects!$A$10)*(Labor!$E$6:$E$25="Prime")*N(Labor!$S$6:$S$25))*(1+Rates!$B$6)*(1+Rates!$B$7)+SUMPRODUCT((Labor!$G$6:$G$25=Projects!$A$10)*(Labor!$E$6:$E$25="Sub")*N(Labor!$S$6:$S$25)))+SUMIFS(ODCs!$F$5:$F$22,ODCs!$D$5:$D$22,Projects!$A$10,ODCs!$E$5:$E$22,3)+SUMIFS(Travel!$F$5:$F$22,Travel!$D$5:$D$22,Projects!$A$10,Travel!$E$5:$E$22,3)+SUMIFS('M&amp;E'!$F$5:$F$22,'M&amp;E'!$D$5:$D$22,Projects!$A$10,'M&amp;E'!$E$5:$E$22,3))+(((SUMPRODUCT((Labor!$G$6:$G$25=Projects!$A$10)*(Labor!$E$6:$E$25="Prime")*N(Labor!$S$6:$S$25))*(1+Rates!$B$6)*(1+Rates!$B$7)+SUMPRODUCT((Labor!$G$6:$G$25=Projects!$A$10)*(Labor!$E$6:$E$25="Sub")*N(Labor!$S$6:$S$25)))+SUMIFS(ODCs!$F$5:$F$22,ODCs!$D$5:$D$22,Projects!$A$10,ODCs!$E$5:$E$22,3)+SUMIFS(Travel!$F$5:$F$22,Travel!$D$5:$D$22,Projects!$A$10,Travel!$E$5:$E$22,3)+SUMIFS('M&amp;E'!$F$5:$F$22,'M&amp;E'!$D$5:$D$22,Projects!$A$10,'M&amp;E'!$E$5:$E$22,3))*Rates!$B$8))+((((SUMPRODUCT((Labor!$G$6:$G$25=Projects!$A$10)*(Labor!$E$6:$E$25="Prime")*N(Labor!$S$6:$S$25))*(1+Rates!$B$6)*(1+Rates!$B$7)+SUMPRODUCT((Labor!$G$6:$G$25=Projects!$A$10)*(Labor!$E$6:$E$25="Sub")*N(Labor!$S$6:$S$25))))+IFERROR(((SUMPRODUCT((Labor!$G$6:$G$25=Projects!$A$10)*(Labor!$E$6:$E$25="Prime")*N(Labor!$S$6:$S$25))*(1+Rates!$B$6)*(1+Rates!$B$7)+SUMPRODUCT((Labor!$G$6:$G$25=Projects!$A$10)*(Labor!$E$6:$E$25="Sub")*N(Labor!$S$6:$S$25))))/((SUMPRODUCT((Labor!$G$6:$G$25=Projects!$A$10)*(Labor!$E$6:$E$25="Prime")*N(Labor!$S$6:$S$25))*(1+Rates!$B$6)*(1+Rates!$B$7)+SUMPRODUCT((Labor!$G$6:$G$25=Projects!$A$10)*(Labor!$E$6:$E$25="Sub")*N(Labor!$S$6:$S$25)))+SUMIFS(ODCs!$F$5:$F$22,ODCs!$D$5:$D$22,Projects!$A$10,ODCs!$E$5:$E$22,3)+SUMIFS(Travel!$F$5:$F$22,Travel!$D$5:$D$22,Projects!$A$10,Travel!$E$5:$E$22,3)+SUMIFS('M&amp;E'!$F$5:$F$22,'M&amp;E'!$D$5:$D$22,Projects!$A$10,'M&amp;E'!$E$5:$E$22,3))*(((SUMPRODUCT((Labor!$G$6:$G$25=Projects!$A$10)*(Labor!$E$6:$E$25="Prime")*N(Labor!$S$6:$S$25))*(1+Rates!$B$6)*(1+Rates!$B$7)+SUMPRODUCT((Labor!$G$6:$G$25=Projects!$A$10)*(Labor!$E$6:$E$25="Sub")*N(Labor!$S$6:$S$25)))+SUMIFS(ODCs!$F$5:$F$22,ODCs!$D$5:$D$22,Projects!$A$10,ODCs!$E$5:$E$22,3)+SUMIFS(Travel!$F$5:$F$22,Travel!$D$5:$D$22,Projects!$A$10,Travel!$E$5:$E$22,3)+SUMIFS('M&amp;E'!$F$5:$F$22,'M&amp;E'!$D$5:$D$22,Projects!$A$10,'M&amp;E'!$E$5:$E$22,3))*Rates!$B$8),0))*Rates!$C$18+((SUMIFS(Travel!$F$5:$F$22,Travel!$D$5:$D$22,Projects!$A$10,Travel!$E$5:$E$22,3))+IFERROR((SUMIFS(Travel!$F$5:$F$22,Travel!$D$5:$D$22,Projects!$A$10,Travel!$E$5:$E$22,3))/((SUMPRODUCT((Labor!$G$6:$G$25=Projects!$A$10)*(Labor!$E$6:$E$25="Prime")*N(Labor!$S$6:$S$25))*(1+Rates!$B$6)*(1+Rates!$B$7)+SUMPRODUCT((Labor!$G$6:$G$25=Projects!$A$10)*(Labor!$E$6:$E$25="Sub")*N(Labor!$S$6:$S$25)))+SUMIFS(ODCs!$F$5:$F$22,ODCs!$D$5:$D$22,Projects!$A$10,ODCs!$E$5:$E$22,3)+SUMIFS(Travel!$F$5:$F$22,Travel!$D$5:$D$22,Projects!$A$10,Travel!$E$5:$E$22,3)+SUMIFS('M&amp;E'!$F$5:$F$22,'M&amp;E'!$D$5:$D$22,Projects!$A$10,'M&amp;E'!$E$5:$E$22,3))*(((SUMPRODUCT((Labor!$G$6:$G$25=Projects!$A$10)*(Labor!$E$6:$E$25="Prime")*N(Labor!$S$6:$S$25))*(1+Rates!$B$6)*(1+Rates!$B$7)+SUMPRODUCT((Labor!$G$6:$G$25=Projects!$A$10)*(Labor!$E$6:$E$25="Sub")*N(Labor!$S$6:$S$25)))+SUMIFS(ODCs!$F$5:$F$22,ODCs!$D$5:$D$22,Projects!$A$10,ODCs!$E$5:$E$22,3)+SUMIFS(Travel!$F$5:$F$22,Travel!$D$5:$D$22,Projects!$A$10,Travel!$E$5:$E$22,3)+SUMIFS('M&amp;E'!$F$5:$F$22,'M&amp;E'!$D$5:$D$22,Projects!$A$10,'M&amp;E'!$E$5:$E$22,3))*Rates!$B$8),0))*Rates!$C$19+((SUMIFS(ODCs!$F$5:$F$22,ODCs!$D$5:$D$22,Projects!$A$10,ODCs!$E$5:$E$22,3))+IFERROR((SUMIFS(ODCs!$F$5:$F$22,ODCs!$D$5:$D$22,Projects!$A$10,ODCs!$E$5:$E$22,3))/((SUMPRODUCT((Labor!$G$6:$G$25=Projects!$A$10)*(Labor!$E$6:$E$25="Prime")*N(Labor!$S$6:$S$25))*(1+Rates!$B$6)*(1+Rates!$B$7)+SUMPRODUCT((Labor!$G$6:$G$25=Projects!$A$10)*(Labor!$E$6:$E$25="Sub")*N(Labor!$S$6:$S$25)))+SUMIFS(ODCs!$F$5:$F$22,ODCs!$D$5:$D$22,Projects!$A$10,ODCs!$E$5:$E$22,3)+SUMIFS(Travel!$F$5:$F$22,Travel!$D$5:$D$22,Projects!$A$10,Travel!$E$5:$E$22,3)+SUMIFS('M&amp;E'!$F$5:$F$22,'M&amp;E'!$D$5:$D$22,Projects!$A$10,'M&amp;E'!$E$5:$E$22,3))*(((SUMPRODUCT((Labor!$G$6:$G$25=Projects!$A$10)*(Labor!$E$6:$E$25="Prime")*N(Labor!$S$6:$S$25))*(1+Rates!$B$6)*(1+Rates!$B$7)+SUMPRODUCT((Labor!$G$6:$G$25=Projects!$A$10)*(Labor!$E$6:$E$25="Sub")*N(Labor!$S$6:$S$25)))+SUMIFS(ODCs!$F$5:$F$22,ODCs!$D$5:$D$22,Projects!$A$10,ODCs!$E$5:$E$22,3)+SUMIFS(Travel!$F$5:$F$22,Travel!$D$5:$D$22,Projects!$A$10,Travel!$E$5:$E$22,3)+SUMIFS('M&amp;E'!$F$5:$F$22,'M&amp;E'!$D$5:$D$22,Projects!$A$10,'M&amp;E'!$E$5:$E$22,3))*Rates!$B$8),0))*Rates!$C$20+((SUMIFS('M&amp;E'!$F$5:$F$22,'M&amp;E'!$D$5:$D$22,Projects!$A$10,'M&amp;E'!$E$5:$E$22,3))+IFERROR((SUMIFS('M&amp;E'!$F$5:$F$22,'M&amp;E'!$D$5:$D$22,Projects!$A$10,'M&amp;E'!$E$5:$E$22,3))/((SUMPRODUCT((Labor!$G$6:$G$25=Projects!$A$10)*(Labor!$E$6:$E$25="Prime")*N(Labor!$S$6:$S$25))*(1+Rates!$B$6)*(1+Rates!$B$7)+SUMPRODUCT((Labor!$G$6:$G$25=Projects!$A$10)*(Labor!$E$6:$E$25="Sub")*N(Labor!$S$6:$S$25)))+SUMIFS(ODCs!$F$5:$F$22,ODCs!$D$5:$D$22,Projects!$A$10,ODCs!$E$5:$E$22,3)+SUMIFS(Travel!$F$5:$F$22,Travel!$D$5:$D$22,Projects!$A$10,Travel!$E$5:$E$22,3)+SUMIFS('M&amp;E'!$F$5:$F$22,'M&amp;E'!$D$5:$D$22,Projects!$A$10,'M&amp;E'!$E$5:$E$22,3))*(((SUMPRODUCT((Labor!$G$6:$G$25=Projects!$A$10)*(Labor!$E$6:$E$25="Prime")*N(Labor!$S$6:$S$25))*(1+Rates!$B$6)*(1+Rates!$B$7)+SUMPRODUCT((Labor!$G$6:$G$25=Projects!$A$10)*(Labor!$E$6:$E$25="Sub")*N(Labor!$S$6:$S$25)))+SUMIFS(ODCs!$F$5:$F$22,ODCs!$D$5:$D$22,Projects!$A$10,ODCs!$E$5:$E$22,3)+SUMIFS(Travel!$F$5:$F$22,Travel!$D$5:$D$22,Projects!$A$10,Travel!$E$5:$E$22,3)+SUMIFS('M&amp;E'!$F$5:$F$22,'M&amp;E'!$D$5:$D$22,Projects!$A$10,'M&amp;E'!$E$5:$E$22,3))*Rates!$B$8),0))*Rates!$C$21))</f>
        <v/>
      </c>
      <c r="E41" s="132">
        <f>IF(Projects!$A$10="","",(((SUMPRODUCT((Labor!$G$6:$G$25=Projects!$A$10)*(Labor!$E$6:$E$25="Prime")*N(Labor!$W$6:$W$25))*(1+Rates!$B$6)*(1+Rates!$B$7)+SUMPRODUCT((Labor!$G$6:$G$25=Projects!$A$10)*(Labor!$E$6:$E$25="Sub")*N(Labor!$W$6:$W$25)))+SUMIFS(ODCs!$F$5:$F$22,ODCs!$D$5:$D$22,Projects!$A$10,ODCs!$E$5:$E$22,4)+SUMIFS(Travel!$F$5:$F$22,Travel!$D$5:$D$22,Projects!$A$10,Travel!$E$5:$E$22,4)+SUMIFS('M&amp;E'!$F$5:$F$22,'M&amp;E'!$D$5:$D$22,Projects!$A$10,'M&amp;E'!$E$5:$E$22,4))+(((SUMPRODUCT((Labor!$G$6:$G$25=Projects!$A$10)*(Labor!$E$6:$E$25="Prime")*N(Labor!$W$6:$W$25))*(1+Rates!$B$6)*(1+Rates!$B$7)+SUMPRODUCT((Labor!$G$6:$G$25=Projects!$A$10)*(Labor!$E$6:$E$25="Sub")*N(Labor!$W$6:$W$25)))+SUMIFS(ODCs!$F$5:$F$22,ODCs!$D$5:$D$22,Projects!$A$10,ODCs!$E$5:$E$22,4)+SUMIFS(Travel!$F$5:$F$22,Travel!$D$5:$D$22,Projects!$A$10,Travel!$E$5:$E$22,4)+SUMIFS('M&amp;E'!$F$5:$F$22,'M&amp;E'!$D$5:$D$22,Projects!$A$10,'M&amp;E'!$E$5:$E$22,4))*Rates!$B$8))+((((SUMPRODUCT((Labor!$G$6:$G$25=Projects!$A$10)*(Labor!$E$6:$E$25="Prime")*N(Labor!$W$6:$W$25))*(1+Rates!$B$6)*(1+Rates!$B$7)+SUMPRODUCT((Labor!$G$6:$G$25=Projects!$A$10)*(Labor!$E$6:$E$25="Sub")*N(Labor!$W$6:$W$25))))+IFERROR(((SUMPRODUCT((Labor!$G$6:$G$25=Projects!$A$10)*(Labor!$E$6:$E$25="Prime")*N(Labor!$W$6:$W$25))*(1+Rates!$B$6)*(1+Rates!$B$7)+SUMPRODUCT((Labor!$G$6:$G$25=Projects!$A$10)*(Labor!$E$6:$E$25="Sub")*N(Labor!$W$6:$W$25))))/((SUMPRODUCT((Labor!$G$6:$G$25=Projects!$A$10)*(Labor!$E$6:$E$25="Prime")*N(Labor!$W$6:$W$25))*(1+Rates!$B$6)*(1+Rates!$B$7)+SUMPRODUCT((Labor!$G$6:$G$25=Projects!$A$10)*(Labor!$E$6:$E$25="Sub")*N(Labor!$W$6:$W$25)))+SUMIFS(ODCs!$F$5:$F$22,ODCs!$D$5:$D$22,Projects!$A$10,ODCs!$E$5:$E$22,4)+SUMIFS(Travel!$F$5:$F$22,Travel!$D$5:$D$22,Projects!$A$10,Travel!$E$5:$E$22,4)+SUMIFS('M&amp;E'!$F$5:$F$22,'M&amp;E'!$D$5:$D$22,Projects!$A$10,'M&amp;E'!$E$5:$E$22,4))*(((SUMPRODUCT((Labor!$G$6:$G$25=Projects!$A$10)*(Labor!$E$6:$E$25="Prime")*N(Labor!$W$6:$W$25))*(1+Rates!$B$6)*(1+Rates!$B$7)+SUMPRODUCT((Labor!$G$6:$G$25=Projects!$A$10)*(Labor!$E$6:$E$25="Sub")*N(Labor!$W$6:$W$25)))+SUMIFS(ODCs!$F$5:$F$22,ODCs!$D$5:$D$22,Projects!$A$10,ODCs!$E$5:$E$22,4)+SUMIFS(Travel!$F$5:$F$22,Travel!$D$5:$D$22,Projects!$A$10,Travel!$E$5:$E$22,4)+SUMIFS('M&amp;E'!$F$5:$F$22,'M&amp;E'!$D$5:$D$22,Projects!$A$10,'M&amp;E'!$E$5:$E$22,4))*Rates!$B$8),0))*Rates!$C$18+((SUMIFS(Travel!$F$5:$F$22,Travel!$D$5:$D$22,Projects!$A$10,Travel!$E$5:$E$22,4))+IFERROR((SUMIFS(Travel!$F$5:$F$22,Travel!$D$5:$D$22,Projects!$A$10,Travel!$E$5:$E$22,4))/((SUMPRODUCT((Labor!$G$6:$G$25=Projects!$A$10)*(Labor!$E$6:$E$25="Prime")*N(Labor!$W$6:$W$25))*(1+Rates!$B$6)*(1+Rates!$B$7)+SUMPRODUCT((Labor!$G$6:$G$25=Projects!$A$10)*(Labor!$E$6:$E$25="Sub")*N(Labor!$W$6:$W$25)))+SUMIFS(ODCs!$F$5:$F$22,ODCs!$D$5:$D$22,Projects!$A$10,ODCs!$E$5:$E$22,4)+SUMIFS(Travel!$F$5:$F$22,Travel!$D$5:$D$22,Projects!$A$10,Travel!$E$5:$E$22,4)+SUMIFS('M&amp;E'!$F$5:$F$22,'M&amp;E'!$D$5:$D$22,Projects!$A$10,'M&amp;E'!$E$5:$E$22,4))*(((SUMPRODUCT((Labor!$G$6:$G$25=Projects!$A$10)*(Labor!$E$6:$E$25="Prime")*N(Labor!$W$6:$W$25))*(1+Rates!$B$6)*(1+Rates!$B$7)+SUMPRODUCT((Labor!$G$6:$G$25=Projects!$A$10)*(Labor!$E$6:$E$25="Sub")*N(Labor!$W$6:$W$25)))+SUMIFS(ODCs!$F$5:$F$22,ODCs!$D$5:$D$22,Projects!$A$10,ODCs!$E$5:$E$22,4)+SUMIFS(Travel!$F$5:$F$22,Travel!$D$5:$D$22,Projects!$A$10,Travel!$E$5:$E$22,4)+SUMIFS('M&amp;E'!$F$5:$F$22,'M&amp;E'!$D$5:$D$22,Projects!$A$10,'M&amp;E'!$E$5:$E$22,4))*Rates!$B$8),0))*Rates!$C$19+((SUMIFS(ODCs!$F$5:$F$22,ODCs!$D$5:$D$22,Projects!$A$10,ODCs!$E$5:$E$22,4))+IFERROR((SUMIFS(ODCs!$F$5:$F$22,ODCs!$D$5:$D$22,Projects!$A$10,ODCs!$E$5:$E$22,4))/((SUMPRODUCT((Labor!$G$6:$G$25=Projects!$A$10)*(Labor!$E$6:$E$25="Prime")*N(Labor!$W$6:$W$25))*(1+Rates!$B$6)*(1+Rates!$B$7)+SUMPRODUCT((Labor!$G$6:$G$25=Projects!$A$10)*(Labor!$E$6:$E$25="Sub")*N(Labor!$W$6:$W$25)))+SUMIFS(ODCs!$F$5:$F$22,ODCs!$D$5:$D$22,Projects!$A$10,ODCs!$E$5:$E$22,4)+SUMIFS(Travel!$F$5:$F$22,Travel!$D$5:$D$22,Projects!$A$10,Travel!$E$5:$E$22,4)+SUMIFS('M&amp;E'!$F$5:$F$22,'M&amp;E'!$D$5:$D$22,Projects!$A$10,'M&amp;E'!$E$5:$E$22,4))*(((SUMPRODUCT((Labor!$G$6:$G$25=Projects!$A$10)*(Labor!$E$6:$E$25="Prime")*N(Labor!$W$6:$W$25))*(1+Rates!$B$6)*(1+Rates!$B$7)+SUMPRODUCT((Labor!$G$6:$G$25=Projects!$A$10)*(Labor!$E$6:$E$25="Sub")*N(Labor!$W$6:$W$25)))+SUMIFS(ODCs!$F$5:$F$22,ODCs!$D$5:$D$22,Projects!$A$10,ODCs!$E$5:$E$22,4)+SUMIFS(Travel!$F$5:$F$22,Travel!$D$5:$D$22,Projects!$A$10,Travel!$E$5:$E$22,4)+SUMIFS('M&amp;E'!$F$5:$F$22,'M&amp;E'!$D$5:$D$22,Projects!$A$10,'M&amp;E'!$E$5:$E$22,4))*Rates!$B$8),0))*Rates!$C$20+((SUMIFS('M&amp;E'!$F$5:$F$22,'M&amp;E'!$D$5:$D$22,Projects!$A$10,'M&amp;E'!$E$5:$E$22,4))+IFERROR((SUMIFS('M&amp;E'!$F$5:$F$22,'M&amp;E'!$D$5:$D$22,Projects!$A$10,'M&amp;E'!$E$5:$E$22,4))/((SUMPRODUCT((Labor!$G$6:$G$25=Projects!$A$10)*(Labor!$E$6:$E$25="Prime")*N(Labor!$W$6:$W$25))*(1+Rates!$B$6)*(1+Rates!$B$7)+SUMPRODUCT((Labor!$G$6:$G$25=Projects!$A$10)*(Labor!$E$6:$E$25="Sub")*N(Labor!$W$6:$W$25)))+SUMIFS(ODCs!$F$5:$F$22,ODCs!$D$5:$D$22,Projects!$A$10,ODCs!$E$5:$E$22,4)+SUMIFS(Travel!$F$5:$F$22,Travel!$D$5:$D$22,Projects!$A$10,Travel!$E$5:$E$22,4)+SUMIFS('M&amp;E'!$F$5:$F$22,'M&amp;E'!$D$5:$D$22,Projects!$A$10,'M&amp;E'!$E$5:$E$22,4))*(((SUMPRODUCT((Labor!$G$6:$G$25=Projects!$A$10)*(Labor!$E$6:$E$25="Prime")*N(Labor!$W$6:$W$25))*(1+Rates!$B$6)*(1+Rates!$B$7)+SUMPRODUCT((Labor!$G$6:$G$25=Projects!$A$10)*(Labor!$E$6:$E$25="Sub")*N(Labor!$W$6:$W$25)))+SUMIFS(ODCs!$F$5:$F$22,ODCs!$D$5:$D$22,Projects!$A$10,ODCs!$E$5:$E$22,4)+SUMIFS(Travel!$F$5:$F$22,Travel!$D$5:$D$22,Projects!$A$10,Travel!$E$5:$E$22,4)+SUMIFS('M&amp;E'!$F$5:$F$22,'M&amp;E'!$D$5:$D$22,Projects!$A$10,'M&amp;E'!$E$5:$E$22,4))*Rates!$B$8),0))*Rates!$C$21))</f>
        <v/>
      </c>
      <c r="F41" s="132">
        <f>IF(Projects!$A$10="","",(((SUMPRODUCT((Labor!$G$6:$G$25=Projects!$A$10)*(Labor!$E$6:$E$25="Prime")*N(Labor!$AA$6:$AA$25))*(1+Rates!$B$6)*(1+Rates!$B$7)+SUMPRODUCT((Labor!$G$6:$G$25=Projects!$A$10)*(Labor!$E$6:$E$25="Sub")*N(Labor!$AA$6:$AA$25)))+SUMIFS(ODCs!$F$5:$F$22,ODCs!$D$5:$D$22,Projects!$A$10,ODCs!$E$5:$E$22,5)+SUMIFS(Travel!$F$5:$F$22,Travel!$D$5:$D$22,Projects!$A$10,Travel!$E$5:$E$22,5)+SUMIFS('M&amp;E'!$F$5:$F$22,'M&amp;E'!$D$5:$D$22,Projects!$A$10,'M&amp;E'!$E$5:$E$22,5))+(((SUMPRODUCT((Labor!$G$6:$G$25=Projects!$A$10)*(Labor!$E$6:$E$25="Prime")*N(Labor!$AA$6:$AA$25))*(1+Rates!$B$6)*(1+Rates!$B$7)+SUMPRODUCT((Labor!$G$6:$G$25=Projects!$A$10)*(Labor!$E$6:$E$25="Sub")*N(Labor!$AA$6:$AA$25)))+SUMIFS(ODCs!$F$5:$F$22,ODCs!$D$5:$D$22,Projects!$A$10,ODCs!$E$5:$E$22,5)+SUMIFS(Travel!$F$5:$F$22,Travel!$D$5:$D$22,Projects!$A$10,Travel!$E$5:$E$22,5)+SUMIFS('M&amp;E'!$F$5:$F$22,'M&amp;E'!$D$5:$D$22,Projects!$A$10,'M&amp;E'!$E$5:$E$22,5))*Rates!$B$8))+((((SUMPRODUCT((Labor!$G$6:$G$25=Projects!$A$10)*(Labor!$E$6:$E$25="Prime")*N(Labor!$AA$6:$AA$25))*(1+Rates!$B$6)*(1+Rates!$B$7)+SUMPRODUCT((Labor!$G$6:$G$25=Projects!$A$10)*(Labor!$E$6:$E$25="Sub")*N(Labor!$AA$6:$AA$25))))+IFERROR(((SUMPRODUCT((Labor!$G$6:$G$25=Projects!$A$10)*(Labor!$E$6:$E$25="Prime")*N(Labor!$AA$6:$AA$25))*(1+Rates!$B$6)*(1+Rates!$B$7)+SUMPRODUCT((Labor!$G$6:$G$25=Projects!$A$10)*(Labor!$E$6:$E$25="Sub")*N(Labor!$AA$6:$AA$25))))/((SUMPRODUCT((Labor!$G$6:$G$25=Projects!$A$10)*(Labor!$E$6:$E$25="Prime")*N(Labor!$AA$6:$AA$25))*(1+Rates!$B$6)*(1+Rates!$B$7)+SUMPRODUCT((Labor!$G$6:$G$25=Projects!$A$10)*(Labor!$E$6:$E$25="Sub")*N(Labor!$AA$6:$AA$25)))+SUMIFS(ODCs!$F$5:$F$22,ODCs!$D$5:$D$22,Projects!$A$10,ODCs!$E$5:$E$22,5)+SUMIFS(Travel!$F$5:$F$22,Travel!$D$5:$D$22,Projects!$A$10,Travel!$E$5:$E$22,5)+SUMIFS('M&amp;E'!$F$5:$F$22,'M&amp;E'!$D$5:$D$22,Projects!$A$10,'M&amp;E'!$E$5:$E$22,5))*(((SUMPRODUCT((Labor!$G$6:$G$25=Projects!$A$10)*(Labor!$E$6:$E$25="Prime")*N(Labor!$AA$6:$AA$25))*(1+Rates!$B$6)*(1+Rates!$B$7)+SUMPRODUCT((Labor!$G$6:$G$25=Projects!$A$10)*(Labor!$E$6:$E$25="Sub")*N(Labor!$AA$6:$AA$25)))+SUMIFS(ODCs!$F$5:$F$22,ODCs!$D$5:$D$22,Projects!$A$10,ODCs!$E$5:$E$22,5)+SUMIFS(Travel!$F$5:$F$22,Travel!$D$5:$D$22,Projects!$A$10,Travel!$E$5:$E$22,5)+SUMIFS('M&amp;E'!$F$5:$F$22,'M&amp;E'!$D$5:$D$22,Projects!$A$10,'M&amp;E'!$E$5:$E$22,5))*Rates!$B$8),0))*Rates!$C$18+((SUMIFS(Travel!$F$5:$F$22,Travel!$D$5:$D$22,Projects!$A$10,Travel!$E$5:$E$22,5))+IFERROR((SUMIFS(Travel!$F$5:$F$22,Travel!$D$5:$D$22,Projects!$A$10,Travel!$E$5:$E$22,5))/((SUMPRODUCT((Labor!$G$6:$G$25=Projects!$A$10)*(Labor!$E$6:$E$25="Prime")*N(Labor!$AA$6:$AA$25))*(1+Rates!$B$6)*(1+Rates!$B$7)+SUMPRODUCT((Labor!$G$6:$G$25=Projects!$A$10)*(Labor!$E$6:$E$25="Sub")*N(Labor!$AA$6:$AA$25)))+SUMIFS(ODCs!$F$5:$F$22,ODCs!$D$5:$D$22,Projects!$A$10,ODCs!$E$5:$E$22,5)+SUMIFS(Travel!$F$5:$F$22,Travel!$D$5:$D$22,Projects!$A$10,Travel!$E$5:$E$22,5)+SUMIFS('M&amp;E'!$F$5:$F$22,'M&amp;E'!$D$5:$D$22,Projects!$A$10,'M&amp;E'!$E$5:$E$22,5))*(((SUMPRODUCT((Labor!$G$6:$G$25=Projects!$A$10)*(Labor!$E$6:$E$25="Prime")*N(Labor!$AA$6:$AA$25))*(1+Rates!$B$6)*(1+Rates!$B$7)+SUMPRODUCT((Labor!$G$6:$G$25=Projects!$A$10)*(Labor!$E$6:$E$25="Sub")*N(Labor!$AA$6:$AA$25)))+SUMIFS(ODCs!$F$5:$F$22,ODCs!$D$5:$D$22,Projects!$A$10,ODCs!$E$5:$E$22,5)+SUMIFS(Travel!$F$5:$F$22,Travel!$D$5:$D$22,Projects!$A$10,Travel!$E$5:$E$22,5)+SUMIFS('M&amp;E'!$F$5:$F$22,'M&amp;E'!$D$5:$D$22,Projects!$A$10,'M&amp;E'!$E$5:$E$22,5))*Rates!$B$8),0))*Rates!$C$19+((SUMIFS(ODCs!$F$5:$F$22,ODCs!$D$5:$D$22,Projects!$A$10,ODCs!$E$5:$E$22,5))+IFERROR((SUMIFS(ODCs!$F$5:$F$22,ODCs!$D$5:$D$22,Projects!$A$10,ODCs!$E$5:$E$22,5))/((SUMPRODUCT((Labor!$G$6:$G$25=Projects!$A$10)*(Labor!$E$6:$E$25="Prime")*N(Labor!$AA$6:$AA$25))*(1+Rates!$B$6)*(1+Rates!$B$7)+SUMPRODUCT((Labor!$G$6:$G$25=Projects!$A$10)*(Labor!$E$6:$E$25="Sub")*N(Labor!$AA$6:$AA$25)))+SUMIFS(ODCs!$F$5:$F$22,ODCs!$D$5:$D$22,Projects!$A$10,ODCs!$E$5:$E$22,5)+SUMIFS(Travel!$F$5:$F$22,Travel!$D$5:$D$22,Projects!$A$10,Travel!$E$5:$E$22,5)+SUMIFS('M&amp;E'!$F$5:$F$22,'M&amp;E'!$D$5:$D$22,Projects!$A$10,'M&amp;E'!$E$5:$E$22,5))*(((SUMPRODUCT((Labor!$G$6:$G$25=Projects!$A$10)*(Labor!$E$6:$E$25="Prime")*N(Labor!$AA$6:$AA$25))*(1+Rates!$B$6)*(1+Rates!$B$7)+SUMPRODUCT((Labor!$G$6:$G$25=Projects!$A$10)*(Labor!$E$6:$E$25="Sub")*N(Labor!$AA$6:$AA$25)))+SUMIFS(ODCs!$F$5:$F$22,ODCs!$D$5:$D$22,Projects!$A$10,ODCs!$E$5:$E$22,5)+SUMIFS(Travel!$F$5:$F$22,Travel!$D$5:$D$22,Projects!$A$10,Travel!$E$5:$E$22,5)+SUMIFS('M&amp;E'!$F$5:$F$22,'M&amp;E'!$D$5:$D$22,Projects!$A$10,'M&amp;E'!$E$5:$E$22,5))*Rates!$B$8),0))*Rates!$C$20+((SUMIFS('M&amp;E'!$F$5:$F$22,'M&amp;E'!$D$5:$D$22,Projects!$A$10,'M&amp;E'!$E$5:$E$22,5))+IFERROR((SUMIFS('M&amp;E'!$F$5:$F$22,'M&amp;E'!$D$5:$D$22,Projects!$A$10,'M&amp;E'!$E$5:$E$22,5))/((SUMPRODUCT((Labor!$G$6:$G$25=Projects!$A$10)*(Labor!$E$6:$E$25="Prime")*N(Labor!$AA$6:$AA$25))*(1+Rates!$B$6)*(1+Rates!$B$7)+SUMPRODUCT((Labor!$G$6:$G$25=Projects!$A$10)*(Labor!$E$6:$E$25="Sub")*N(Labor!$AA$6:$AA$25)))+SUMIFS(ODCs!$F$5:$F$22,ODCs!$D$5:$D$22,Projects!$A$10,ODCs!$E$5:$E$22,5)+SUMIFS(Travel!$F$5:$F$22,Travel!$D$5:$D$22,Projects!$A$10,Travel!$E$5:$E$22,5)+SUMIFS('M&amp;E'!$F$5:$F$22,'M&amp;E'!$D$5:$D$22,Projects!$A$10,'M&amp;E'!$E$5:$E$22,5))*(((SUMPRODUCT((Labor!$G$6:$G$25=Projects!$A$10)*(Labor!$E$6:$E$25="Prime")*N(Labor!$AA$6:$AA$25))*(1+Rates!$B$6)*(1+Rates!$B$7)+SUMPRODUCT((Labor!$G$6:$G$25=Projects!$A$10)*(Labor!$E$6:$E$25="Sub")*N(Labor!$AA$6:$AA$25)))+SUMIFS(ODCs!$F$5:$F$22,ODCs!$D$5:$D$22,Projects!$A$10,ODCs!$E$5:$E$22,5)+SUMIFS(Travel!$F$5:$F$22,Travel!$D$5:$D$22,Projects!$A$10,Travel!$E$5:$E$22,5)+SUMIFS('M&amp;E'!$F$5:$F$22,'M&amp;E'!$D$5:$D$22,Projects!$A$10,'M&amp;E'!$E$5:$E$22,5))*Rates!$B$8),0))*Rates!$C$21))</f>
        <v/>
      </c>
      <c r="G41" s="132">
        <f>IF(Projects!$A$10="","",(((SUMPRODUCT((Labor!$G$6:$G$25=Projects!$A$10)*(Labor!$E$6:$E$25="Prime")*N(Labor!$AE$6:$AE$25))*(1+Rates!$B$6)*(1+Rates!$B$7)+SUMPRODUCT((Labor!$G$6:$G$25=Projects!$A$10)*(Labor!$E$6:$E$25="Sub")*N(Labor!$AE$6:$AE$25)))+SUMIFS(ODCs!$F$5:$F$22,ODCs!$D$5:$D$22,Projects!$A$10,ODCs!$E$5:$E$22,6)+SUMIFS(Travel!$F$5:$F$22,Travel!$D$5:$D$22,Projects!$A$10,Travel!$E$5:$E$22,6)+SUMIFS('M&amp;E'!$F$5:$F$22,'M&amp;E'!$D$5:$D$22,Projects!$A$10,'M&amp;E'!$E$5:$E$22,6))+(((SUMPRODUCT((Labor!$G$6:$G$25=Projects!$A$10)*(Labor!$E$6:$E$25="Prime")*N(Labor!$AE$6:$AE$25))*(1+Rates!$B$6)*(1+Rates!$B$7)+SUMPRODUCT((Labor!$G$6:$G$25=Projects!$A$10)*(Labor!$E$6:$E$25="Sub")*N(Labor!$AE$6:$AE$25)))+SUMIFS(ODCs!$F$5:$F$22,ODCs!$D$5:$D$22,Projects!$A$10,ODCs!$E$5:$E$22,6)+SUMIFS(Travel!$F$5:$F$22,Travel!$D$5:$D$22,Projects!$A$10,Travel!$E$5:$E$22,6)+SUMIFS('M&amp;E'!$F$5:$F$22,'M&amp;E'!$D$5:$D$22,Projects!$A$10,'M&amp;E'!$E$5:$E$22,6))*Rates!$B$8))+((((SUMPRODUCT((Labor!$G$6:$G$25=Projects!$A$10)*(Labor!$E$6:$E$25="Prime")*N(Labor!$AE$6:$AE$25))*(1+Rates!$B$6)*(1+Rates!$B$7)+SUMPRODUCT((Labor!$G$6:$G$25=Projects!$A$10)*(Labor!$E$6:$E$25="Sub")*N(Labor!$AE$6:$AE$25))))+IFERROR(((SUMPRODUCT((Labor!$G$6:$G$25=Projects!$A$10)*(Labor!$E$6:$E$25="Prime")*N(Labor!$AE$6:$AE$25))*(1+Rates!$B$6)*(1+Rates!$B$7)+SUMPRODUCT((Labor!$G$6:$G$25=Projects!$A$10)*(Labor!$E$6:$E$25="Sub")*N(Labor!$AE$6:$AE$25))))/((SUMPRODUCT((Labor!$G$6:$G$25=Projects!$A$10)*(Labor!$E$6:$E$25="Prime")*N(Labor!$AE$6:$AE$25))*(1+Rates!$B$6)*(1+Rates!$B$7)+SUMPRODUCT((Labor!$G$6:$G$25=Projects!$A$10)*(Labor!$E$6:$E$25="Sub")*N(Labor!$AE$6:$AE$25)))+SUMIFS(ODCs!$F$5:$F$22,ODCs!$D$5:$D$22,Projects!$A$10,ODCs!$E$5:$E$22,6)+SUMIFS(Travel!$F$5:$F$22,Travel!$D$5:$D$22,Projects!$A$10,Travel!$E$5:$E$22,6)+SUMIFS('M&amp;E'!$F$5:$F$22,'M&amp;E'!$D$5:$D$22,Projects!$A$10,'M&amp;E'!$E$5:$E$22,6))*(((SUMPRODUCT((Labor!$G$6:$G$25=Projects!$A$10)*(Labor!$E$6:$E$25="Prime")*N(Labor!$AE$6:$AE$25))*(1+Rates!$B$6)*(1+Rates!$B$7)+SUMPRODUCT((Labor!$G$6:$G$25=Projects!$A$10)*(Labor!$E$6:$E$25="Sub")*N(Labor!$AE$6:$AE$25)))+SUMIFS(ODCs!$F$5:$F$22,ODCs!$D$5:$D$22,Projects!$A$10,ODCs!$E$5:$E$22,6)+SUMIFS(Travel!$F$5:$F$22,Travel!$D$5:$D$22,Projects!$A$10,Travel!$E$5:$E$22,6)+SUMIFS('M&amp;E'!$F$5:$F$22,'M&amp;E'!$D$5:$D$22,Projects!$A$10,'M&amp;E'!$E$5:$E$22,6))*Rates!$B$8),0))*Rates!$C$18+((SUMIFS(Travel!$F$5:$F$22,Travel!$D$5:$D$22,Projects!$A$10,Travel!$E$5:$E$22,6))+IFERROR((SUMIFS(Travel!$F$5:$F$22,Travel!$D$5:$D$22,Projects!$A$10,Travel!$E$5:$E$22,6))/((SUMPRODUCT((Labor!$G$6:$G$25=Projects!$A$10)*(Labor!$E$6:$E$25="Prime")*N(Labor!$AE$6:$AE$25))*(1+Rates!$B$6)*(1+Rates!$B$7)+SUMPRODUCT((Labor!$G$6:$G$25=Projects!$A$10)*(Labor!$E$6:$E$25="Sub")*N(Labor!$AE$6:$AE$25)))+SUMIFS(ODCs!$F$5:$F$22,ODCs!$D$5:$D$22,Projects!$A$10,ODCs!$E$5:$E$22,6)+SUMIFS(Travel!$F$5:$F$22,Travel!$D$5:$D$22,Projects!$A$10,Travel!$E$5:$E$22,6)+SUMIFS('M&amp;E'!$F$5:$F$22,'M&amp;E'!$D$5:$D$22,Projects!$A$10,'M&amp;E'!$E$5:$E$22,6))*(((SUMPRODUCT((Labor!$G$6:$G$25=Projects!$A$10)*(Labor!$E$6:$E$25="Prime")*N(Labor!$AE$6:$AE$25))*(1+Rates!$B$6)*(1+Rates!$B$7)+SUMPRODUCT((Labor!$G$6:$G$25=Projects!$A$10)*(Labor!$E$6:$E$25="Sub")*N(Labor!$AE$6:$AE$25)))+SUMIFS(ODCs!$F$5:$F$22,ODCs!$D$5:$D$22,Projects!$A$10,ODCs!$E$5:$E$22,6)+SUMIFS(Travel!$F$5:$F$22,Travel!$D$5:$D$22,Projects!$A$10,Travel!$E$5:$E$22,6)+SUMIFS('M&amp;E'!$F$5:$F$22,'M&amp;E'!$D$5:$D$22,Projects!$A$10,'M&amp;E'!$E$5:$E$22,6))*Rates!$B$8),0))*Rates!$C$19+((SUMIFS(ODCs!$F$5:$F$22,ODCs!$D$5:$D$22,Projects!$A$10,ODCs!$E$5:$E$22,6))+IFERROR((SUMIFS(ODCs!$F$5:$F$22,ODCs!$D$5:$D$22,Projects!$A$10,ODCs!$E$5:$E$22,6))/((SUMPRODUCT((Labor!$G$6:$G$25=Projects!$A$10)*(Labor!$E$6:$E$25="Prime")*N(Labor!$AE$6:$AE$25))*(1+Rates!$B$6)*(1+Rates!$B$7)+SUMPRODUCT((Labor!$G$6:$G$25=Projects!$A$10)*(Labor!$E$6:$E$25="Sub")*N(Labor!$AE$6:$AE$25)))+SUMIFS(ODCs!$F$5:$F$22,ODCs!$D$5:$D$22,Projects!$A$10,ODCs!$E$5:$E$22,6)+SUMIFS(Travel!$F$5:$F$22,Travel!$D$5:$D$22,Projects!$A$10,Travel!$E$5:$E$22,6)+SUMIFS('M&amp;E'!$F$5:$F$22,'M&amp;E'!$D$5:$D$22,Projects!$A$10,'M&amp;E'!$E$5:$E$22,6))*(((SUMPRODUCT((Labor!$G$6:$G$25=Projects!$A$10)*(Labor!$E$6:$E$25="Prime")*N(Labor!$AE$6:$AE$25))*(1+Rates!$B$6)*(1+Rates!$B$7)+SUMPRODUCT((Labor!$G$6:$G$25=Projects!$A$10)*(Labor!$E$6:$E$25="Sub")*N(Labor!$AE$6:$AE$25)))+SUMIFS(ODCs!$F$5:$F$22,ODCs!$D$5:$D$22,Projects!$A$10,ODCs!$E$5:$E$22,6)+SUMIFS(Travel!$F$5:$F$22,Travel!$D$5:$D$22,Projects!$A$10,Travel!$E$5:$E$22,6)+SUMIFS('M&amp;E'!$F$5:$F$22,'M&amp;E'!$D$5:$D$22,Projects!$A$10,'M&amp;E'!$E$5:$E$22,6))*Rates!$B$8),0))*Rates!$C$20+((SUMIFS('M&amp;E'!$F$5:$F$22,'M&amp;E'!$D$5:$D$22,Projects!$A$10,'M&amp;E'!$E$5:$E$22,6))+IFERROR((SUMIFS('M&amp;E'!$F$5:$F$22,'M&amp;E'!$D$5:$D$22,Projects!$A$10,'M&amp;E'!$E$5:$E$22,6))/((SUMPRODUCT((Labor!$G$6:$G$25=Projects!$A$10)*(Labor!$E$6:$E$25="Prime")*N(Labor!$AE$6:$AE$25))*(1+Rates!$B$6)*(1+Rates!$B$7)+SUMPRODUCT((Labor!$G$6:$G$25=Projects!$A$10)*(Labor!$E$6:$E$25="Sub")*N(Labor!$AE$6:$AE$25)))+SUMIFS(ODCs!$F$5:$F$22,ODCs!$D$5:$D$22,Projects!$A$10,ODCs!$E$5:$E$22,6)+SUMIFS(Travel!$F$5:$F$22,Travel!$D$5:$D$22,Projects!$A$10,Travel!$E$5:$E$22,6)+SUMIFS('M&amp;E'!$F$5:$F$22,'M&amp;E'!$D$5:$D$22,Projects!$A$10,'M&amp;E'!$E$5:$E$22,6))*(((SUMPRODUCT((Labor!$G$6:$G$25=Projects!$A$10)*(Labor!$E$6:$E$25="Prime")*N(Labor!$AE$6:$AE$25))*(1+Rates!$B$6)*(1+Rates!$B$7)+SUMPRODUCT((Labor!$G$6:$G$25=Projects!$A$10)*(Labor!$E$6:$E$25="Sub")*N(Labor!$AE$6:$AE$25)))+SUMIFS(ODCs!$F$5:$F$22,ODCs!$D$5:$D$22,Projects!$A$10,ODCs!$E$5:$E$22,6)+SUMIFS(Travel!$F$5:$F$22,Travel!$D$5:$D$22,Projects!$A$10,Travel!$E$5:$E$22,6)+SUMIFS('M&amp;E'!$F$5:$F$22,'M&amp;E'!$D$5:$D$22,Projects!$A$10,'M&amp;E'!$E$5:$E$22,6))*Rates!$B$8),0))*Rates!$C$21))</f>
        <v/>
      </c>
      <c r="H41" s="132">
        <f>IF(Projects!$A$10="","",(((SUMPRODUCT((Labor!$G$6:$G$25=Projects!$A$10)*(Labor!$E$6:$E$25="Prime")*N(Labor!$AI$6:$AI$25))*(1+Rates!$B$6)*(1+Rates!$B$7)+SUMPRODUCT((Labor!$G$6:$G$25=Projects!$A$10)*(Labor!$E$6:$E$25="Sub")*N(Labor!$AI$6:$AI$25)))+SUMIFS(ODCs!$F$5:$F$22,ODCs!$D$5:$D$22,Projects!$A$10,ODCs!$E$5:$E$22,7)+SUMIFS(Travel!$F$5:$F$22,Travel!$D$5:$D$22,Projects!$A$10,Travel!$E$5:$E$22,7)+SUMIFS('M&amp;E'!$F$5:$F$22,'M&amp;E'!$D$5:$D$22,Projects!$A$10,'M&amp;E'!$E$5:$E$22,7))+(((SUMPRODUCT((Labor!$G$6:$G$25=Projects!$A$10)*(Labor!$E$6:$E$25="Prime")*N(Labor!$AI$6:$AI$25))*(1+Rates!$B$6)*(1+Rates!$B$7)+SUMPRODUCT((Labor!$G$6:$G$25=Projects!$A$10)*(Labor!$E$6:$E$25="Sub")*N(Labor!$AI$6:$AI$25)))+SUMIFS(ODCs!$F$5:$F$22,ODCs!$D$5:$D$22,Projects!$A$10,ODCs!$E$5:$E$22,7)+SUMIFS(Travel!$F$5:$F$22,Travel!$D$5:$D$22,Projects!$A$10,Travel!$E$5:$E$22,7)+SUMIFS('M&amp;E'!$F$5:$F$22,'M&amp;E'!$D$5:$D$22,Projects!$A$10,'M&amp;E'!$E$5:$E$22,7))*Rates!$B$8))+((((SUMPRODUCT((Labor!$G$6:$G$25=Projects!$A$10)*(Labor!$E$6:$E$25="Prime")*N(Labor!$AI$6:$AI$25))*(1+Rates!$B$6)*(1+Rates!$B$7)+SUMPRODUCT((Labor!$G$6:$G$25=Projects!$A$10)*(Labor!$E$6:$E$25="Sub")*N(Labor!$AI$6:$AI$25))))+IFERROR(((SUMPRODUCT((Labor!$G$6:$G$25=Projects!$A$10)*(Labor!$E$6:$E$25="Prime")*N(Labor!$AI$6:$AI$25))*(1+Rates!$B$6)*(1+Rates!$B$7)+SUMPRODUCT((Labor!$G$6:$G$25=Projects!$A$10)*(Labor!$E$6:$E$25="Sub")*N(Labor!$AI$6:$AI$25))))/((SUMPRODUCT((Labor!$G$6:$G$25=Projects!$A$10)*(Labor!$E$6:$E$25="Prime")*N(Labor!$AI$6:$AI$25))*(1+Rates!$B$6)*(1+Rates!$B$7)+SUMPRODUCT((Labor!$G$6:$G$25=Projects!$A$10)*(Labor!$E$6:$E$25="Sub")*N(Labor!$AI$6:$AI$25)))+SUMIFS(ODCs!$F$5:$F$22,ODCs!$D$5:$D$22,Projects!$A$10,ODCs!$E$5:$E$22,7)+SUMIFS(Travel!$F$5:$F$22,Travel!$D$5:$D$22,Projects!$A$10,Travel!$E$5:$E$22,7)+SUMIFS('M&amp;E'!$F$5:$F$22,'M&amp;E'!$D$5:$D$22,Projects!$A$10,'M&amp;E'!$E$5:$E$22,7))*(((SUMPRODUCT((Labor!$G$6:$G$25=Projects!$A$10)*(Labor!$E$6:$E$25="Prime")*N(Labor!$AI$6:$AI$25))*(1+Rates!$B$6)*(1+Rates!$B$7)+SUMPRODUCT((Labor!$G$6:$G$25=Projects!$A$10)*(Labor!$E$6:$E$25="Sub")*N(Labor!$AI$6:$AI$25)))+SUMIFS(ODCs!$F$5:$F$22,ODCs!$D$5:$D$22,Projects!$A$10,ODCs!$E$5:$E$22,7)+SUMIFS(Travel!$F$5:$F$22,Travel!$D$5:$D$22,Projects!$A$10,Travel!$E$5:$E$22,7)+SUMIFS('M&amp;E'!$F$5:$F$22,'M&amp;E'!$D$5:$D$22,Projects!$A$10,'M&amp;E'!$E$5:$E$22,7))*Rates!$B$8),0))*Rates!$C$18+((SUMIFS(Travel!$F$5:$F$22,Travel!$D$5:$D$22,Projects!$A$10,Travel!$E$5:$E$22,7))+IFERROR((SUMIFS(Travel!$F$5:$F$22,Travel!$D$5:$D$22,Projects!$A$10,Travel!$E$5:$E$22,7))/((SUMPRODUCT((Labor!$G$6:$G$25=Projects!$A$10)*(Labor!$E$6:$E$25="Prime")*N(Labor!$AI$6:$AI$25))*(1+Rates!$B$6)*(1+Rates!$B$7)+SUMPRODUCT((Labor!$G$6:$G$25=Projects!$A$10)*(Labor!$E$6:$E$25="Sub")*N(Labor!$AI$6:$AI$25)))+SUMIFS(ODCs!$F$5:$F$22,ODCs!$D$5:$D$22,Projects!$A$10,ODCs!$E$5:$E$22,7)+SUMIFS(Travel!$F$5:$F$22,Travel!$D$5:$D$22,Projects!$A$10,Travel!$E$5:$E$22,7)+SUMIFS('M&amp;E'!$F$5:$F$22,'M&amp;E'!$D$5:$D$22,Projects!$A$10,'M&amp;E'!$E$5:$E$22,7))*(((SUMPRODUCT((Labor!$G$6:$G$25=Projects!$A$10)*(Labor!$E$6:$E$25="Prime")*N(Labor!$AI$6:$AI$25))*(1+Rates!$B$6)*(1+Rates!$B$7)+SUMPRODUCT((Labor!$G$6:$G$25=Projects!$A$10)*(Labor!$E$6:$E$25="Sub")*N(Labor!$AI$6:$AI$25)))+SUMIFS(ODCs!$F$5:$F$22,ODCs!$D$5:$D$22,Projects!$A$10,ODCs!$E$5:$E$22,7)+SUMIFS(Travel!$F$5:$F$22,Travel!$D$5:$D$22,Projects!$A$10,Travel!$E$5:$E$22,7)+SUMIFS('M&amp;E'!$F$5:$F$22,'M&amp;E'!$D$5:$D$22,Projects!$A$10,'M&amp;E'!$E$5:$E$22,7))*Rates!$B$8),0))*Rates!$C$19+((SUMIFS(ODCs!$F$5:$F$22,ODCs!$D$5:$D$22,Projects!$A$10,ODCs!$E$5:$E$22,7))+IFERROR((SUMIFS(ODCs!$F$5:$F$22,ODCs!$D$5:$D$22,Projects!$A$10,ODCs!$E$5:$E$22,7))/((SUMPRODUCT((Labor!$G$6:$G$25=Projects!$A$10)*(Labor!$E$6:$E$25="Prime")*N(Labor!$AI$6:$AI$25))*(1+Rates!$B$6)*(1+Rates!$B$7)+SUMPRODUCT((Labor!$G$6:$G$25=Projects!$A$10)*(Labor!$E$6:$E$25="Sub")*N(Labor!$AI$6:$AI$25)))+SUMIFS(ODCs!$F$5:$F$22,ODCs!$D$5:$D$22,Projects!$A$10,ODCs!$E$5:$E$22,7)+SUMIFS(Travel!$F$5:$F$22,Travel!$D$5:$D$22,Projects!$A$10,Travel!$E$5:$E$22,7)+SUMIFS('M&amp;E'!$F$5:$F$22,'M&amp;E'!$D$5:$D$22,Projects!$A$10,'M&amp;E'!$E$5:$E$22,7))*(((SUMPRODUCT((Labor!$G$6:$G$25=Projects!$A$10)*(Labor!$E$6:$E$25="Prime")*N(Labor!$AI$6:$AI$25))*(1+Rates!$B$6)*(1+Rates!$B$7)+SUMPRODUCT((Labor!$G$6:$G$25=Projects!$A$10)*(Labor!$E$6:$E$25="Sub")*N(Labor!$AI$6:$AI$25)))+SUMIFS(ODCs!$F$5:$F$22,ODCs!$D$5:$D$22,Projects!$A$10,ODCs!$E$5:$E$22,7)+SUMIFS(Travel!$F$5:$F$22,Travel!$D$5:$D$22,Projects!$A$10,Travel!$E$5:$E$22,7)+SUMIFS('M&amp;E'!$F$5:$F$22,'M&amp;E'!$D$5:$D$22,Projects!$A$10,'M&amp;E'!$E$5:$E$22,7))*Rates!$B$8),0))*Rates!$C$20+((SUMIFS('M&amp;E'!$F$5:$F$22,'M&amp;E'!$D$5:$D$22,Projects!$A$10,'M&amp;E'!$E$5:$E$22,7))+IFERROR((SUMIFS('M&amp;E'!$F$5:$F$22,'M&amp;E'!$D$5:$D$22,Projects!$A$10,'M&amp;E'!$E$5:$E$22,7))/((SUMPRODUCT((Labor!$G$6:$G$25=Projects!$A$10)*(Labor!$E$6:$E$25="Prime")*N(Labor!$AI$6:$AI$25))*(1+Rates!$B$6)*(1+Rates!$B$7)+SUMPRODUCT((Labor!$G$6:$G$25=Projects!$A$10)*(Labor!$E$6:$E$25="Sub")*N(Labor!$AI$6:$AI$25)))+SUMIFS(ODCs!$F$5:$F$22,ODCs!$D$5:$D$22,Projects!$A$10,ODCs!$E$5:$E$22,7)+SUMIFS(Travel!$F$5:$F$22,Travel!$D$5:$D$22,Projects!$A$10,Travel!$E$5:$E$22,7)+SUMIFS('M&amp;E'!$F$5:$F$22,'M&amp;E'!$D$5:$D$22,Projects!$A$10,'M&amp;E'!$E$5:$E$22,7))*(((SUMPRODUCT((Labor!$G$6:$G$25=Projects!$A$10)*(Labor!$E$6:$E$25="Prime")*N(Labor!$AI$6:$AI$25))*(1+Rates!$B$6)*(1+Rates!$B$7)+SUMPRODUCT((Labor!$G$6:$G$25=Projects!$A$10)*(Labor!$E$6:$E$25="Sub")*N(Labor!$AI$6:$AI$25)))+SUMIFS(ODCs!$F$5:$F$22,ODCs!$D$5:$D$22,Projects!$A$10,ODCs!$E$5:$E$22,7)+SUMIFS(Travel!$F$5:$F$22,Travel!$D$5:$D$22,Projects!$A$10,Travel!$E$5:$E$22,7)+SUMIFS('M&amp;E'!$F$5:$F$22,'M&amp;E'!$D$5:$D$22,Projects!$A$10,'M&amp;E'!$E$5:$E$22,7))*Rates!$B$8),0))*Rates!$C$21))</f>
        <v/>
      </c>
      <c r="I41" s="132">
        <f>IF(Projects!$A$10="","",(((SUMPRODUCT((Labor!$G$6:$G$25=Projects!$A$10)*(Labor!$E$6:$E$25="Prime")*N(Labor!$AM$6:$AM$25))*(1+Rates!$B$6)*(1+Rates!$B$7)+SUMPRODUCT((Labor!$G$6:$G$25=Projects!$A$10)*(Labor!$E$6:$E$25="Sub")*N(Labor!$AM$6:$AM$25)))+SUMIFS(ODCs!$F$5:$F$22,ODCs!$D$5:$D$22,Projects!$A$10,ODCs!$E$5:$E$22,8)+SUMIFS(Travel!$F$5:$F$22,Travel!$D$5:$D$22,Projects!$A$10,Travel!$E$5:$E$22,8)+SUMIFS('M&amp;E'!$F$5:$F$22,'M&amp;E'!$D$5:$D$22,Projects!$A$10,'M&amp;E'!$E$5:$E$22,8))+(((SUMPRODUCT((Labor!$G$6:$G$25=Projects!$A$10)*(Labor!$E$6:$E$25="Prime")*N(Labor!$AM$6:$AM$25))*(1+Rates!$B$6)*(1+Rates!$B$7)+SUMPRODUCT((Labor!$G$6:$G$25=Projects!$A$10)*(Labor!$E$6:$E$25="Sub")*N(Labor!$AM$6:$AM$25)))+SUMIFS(ODCs!$F$5:$F$22,ODCs!$D$5:$D$22,Projects!$A$10,ODCs!$E$5:$E$22,8)+SUMIFS(Travel!$F$5:$F$22,Travel!$D$5:$D$22,Projects!$A$10,Travel!$E$5:$E$22,8)+SUMIFS('M&amp;E'!$F$5:$F$22,'M&amp;E'!$D$5:$D$22,Projects!$A$10,'M&amp;E'!$E$5:$E$22,8))*Rates!$B$8))+((((SUMPRODUCT((Labor!$G$6:$G$25=Projects!$A$10)*(Labor!$E$6:$E$25="Prime")*N(Labor!$AM$6:$AM$25))*(1+Rates!$B$6)*(1+Rates!$B$7)+SUMPRODUCT((Labor!$G$6:$G$25=Projects!$A$10)*(Labor!$E$6:$E$25="Sub")*N(Labor!$AM$6:$AM$25))))+IFERROR(((SUMPRODUCT((Labor!$G$6:$G$25=Projects!$A$10)*(Labor!$E$6:$E$25="Prime")*N(Labor!$AM$6:$AM$25))*(1+Rates!$B$6)*(1+Rates!$B$7)+SUMPRODUCT((Labor!$G$6:$G$25=Projects!$A$10)*(Labor!$E$6:$E$25="Sub")*N(Labor!$AM$6:$AM$25))))/((SUMPRODUCT((Labor!$G$6:$G$25=Projects!$A$10)*(Labor!$E$6:$E$25="Prime")*N(Labor!$AM$6:$AM$25))*(1+Rates!$B$6)*(1+Rates!$B$7)+SUMPRODUCT((Labor!$G$6:$G$25=Projects!$A$10)*(Labor!$E$6:$E$25="Sub")*N(Labor!$AM$6:$AM$25)))+SUMIFS(ODCs!$F$5:$F$22,ODCs!$D$5:$D$22,Projects!$A$10,ODCs!$E$5:$E$22,8)+SUMIFS(Travel!$F$5:$F$22,Travel!$D$5:$D$22,Projects!$A$10,Travel!$E$5:$E$22,8)+SUMIFS('M&amp;E'!$F$5:$F$22,'M&amp;E'!$D$5:$D$22,Projects!$A$10,'M&amp;E'!$E$5:$E$22,8))*(((SUMPRODUCT((Labor!$G$6:$G$25=Projects!$A$10)*(Labor!$E$6:$E$25="Prime")*N(Labor!$AM$6:$AM$25))*(1+Rates!$B$6)*(1+Rates!$B$7)+SUMPRODUCT((Labor!$G$6:$G$25=Projects!$A$10)*(Labor!$E$6:$E$25="Sub")*N(Labor!$AM$6:$AM$25)))+SUMIFS(ODCs!$F$5:$F$22,ODCs!$D$5:$D$22,Projects!$A$10,ODCs!$E$5:$E$22,8)+SUMIFS(Travel!$F$5:$F$22,Travel!$D$5:$D$22,Projects!$A$10,Travel!$E$5:$E$22,8)+SUMIFS('M&amp;E'!$F$5:$F$22,'M&amp;E'!$D$5:$D$22,Projects!$A$10,'M&amp;E'!$E$5:$E$22,8))*Rates!$B$8),0))*Rates!$C$18+((SUMIFS(Travel!$F$5:$F$22,Travel!$D$5:$D$22,Projects!$A$10,Travel!$E$5:$E$22,8))+IFERROR((SUMIFS(Travel!$F$5:$F$22,Travel!$D$5:$D$22,Projects!$A$10,Travel!$E$5:$E$22,8))/((SUMPRODUCT((Labor!$G$6:$G$25=Projects!$A$10)*(Labor!$E$6:$E$25="Prime")*N(Labor!$AM$6:$AM$25))*(1+Rates!$B$6)*(1+Rates!$B$7)+SUMPRODUCT((Labor!$G$6:$G$25=Projects!$A$10)*(Labor!$E$6:$E$25="Sub")*N(Labor!$AM$6:$AM$25)))+SUMIFS(ODCs!$F$5:$F$22,ODCs!$D$5:$D$22,Projects!$A$10,ODCs!$E$5:$E$22,8)+SUMIFS(Travel!$F$5:$F$22,Travel!$D$5:$D$22,Projects!$A$10,Travel!$E$5:$E$22,8)+SUMIFS('M&amp;E'!$F$5:$F$22,'M&amp;E'!$D$5:$D$22,Projects!$A$10,'M&amp;E'!$E$5:$E$22,8))*(((SUMPRODUCT((Labor!$G$6:$G$25=Projects!$A$10)*(Labor!$E$6:$E$25="Prime")*N(Labor!$AM$6:$AM$25))*(1+Rates!$B$6)*(1+Rates!$B$7)+SUMPRODUCT((Labor!$G$6:$G$25=Projects!$A$10)*(Labor!$E$6:$E$25="Sub")*N(Labor!$AM$6:$AM$25)))+SUMIFS(ODCs!$F$5:$F$22,ODCs!$D$5:$D$22,Projects!$A$10,ODCs!$E$5:$E$22,8)+SUMIFS(Travel!$F$5:$F$22,Travel!$D$5:$D$22,Projects!$A$10,Travel!$E$5:$E$22,8)+SUMIFS('M&amp;E'!$F$5:$F$22,'M&amp;E'!$D$5:$D$22,Projects!$A$10,'M&amp;E'!$E$5:$E$22,8))*Rates!$B$8),0))*Rates!$C$19+((SUMIFS(ODCs!$F$5:$F$22,ODCs!$D$5:$D$22,Projects!$A$10,ODCs!$E$5:$E$22,8))+IFERROR((SUMIFS(ODCs!$F$5:$F$22,ODCs!$D$5:$D$22,Projects!$A$10,ODCs!$E$5:$E$22,8))/((SUMPRODUCT((Labor!$G$6:$G$25=Projects!$A$10)*(Labor!$E$6:$E$25="Prime")*N(Labor!$AM$6:$AM$25))*(1+Rates!$B$6)*(1+Rates!$B$7)+SUMPRODUCT((Labor!$G$6:$G$25=Projects!$A$10)*(Labor!$E$6:$E$25="Sub")*N(Labor!$AM$6:$AM$25)))+SUMIFS(ODCs!$F$5:$F$22,ODCs!$D$5:$D$22,Projects!$A$10,ODCs!$E$5:$E$22,8)+SUMIFS(Travel!$F$5:$F$22,Travel!$D$5:$D$22,Projects!$A$10,Travel!$E$5:$E$22,8)+SUMIFS('M&amp;E'!$F$5:$F$22,'M&amp;E'!$D$5:$D$22,Projects!$A$10,'M&amp;E'!$E$5:$E$22,8))*(((SUMPRODUCT((Labor!$G$6:$G$25=Projects!$A$10)*(Labor!$E$6:$E$25="Prime")*N(Labor!$AM$6:$AM$25))*(1+Rates!$B$6)*(1+Rates!$B$7)+SUMPRODUCT((Labor!$G$6:$G$25=Projects!$A$10)*(Labor!$E$6:$E$25="Sub")*N(Labor!$AM$6:$AM$25)))+SUMIFS(ODCs!$F$5:$F$22,ODCs!$D$5:$D$22,Projects!$A$10,ODCs!$E$5:$E$22,8)+SUMIFS(Travel!$F$5:$F$22,Travel!$D$5:$D$22,Projects!$A$10,Travel!$E$5:$E$22,8)+SUMIFS('M&amp;E'!$F$5:$F$22,'M&amp;E'!$D$5:$D$22,Projects!$A$10,'M&amp;E'!$E$5:$E$22,8))*Rates!$B$8),0))*Rates!$C$20+((SUMIFS('M&amp;E'!$F$5:$F$22,'M&amp;E'!$D$5:$D$22,Projects!$A$10,'M&amp;E'!$E$5:$E$22,8))+IFERROR((SUMIFS('M&amp;E'!$F$5:$F$22,'M&amp;E'!$D$5:$D$22,Projects!$A$10,'M&amp;E'!$E$5:$E$22,8))/((SUMPRODUCT((Labor!$G$6:$G$25=Projects!$A$10)*(Labor!$E$6:$E$25="Prime")*N(Labor!$AM$6:$AM$25))*(1+Rates!$B$6)*(1+Rates!$B$7)+SUMPRODUCT((Labor!$G$6:$G$25=Projects!$A$10)*(Labor!$E$6:$E$25="Sub")*N(Labor!$AM$6:$AM$25)))+SUMIFS(ODCs!$F$5:$F$22,ODCs!$D$5:$D$22,Projects!$A$10,ODCs!$E$5:$E$22,8)+SUMIFS(Travel!$F$5:$F$22,Travel!$D$5:$D$22,Projects!$A$10,Travel!$E$5:$E$22,8)+SUMIFS('M&amp;E'!$F$5:$F$22,'M&amp;E'!$D$5:$D$22,Projects!$A$10,'M&amp;E'!$E$5:$E$22,8))*(((SUMPRODUCT((Labor!$G$6:$G$25=Projects!$A$10)*(Labor!$E$6:$E$25="Prime")*N(Labor!$AM$6:$AM$25))*(1+Rates!$B$6)*(1+Rates!$B$7)+SUMPRODUCT((Labor!$G$6:$G$25=Projects!$A$10)*(Labor!$E$6:$E$25="Sub")*N(Labor!$AM$6:$AM$25)))+SUMIFS(ODCs!$F$5:$F$22,ODCs!$D$5:$D$22,Projects!$A$10,ODCs!$E$5:$E$22,8)+SUMIFS(Travel!$F$5:$F$22,Travel!$D$5:$D$22,Projects!$A$10,Travel!$E$5:$E$22,8)+SUMIFS('M&amp;E'!$F$5:$F$22,'M&amp;E'!$D$5:$D$22,Projects!$A$10,'M&amp;E'!$E$5:$E$22,8))*Rates!$B$8),0))*Rates!$C$21))</f>
        <v/>
      </c>
      <c r="J41" s="132">
        <f>IF(Projects!$A$10="","",(((SUMPRODUCT((Labor!$G$6:$G$25=Projects!$A$10)*(Labor!$E$6:$E$25="Prime")*N(Labor!$AQ$6:$AQ$25))*(1+Rates!$B$6)*(1+Rates!$B$7)+SUMPRODUCT((Labor!$G$6:$G$25=Projects!$A$10)*(Labor!$E$6:$E$25="Sub")*N(Labor!$AQ$6:$AQ$25)))+SUMIFS(ODCs!$F$5:$F$22,ODCs!$D$5:$D$22,Projects!$A$10,ODCs!$E$5:$E$22,9)+SUMIFS(Travel!$F$5:$F$22,Travel!$D$5:$D$22,Projects!$A$10,Travel!$E$5:$E$22,9)+SUMIFS('M&amp;E'!$F$5:$F$22,'M&amp;E'!$D$5:$D$22,Projects!$A$10,'M&amp;E'!$E$5:$E$22,9))+(((SUMPRODUCT((Labor!$G$6:$G$25=Projects!$A$10)*(Labor!$E$6:$E$25="Prime")*N(Labor!$AQ$6:$AQ$25))*(1+Rates!$B$6)*(1+Rates!$B$7)+SUMPRODUCT((Labor!$G$6:$G$25=Projects!$A$10)*(Labor!$E$6:$E$25="Sub")*N(Labor!$AQ$6:$AQ$25)))+SUMIFS(ODCs!$F$5:$F$22,ODCs!$D$5:$D$22,Projects!$A$10,ODCs!$E$5:$E$22,9)+SUMIFS(Travel!$F$5:$F$22,Travel!$D$5:$D$22,Projects!$A$10,Travel!$E$5:$E$22,9)+SUMIFS('M&amp;E'!$F$5:$F$22,'M&amp;E'!$D$5:$D$22,Projects!$A$10,'M&amp;E'!$E$5:$E$22,9))*Rates!$B$8))+((((SUMPRODUCT((Labor!$G$6:$G$25=Projects!$A$10)*(Labor!$E$6:$E$25="Prime")*N(Labor!$AQ$6:$AQ$25))*(1+Rates!$B$6)*(1+Rates!$B$7)+SUMPRODUCT((Labor!$G$6:$G$25=Projects!$A$10)*(Labor!$E$6:$E$25="Sub")*N(Labor!$AQ$6:$AQ$25))))+IFERROR(((SUMPRODUCT((Labor!$G$6:$G$25=Projects!$A$10)*(Labor!$E$6:$E$25="Prime")*N(Labor!$AQ$6:$AQ$25))*(1+Rates!$B$6)*(1+Rates!$B$7)+SUMPRODUCT((Labor!$G$6:$G$25=Projects!$A$10)*(Labor!$E$6:$E$25="Sub")*N(Labor!$AQ$6:$AQ$25))))/((SUMPRODUCT((Labor!$G$6:$G$25=Projects!$A$10)*(Labor!$E$6:$E$25="Prime")*N(Labor!$AQ$6:$AQ$25))*(1+Rates!$B$6)*(1+Rates!$B$7)+SUMPRODUCT((Labor!$G$6:$G$25=Projects!$A$10)*(Labor!$E$6:$E$25="Sub")*N(Labor!$AQ$6:$AQ$25)))+SUMIFS(ODCs!$F$5:$F$22,ODCs!$D$5:$D$22,Projects!$A$10,ODCs!$E$5:$E$22,9)+SUMIFS(Travel!$F$5:$F$22,Travel!$D$5:$D$22,Projects!$A$10,Travel!$E$5:$E$22,9)+SUMIFS('M&amp;E'!$F$5:$F$22,'M&amp;E'!$D$5:$D$22,Projects!$A$10,'M&amp;E'!$E$5:$E$22,9))*(((SUMPRODUCT((Labor!$G$6:$G$25=Projects!$A$10)*(Labor!$E$6:$E$25="Prime")*N(Labor!$AQ$6:$AQ$25))*(1+Rates!$B$6)*(1+Rates!$B$7)+SUMPRODUCT((Labor!$G$6:$G$25=Projects!$A$10)*(Labor!$E$6:$E$25="Sub")*N(Labor!$AQ$6:$AQ$25)))+SUMIFS(ODCs!$F$5:$F$22,ODCs!$D$5:$D$22,Projects!$A$10,ODCs!$E$5:$E$22,9)+SUMIFS(Travel!$F$5:$F$22,Travel!$D$5:$D$22,Projects!$A$10,Travel!$E$5:$E$22,9)+SUMIFS('M&amp;E'!$F$5:$F$22,'M&amp;E'!$D$5:$D$22,Projects!$A$10,'M&amp;E'!$E$5:$E$22,9))*Rates!$B$8),0))*Rates!$C$18+((SUMIFS(Travel!$F$5:$F$22,Travel!$D$5:$D$22,Projects!$A$10,Travel!$E$5:$E$22,9))+IFERROR((SUMIFS(Travel!$F$5:$F$22,Travel!$D$5:$D$22,Projects!$A$10,Travel!$E$5:$E$22,9))/((SUMPRODUCT((Labor!$G$6:$G$25=Projects!$A$10)*(Labor!$E$6:$E$25="Prime")*N(Labor!$AQ$6:$AQ$25))*(1+Rates!$B$6)*(1+Rates!$B$7)+SUMPRODUCT((Labor!$G$6:$G$25=Projects!$A$10)*(Labor!$E$6:$E$25="Sub")*N(Labor!$AQ$6:$AQ$25)))+SUMIFS(ODCs!$F$5:$F$22,ODCs!$D$5:$D$22,Projects!$A$10,ODCs!$E$5:$E$22,9)+SUMIFS(Travel!$F$5:$F$22,Travel!$D$5:$D$22,Projects!$A$10,Travel!$E$5:$E$22,9)+SUMIFS('M&amp;E'!$F$5:$F$22,'M&amp;E'!$D$5:$D$22,Projects!$A$10,'M&amp;E'!$E$5:$E$22,9))*(((SUMPRODUCT((Labor!$G$6:$G$25=Projects!$A$10)*(Labor!$E$6:$E$25="Prime")*N(Labor!$AQ$6:$AQ$25))*(1+Rates!$B$6)*(1+Rates!$B$7)+SUMPRODUCT((Labor!$G$6:$G$25=Projects!$A$10)*(Labor!$E$6:$E$25="Sub")*N(Labor!$AQ$6:$AQ$25)))+SUMIFS(ODCs!$F$5:$F$22,ODCs!$D$5:$D$22,Projects!$A$10,ODCs!$E$5:$E$22,9)+SUMIFS(Travel!$F$5:$F$22,Travel!$D$5:$D$22,Projects!$A$10,Travel!$E$5:$E$22,9)+SUMIFS('M&amp;E'!$F$5:$F$22,'M&amp;E'!$D$5:$D$22,Projects!$A$10,'M&amp;E'!$E$5:$E$22,9))*Rates!$B$8),0))*Rates!$C$19+((SUMIFS(ODCs!$F$5:$F$22,ODCs!$D$5:$D$22,Projects!$A$10,ODCs!$E$5:$E$22,9))+IFERROR((SUMIFS(ODCs!$F$5:$F$22,ODCs!$D$5:$D$22,Projects!$A$10,ODCs!$E$5:$E$22,9))/((SUMPRODUCT((Labor!$G$6:$G$25=Projects!$A$10)*(Labor!$E$6:$E$25="Prime")*N(Labor!$AQ$6:$AQ$25))*(1+Rates!$B$6)*(1+Rates!$B$7)+SUMPRODUCT((Labor!$G$6:$G$25=Projects!$A$10)*(Labor!$E$6:$E$25="Sub")*N(Labor!$AQ$6:$AQ$25)))+SUMIFS(ODCs!$F$5:$F$22,ODCs!$D$5:$D$22,Projects!$A$10,ODCs!$E$5:$E$22,9)+SUMIFS(Travel!$F$5:$F$22,Travel!$D$5:$D$22,Projects!$A$10,Travel!$E$5:$E$22,9)+SUMIFS('M&amp;E'!$F$5:$F$22,'M&amp;E'!$D$5:$D$22,Projects!$A$10,'M&amp;E'!$E$5:$E$22,9))*(((SUMPRODUCT((Labor!$G$6:$G$25=Projects!$A$10)*(Labor!$E$6:$E$25="Prime")*N(Labor!$AQ$6:$AQ$25))*(1+Rates!$B$6)*(1+Rates!$B$7)+SUMPRODUCT((Labor!$G$6:$G$25=Projects!$A$10)*(Labor!$E$6:$E$25="Sub")*N(Labor!$AQ$6:$AQ$25)))+SUMIFS(ODCs!$F$5:$F$22,ODCs!$D$5:$D$22,Projects!$A$10,ODCs!$E$5:$E$22,9)+SUMIFS(Travel!$F$5:$F$22,Travel!$D$5:$D$22,Projects!$A$10,Travel!$E$5:$E$22,9)+SUMIFS('M&amp;E'!$F$5:$F$22,'M&amp;E'!$D$5:$D$22,Projects!$A$10,'M&amp;E'!$E$5:$E$22,9))*Rates!$B$8),0))*Rates!$C$20+((SUMIFS('M&amp;E'!$F$5:$F$22,'M&amp;E'!$D$5:$D$22,Projects!$A$10,'M&amp;E'!$E$5:$E$22,9))+IFERROR((SUMIFS('M&amp;E'!$F$5:$F$22,'M&amp;E'!$D$5:$D$22,Projects!$A$10,'M&amp;E'!$E$5:$E$22,9))/((SUMPRODUCT((Labor!$G$6:$G$25=Projects!$A$10)*(Labor!$E$6:$E$25="Prime")*N(Labor!$AQ$6:$AQ$25))*(1+Rates!$B$6)*(1+Rates!$B$7)+SUMPRODUCT((Labor!$G$6:$G$25=Projects!$A$10)*(Labor!$E$6:$E$25="Sub")*N(Labor!$AQ$6:$AQ$25)))+SUMIFS(ODCs!$F$5:$F$22,ODCs!$D$5:$D$22,Projects!$A$10,ODCs!$E$5:$E$22,9)+SUMIFS(Travel!$F$5:$F$22,Travel!$D$5:$D$22,Projects!$A$10,Travel!$E$5:$E$22,9)+SUMIFS('M&amp;E'!$F$5:$F$22,'M&amp;E'!$D$5:$D$22,Projects!$A$10,'M&amp;E'!$E$5:$E$22,9))*(((SUMPRODUCT((Labor!$G$6:$G$25=Projects!$A$10)*(Labor!$E$6:$E$25="Prime")*N(Labor!$AQ$6:$AQ$25))*(1+Rates!$B$6)*(1+Rates!$B$7)+SUMPRODUCT((Labor!$G$6:$G$25=Projects!$A$10)*(Labor!$E$6:$E$25="Sub")*N(Labor!$AQ$6:$AQ$25)))+SUMIFS(ODCs!$F$5:$F$22,ODCs!$D$5:$D$22,Projects!$A$10,ODCs!$E$5:$E$22,9)+SUMIFS(Travel!$F$5:$F$22,Travel!$D$5:$D$22,Projects!$A$10,Travel!$E$5:$E$22,9)+SUMIFS('M&amp;E'!$F$5:$F$22,'M&amp;E'!$D$5:$D$22,Projects!$A$10,'M&amp;E'!$E$5:$E$22,9))*Rates!$B$8),0))*Rates!$C$21))</f>
        <v/>
      </c>
      <c r="K41" s="132">
        <f>IF(Projects!$A$10="","",(((SUMPRODUCT((Labor!$G$6:$G$25=Projects!$A$10)*(Labor!$E$6:$E$25="Prime")*N(Labor!$AU$6:$AU$25))*(1+Rates!$B$6)*(1+Rates!$B$7)+SUMPRODUCT((Labor!$G$6:$G$25=Projects!$A$10)*(Labor!$E$6:$E$25="Sub")*N(Labor!$AU$6:$AU$25)))+SUMIFS(ODCs!$F$5:$F$22,ODCs!$D$5:$D$22,Projects!$A$10,ODCs!$E$5:$E$22,10)+SUMIFS(Travel!$F$5:$F$22,Travel!$D$5:$D$22,Projects!$A$10,Travel!$E$5:$E$22,10)+SUMIFS('M&amp;E'!$F$5:$F$22,'M&amp;E'!$D$5:$D$22,Projects!$A$10,'M&amp;E'!$E$5:$E$22,10))+(((SUMPRODUCT((Labor!$G$6:$G$25=Projects!$A$10)*(Labor!$E$6:$E$25="Prime")*N(Labor!$AU$6:$AU$25))*(1+Rates!$B$6)*(1+Rates!$B$7)+SUMPRODUCT((Labor!$G$6:$G$25=Projects!$A$10)*(Labor!$E$6:$E$25="Sub")*N(Labor!$AU$6:$AU$25)))+SUMIFS(ODCs!$F$5:$F$22,ODCs!$D$5:$D$22,Projects!$A$10,ODCs!$E$5:$E$22,10)+SUMIFS(Travel!$F$5:$F$22,Travel!$D$5:$D$22,Projects!$A$10,Travel!$E$5:$E$22,10)+SUMIFS('M&amp;E'!$F$5:$F$22,'M&amp;E'!$D$5:$D$22,Projects!$A$10,'M&amp;E'!$E$5:$E$22,10))*Rates!$B$8))+((((SUMPRODUCT((Labor!$G$6:$G$25=Projects!$A$10)*(Labor!$E$6:$E$25="Prime")*N(Labor!$AU$6:$AU$25))*(1+Rates!$B$6)*(1+Rates!$B$7)+SUMPRODUCT((Labor!$G$6:$G$25=Projects!$A$10)*(Labor!$E$6:$E$25="Sub")*N(Labor!$AU$6:$AU$25))))+IFERROR(((SUMPRODUCT((Labor!$G$6:$G$25=Projects!$A$10)*(Labor!$E$6:$E$25="Prime")*N(Labor!$AU$6:$AU$25))*(1+Rates!$B$6)*(1+Rates!$B$7)+SUMPRODUCT((Labor!$G$6:$G$25=Projects!$A$10)*(Labor!$E$6:$E$25="Sub")*N(Labor!$AU$6:$AU$25))))/((SUMPRODUCT((Labor!$G$6:$G$25=Projects!$A$10)*(Labor!$E$6:$E$25="Prime")*N(Labor!$AU$6:$AU$25))*(1+Rates!$B$6)*(1+Rates!$B$7)+SUMPRODUCT((Labor!$G$6:$G$25=Projects!$A$10)*(Labor!$E$6:$E$25="Sub")*N(Labor!$AU$6:$AU$25)))+SUMIFS(ODCs!$F$5:$F$22,ODCs!$D$5:$D$22,Projects!$A$10,ODCs!$E$5:$E$22,10)+SUMIFS(Travel!$F$5:$F$22,Travel!$D$5:$D$22,Projects!$A$10,Travel!$E$5:$E$22,10)+SUMIFS('M&amp;E'!$F$5:$F$22,'M&amp;E'!$D$5:$D$22,Projects!$A$10,'M&amp;E'!$E$5:$E$22,10))*(((SUMPRODUCT((Labor!$G$6:$G$25=Projects!$A$10)*(Labor!$E$6:$E$25="Prime")*N(Labor!$AU$6:$AU$25))*(1+Rates!$B$6)*(1+Rates!$B$7)+SUMPRODUCT((Labor!$G$6:$G$25=Projects!$A$10)*(Labor!$E$6:$E$25="Sub")*N(Labor!$AU$6:$AU$25)))+SUMIFS(ODCs!$F$5:$F$22,ODCs!$D$5:$D$22,Projects!$A$10,ODCs!$E$5:$E$22,10)+SUMIFS(Travel!$F$5:$F$22,Travel!$D$5:$D$22,Projects!$A$10,Travel!$E$5:$E$22,10)+SUMIFS('M&amp;E'!$F$5:$F$22,'M&amp;E'!$D$5:$D$22,Projects!$A$10,'M&amp;E'!$E$5:$E$22,10))*Rates!$B$8),0))*Rates!$C$18+((SUMIFS(Travel!$F$5:$F$22,Travel!$D$5:$D$22,Projects!$A$10,Travel!$E$5:$E$22,10))+IFERROR((SUMIFS(Travel!$F$5:$F$22,Travel!$D$5:$D$22,Projects!$A$10,Travel!$E$5:$E$22,10))/((SUMPRODUCT((Labor!$G$6:$G$25=Projects!$A$10)*(Labor!$E$6:$E$25="Prime")*N(Labor!$AU$6:$AU$25))*(1+Rates!$B$6)*(1+Rates!$B$7)+SUMPRODUCT((Labor!$G$6:$G$25=Projects!$A$10)*(Labor!$E$6:$E$25="Sub")*N(Labor!$AU$6:$AU$25)))+SUMIFS(ODCs!$F$5:$F$22,ODCs!$D$5:$D$22,Projects!$A$10,ODCs!$E$5:$E$22,10)+SUMIFS(Travel!$F$5:$F$22,Travel!$D$5:$D$22,Projects!$A$10,Travel!$E$5:$E$22,10)+SUMIFS('M&amp;E'!$F$5:$F$22,'M&amp;E'!$D$5:$D$22,Projects!$A$10,'M&amp;E'!$E$5:$E$22,10))*(((SUMPRODUCT((Labor!$G$6:$G$25=Projects!$A$10)*(Labor!$E$6:$E$25="Prime")*N(Labor!$AU$6:$AU$25))*(1+Rates!$B$6)*(1+Rates!$B$7)+SUMPRODUCT((Labor!$G$6:$G$25=Projects!$A$10)*(Labor!$E$6:$E$25="Sub")*N(Labor!$AU$6:$AU$25)))+SUMIFS(ODCs!$F$5:$F$22,ODCs!$D$5:$D$22,Projects!$A$10,ODCs!$E$5:$E$22,10)+SUMIFS(Travel!$F$5:$F$22,Travel!$D$5:$D$22,Projects!$A$10,Travel!$E$5:$E$22,10)+SUMIFS('M&amp;E'!$F$5:$F$22,'M&amp;E'!$D$5:$D$22,Projects!$A$10,'M&amp;E'!$E$5:$E$22,10))*Rates!$B$8),0))*Rates!$C$19+((SUMIFS(ODCs!$F$5:$F$22,ODCs!$D$5:$D$22,Projects!$A$10,ODCs!$E$5:$E$22,10))+IFERROR((SUMIFS(ODCs!$F$5:$F$22,ODCs!$D$5:$D$22,Projects!$A$10,ODCs!$E$5:$E$22,10))/((SUMPRODUCT((Labor!$G$6:$G$25=Projects!$A$10)*(Labor!$E$6:$E$25="Prime")*N(Labor!$AU$6:$AU$25))*(1+Rates!$B$6)*(1+Rates!$B$7)+SUMPRODUCT((Labor!$G$6:$G$25=Projects!$A$10)*(Labor!$E$6:$E$25="Sub")*N(Labor!$AU$6:$AU$25)))+SUMIFS(ODCs!$F$5:$F$22,ODCs!$D$5:$D$22,Projects!$A$10,ODCs!$E$5:$E$22,10)+SUMIFS(Travel!$F$5:$F$22,Travel!$D$5:$D$22,Projects!$A$10,Travel!$E$5:$E$22,10)+SUMIFS('M&amp;E'!$F$5:$F$22,'M&amp;E'!$D$5:$D$22,Projects!$A$10,'M&amp;E'!$E$5:$E$22,10))*(((SUMPRODUCT((Labor!$G$6:$G$25=Projects!$A$10)*(Labor!$E$6:$E$25="Prime")*N(Labor!$AU$6:$AU$25))*(1+Rates!$B$6)*(1+Rates!$B$7)+SUMPRODUCT((Labor!$G$6:$G$25=Projects!$A$10)*(Labor!$E$6:$E$25="Sub")*N(Labor!$AU$6:$AU$25)))+SUMIFS(ODCs!$F$5:$F$22,ODCs!$D$5:$D$22,Projects!$A$10,ODCs!$E$5:$E$22,10)+SUMIFS(Travel!$F$5:$F$22,Travel!$D$5:$D$22,Projects!$A$10,Travel!$E$5:$E$22,10)+SUMIFS('M&amp;E'!$F$5:$F$22,'M&amp;E'!$D$5:$D$22,Projects!$A$10,'M&amp;E'!$E$5:$E$22,10))*Rates!$B$8),0))*Rates!$C$20+((SUMIFS('M&amp;E'!$F$5:$F$22,'M&amp;E'!$D$5:$D$22,Projects!$A$10,'M&amp;E'!$E$5:$E$22,10))+IFERROR((SUMIFS('M&amp;E'!$F$5:$F$22,'M&amp;E'!$D$5:$D$22,Projects!$A$10,'M&amp;E'!$E$5:$E$22,10))/((SUMPRODUCT((Labor!$G$6:$G$25=Projects!$A$10)*(Labor!$E$6:$E$25="Prime")*N(Labor!$AU$6:$AU$25))*(1+Rates!$B$6)*(1+Rates!$B$7)+SUMPRODUCT((Labor!$G$6:$G$25=Projects!$A$10)*(Labor!$E$6:$E$25="Sub")*N(Labor!$AU$6:$AU$25)))+SUMIFS(ODCs!$F$5:$F$22,ODCs!$D$5:$D$22,Projects!$A$10,ODCs!$E$5:$E$22,10)+SUMIFS(Travel!$F$5:$F$22,Travel!$D$5:$D$22,Projects!$A$10,Travel!$E$5:$E$22,10)+SUMIFS('M&amp;E'!$F$5:$F$22,'M&amp;E'!$D$5:$D$22,Projects!$A$10,'M&amp;E'!$E$5:$E$22,10))*(((SUMPRODUCT((Labor!$G$6:$G$25=Projects!$A$10)*(Labor!$E$6:$E$25="Prime")*N(Labor!$AU$6:$AU$25))*(1+Rates!$B$6)*(1+Rates!$B$7)+SUMPRODUCT((Labor!$G$6:$G$25=Projects!$A$10)*(Labor!$E$6:$E$25="Sub")*N(Labor!$AU$6:$AU$25)))+SUMIFS(ODCs!$F$5:$F$22,ODCs!$D$5:$D$22,Projects!$A$10,ODCs!$E$5:$E$22,10)+SUMIFS(Travel!$F$5:$F$22,Travel!$D$5:$D$22,Projects!$A$10,Travel!$E$5:$E$22,10)+SUMIFS('M&amp;E'!$F$5:$F$22,'M&amp;E'!$D$5:$D$22,Projects!$A$10,'M&amp;E'!$E$5:$E$22,10))*Rates!$B$8),0))*Rates!$C$21))</f>
        <v/>
      </c>
      <c r="L41" s="132">
        <f>IF(Projects!$A$10="","",(((SUMPRODUCT((Labor!$G$6:$G$25=Projects!$A$10)*(Labor!$E$6:$E$25="Prime")*N(Labor!$AY$6:$AY$25))*(1+Rates!$B$6)*(1+Rates!$B$7)+SUMPRODUCT((Labor!$G$6:$G$25=Projects!$A$10)*(Labor!$E$6:$E$25="Sub")*N(Labor!$AY$6:$AY$25)))+SUMIFS(ODCs!$F$5:$F$22,ODCs!$D$5:$D$22,Projects!$A$10,ODCs!$E$5:$E$22,11)+SUMIFS(Travel!$F$5:$F$22,Travel!$D$5:$D$22,Projects!$A$10,Travel!$E$5:$E$22,11)+SUMIFS('M&amp;E'!$F$5:$F$22,'M&amp;E'!$D$5:$D$22,Projects!$A$10,'M&amp;E'!$E$5:$E$22,11))+(((SUMPRODUCT((Labor!$G$6:$G$25=Projects!$A$10)*(Labor!$E$6:$E$25="Prime")*N(Labor!$AY$6:$AY$25))*(1+Rates!$B$6)*(1+Rates!$B$7)+SUMPRODUCT((Labor!$G$6:$G$25=Projects!$A$10)*(Labor!$E$6:$E$25="Sub")*N(Labor!$AY$6:$AY$25)))+SUMIFS(ODCs!$F$5:$F$22,ODCs!$D$5:$D$22,Projects!$A$10,ODCs!$E$5:$E$22,11)+SUMIFS(Travel!$F$5:$F$22,Travel!$D$5:$D$22,Projects!$A$10,Travel!$E$5:$E$22,11)+SUMIFS('M&amp;E'!$F$5:$F$22,'M&amp;E'!$D$5:$D$22,Projects!$A$10,'M&amp;E'!$E$5:$E$22,11))*Rates!$B$8))+((((SUMPRODUCT((Labor!$G$6:$G$25=Projects!$A$10)*(Labor!$E$6:$E$25="Prime")*N(Labor!$AY$6:$AY$25))*(1+Rates!$B$6)*(1+Rates!$B$7)+SUMPRODUCT((Labor!$G$6:$G$25=Projects!$A$10)*(Labor!$E$6:$E$25="Sub")*N(Labor!$AY$6:$AY$25))))+IFERROR(((SUMPRODUCT((Labor!$G$6:$G$25=Projects!$A$10)*(Labor!$E$6:$E$25="Prime")*N(Labor!$AY$6:$AY$25))*(1+Rates!$B$6)*(1+Rates!$B$7)+SUMPRODUCT((Labor!$G$6:$G$25=Projects!$A$10)*(Labor!$E$6:$E$25="Sub")*N(Labor!$AY$6:$AY$25))))/((SUMPRODUCT((Labor!$G$6:$G$25=Projects!$A$10)*(Labor!$E$6:$E$25="Prime")*N(Labor!$AY$6:$AY$25))*(1+Rates!$B$6)*(1+Rates!$B$7)+SUMPRODUCT((Labor!$G$6:$G$25=Projects!$A$10)*(Labor!$E$6:$E$25="Sub")*N(Labor!$AY$6:$AY$25)))+SUMIFS(ODCs!$F$5:$F$22,ODCs!$D$5:$D$22,Projects!$A$10,ODCs!$E$5:$E$22,11)+SUMIFS(Travel!$F$5:$F$22,Travel!$D$5:$D$22,Projects!$A$10,Travel!$E$5:$E$22,11)+SUMIFS('M&amp;E'!$F$5:$F$22,'M&amp;E'!$D$5:$D$22,Projects!$A$10,'M&amp;E'!$E$5:$E$22,11))*(((SUMPRODUCT((Labor!$G$6:$G$25=Projects!$A$10)*(Labor!$E$6:$E$25="Prime")*N(Labor!$AY$6:$AY$25))*(1+Rates!$B$6)*(1+Rates!$B$7)+SUMPRODUCT((Labor!$G$6:$G$25=Projects!$A$10)*(Labor!$E$6:$E$25="Sub")*N(Labor!$AY$6:$AY$25)))+SUMIFS(ODCs!$F$5:$F$22,ODCs!$D$5:$D$22,Projects!$A$10,ODCs!$E$5:$E$22,11)+SUMIFS(Travel!$F$5:$F$22,Travel!$D$5:$D$22,Projects!$A$10,Travel!$E$5:$E$22,11)+SUMIFS('M&amp;E'!$F$5:$F$22,'M&amp;E'!$D$5:$D$22,Projects!$A$10,'M&amp;E'!$E$5:$E$22,11))*Rates!$B$8),0))*Rates!$C$18+((SUMIFS(Travel!$F$5:$F$22,Travel!$D$5:$D$22,Projects!$A$10,Travel!$E$5:$E$22,11))+IFERROR((SUMIFS(Travel!$F$5:$F$22,Travel!$D$5:$D$22,Projects!$A$10,Travel!$E$5:$E$22,11))/((SUMPRODUCT((Labor!$G$6:$G$25=Projects!$A$10)*(Labor!$E$6:$E$25="Prime")*N(Labor!$AY$6:$AY$25))*(1+Rates!$B$6)*(1+Rates!$B$7)+SUMPRODUCT((Labor!$G$6:$G$25=Projects!$A$10)*(Labor!$E$6:$E$25="Sub")*N(Labor!$AY$6:$AY$25)))+SUMIFS(ODCs!$F$5:$F$22,ODCs!$D$5:$D$22,Projects!$A$10,ODCs!$E$5:$E$22,11)+SUMIFS(Travel!$F$5:$F$22,Travel!$D$5:$D$22,Projects!$A$10,Travel!$E$5:$E$22,11)+SUMIFS('M&amp;E'!$F$5:$F$22,'M&amp;E'!$D$5:$D$22,Projects!$A$10,'M&amp;E'!$E$5:$E$22,11))*(((SUMPRODUCT((Labor!$G$6:$G$25=Projects!$A$10)*(Labor!$E$6:$E$25="Prime")*N(Labor!$AY$6:$AY$25))*(1+Rates!$B$6)*(1+Rates!$B$7)+SUMPRODUCT((Labor!$G$6:$G$25=Projects!$A$10)*(Labor!$E$6:$E$25="Sub")*N(Labor!$AY$6:$AY$25)))+SUMIFS(ODCs!$F$5:$F$22,ODCs!$D$5:$D$22,Projects!$A$10,ODCs!$E$5:$E$22,11)+SUMIFS(Travel!$F$5:$F$22,Travel!$D$5:$D$22,Projects!$A$10,Travel!$E$5:$E$22,11)+SUMIFS('M&amp;E'!$F$5:$F$22,'M&amp;E'!$D$5:$D$22,Projects!$A$10,'M&amp;E'!$E$5:$E$22,11))*Rates!$B$8),0))*Rates!$C$19+((SUMIFS(ODCs!$F$5:$F$22,ODCs!$D$5:$D$22,Projects!$A$10,ODCs!$E$5:$E$22,11))+IFERROR((SUMIFS(ODCs!$F$5:$F$22,ODCs!$D$5:$D$22,Projects!$A$10,ODCs!$E$5:$E$22,11))/((SUMPRODUCT((Labor!$G$6:$G$25=Projects!$A$10)*(Labor!$E$6:$E$25="Prime")*N(Labor!$AY$6:$AY$25))*(1+Rates!$B$6)*(1+Rates!$B$7)+SUMPRODUCT((Labor!$G$6:$G$25=Projects!$A$10)*(Labor!$E$6:$E$25="Sub")*N(Labor!$AY$6:$AY$25)))+SUMIFS(ODCs!$F$5:$F$22,ODCs!$D$5:$D$22,Projects!$A$10,ODCs!$E$5:$E$22,11)+SUMIFS(Travel!$F$5:$F$22,Travel!$D$5:$D$22,Projects!$A$10,Travel!$E$5:$E$22,11)+SUMIFS('M&amp;E'!$F$5:$F$22,'M&amp;E'!$D$5:$D$22,Projects!$A$10,'M&amp;E'!$E$5:$E$22,11))*(((SUMPRODUCT((Labor!$G$6:$G$25=Projects!$A$10)*(Labor!$E$6:$E$25="Prime")*N(Labor!$AY$6:$AY$25))*(1+Rates!$B$6)*(1+Rates!$B$7)+SUMPRODUCT((Labor!$G$6:$G$25=Projects!$A$10)*(Labor!$E$6:$E$25="Sub")*N(Labor!$AY$6:$AY$25)))+SUMIFS(ODCs!$F$5:$F$22,ODCs!$D$5:$D$22,Projects!$A$10,ODCs!$E$5:$E$22,11)+SUMIFS(Travel!$F$5:$F$22,Travel!$D$5:$D$22,Projects!$A$10,Travel!$E$5:$E$22,11)+SUMIFS('M&amp;E'!$F$5:$F$22,'M&amp;E'!$D$5:$D$22,Projects!$A$10,'M&amp;E'!$E$5:$E$22,11))*Rates!$B$8),0))*Rates!$C$20+((SUMIFS('M&amp;E'!$F$5:$F$22,'M&amp;E'!$D$5:$D$22,Projects!$A$10,'M&amp;E'!$E$5:$E$22,11))+IFERROR((SUMIFS('M&amp;E'!$F$5:$F$22,'M&amp;E'!$D$5:$D$22,Projects!$A$10,'M&amp;E'!$E$5:$E$22,11))/((SUMPRODUCT((Labor!$G$6:$G$25=Projects!$A$10)*(Labor!$E$6:$E$25="Prime")*N(Labor!$AY$6:$AY$25))*(1+Rates!$B$6)*(1+Rates!$B$7)+SUMPRODUCT((Labor!$G$6:$G$25=Projects!$A$10)*(Labor!$E$6:$E$25="Sub")*N(Labor!$AY$6:$AY$25)))+SUMIFS(ODCs!$F$5:$F$22,ODCs!$D$5:$D$22,Projects!$A$10,ODCs!$E$5:$E$22,11)+SUMIFS(Travel!$F$5:$F$22,Travel!$D$5:$D$22,Projects!$A$10,Travel!$E$5:$E$22,11)+SUMIFS('M&amp;E'!$F$5:$F$22,'M&amp;E'!$D$5:$D$22,Projects!$A$10,'M&amp;E'!$E$5:$E$22,11))*(((SUMPRODUCT((Labor!$G$6:$G$25=Projects!$A$10)*(Labor!$E$6:$E$25="Prime")*N(Labor!$AY$6:$AY$25))*(1+Rates!$B$6)*(1+Rates!$B$7)+SUMPRODUCT((Labor!$G$6:$G$25=Projects!$A$10)*(Labor!$E$6:$E$25="Sub")*N(Labor!$AY$6:$AY$25)))+SUMIFS(ODCs!$F$5:$F$22,ODCs!$D$5:$D$22,Projects!$A$10,ODCs!$E$5:$E$22,11)+SUMIFS(Travel!$F$5:$F$22,Travel!$D$5:$D$22,Projects!$A$10,Travel!$E$5:$E$22,11)+SUMIFS('M&amp;E'!$F$5:$F$22,'M&amp;E'!$D$5:$D$22,Projects!$A$10,'M&amp;E'!$E$5:$E$22,11))*Rates!$B$8),0))*Rates!$C$21))</f>
        <v/>
      </c>
      <c r="M41" s="132">
        <f>IF(Projects!$A$10="","",(((SUMPRODUCT((Labor!$G$6:$G$25=Projects!$A$10)*(Labor!$E$6:$E$25="Prime")*N(Labor!$BC$6:$BC$25))*(1+Rates!$B$6)*(1+Rates!$B$7)+SUMPRODUCT((Labor!$G$6:$G$25=Projects!$A$10)*(Labor!$E$6:$E$25="Sub")*N(Labor!$BC$6:$BC$25)))+SUMIFS(ODCs!$F$5:$F$22,ODCs!$D$5:$D$22,Projects!$A$10,ODCs!$E$5:$E$22,12)+SUMIFS(Travel!$F$5:$F$22,Travel!$D$5:$D$22,Projects!$A$10,Travel!$E$5:$E$22,12)+SUMIFS('M&amp;E'!$F$5:$F$22,'M&amp;E'!$D$5:$D$22,Projects!$A$10,'M&amp;E'!$E$5:$E$22,12))+(((SUMPRODUCT((Labor!$G$6:$G$25=Projects!$A$10)*(Labor!$E$6:$E$25="Prime")*N(Labor!$BC$6:$BC$25))*(1+Rates!$B$6)*(1+Rates!$B$7)+SUMPRODUCT((Labor!$G$6:$G$25=Projects!$A$10)*(Labor!$E$6:$E$25="Sub")*N(Labor!$BC$6:$BC$25)))+SUMIFS(ODCs!$F$5:$F$22,ODCs!$D$5:$D$22,Projects!$A$10,ODCs!$E$5:$E$22,12)+SUMIFS(Travel!$F$5:$F$22,Travel!$D$5:$D$22,Projects!$A$10,Travel!$E$5:$E$22,12)+SUMIFS('M&amp;E'!$F$5:$F$22,'M&amp;E'!$D$5:$D$22,Projects!$A$10,'M&amp;E'!$E$5:$E$22,12))*Rates!$B$8))+((((SUMPRODUCT((Labor!$G$6:$G$25=Projects!$A$10)*(Labor!$E$6:$E$25="Prime")*N(Labor!$BC$6:$BC$25))*(1+Rates!$B$6)*(1+Rates!$B$7)+SUMPRODUCT((Labor!$G$6:$G$25=Projects!$A$10)*(Labor!$E$6:$E$25="Sub")*N(Labor!$BC$6:$BC$25))))+IFERROR(((SUMPRODUCT((Labor!$G$6:$G$25=Projects!$A$10)*(Labor!$E$6:$E$25="Prime")*N(Labor!$BC$6:$BC$25))*(1+Rates!$B$6)*(1+Rates!$B$7)+SUMPRODUCT((Labor!$G$6:$G$25=Projects!$A$10)*(Labor!$E$6:$E$25="Sub")*N(Labor!$BC$6:$BC$25))))/((SUMPRODUCT((Labor!$G$6:$G$25=Projects!$A$10)*(Labor!$E$6:$E$25="Prime")*N(Labor!$BC$6:$BC$25))*(1+Rates!$B$6)*(1+Rates!$B$7)+SUMPRODUCT((Labor!$G$6:$G$25=Projects!$A$10)*(Labor!$E$6:$E$25="Sub")*N(Labor!$BC$6:$BC$25)))+SUMIFS(ODCs!$F$5:$F$22,ODCs!$D$5:$D$22,Projects!$A$10,ODCs!$E$5:$E$22,12)+SUMIFS(Travel!$F$5:$F$22,Travel!$D$5:$D$22,Projects!$A$10,Travel!$E$5:$E$22,12)+SUMIFS('M&amp;E'!$F$5:$F$22,'M&amp;E'!$D$5:$D$22,Projects!$A$10,'M&amp;E'!$E$5:$E$22,12))*(((SUMPRODUCT((Labor!$G$6:$G$25=Projects!$A$10)*(Labor!$E$6:$E$25="Prime")*N(Labor!$BC$6:$BC$25))*(1+Rates!$B$6)*(1+Rates!$B$7)+SUMPRODUCT((Labor!$G$6:$G$25=Projects!$A$10)*(Labor!$E$6:$E$25="Sub")*N(Labor!$BC$6:$BC$25)))+SUMIFS(ODCs!$F$5:$F$22,ODCs!$D$5:$D$22,Projects!$A$10,ODCs!$E$5:$E$22,12)+SUMIFS(Travel!$F$5:$F$22,Travel!$D$5:$D$22,Projects!$A$10,Travel!$E$5:$E$22,12)+SUMIFS('M&amp;E'!$F$5:$F$22,'M&amp;E'!$D$5:$D$22,Projects!$A$10,'M&amp;E'!$E$5:$E$22,12))*Rates!$B$8),0))*Rates!$C$18+((SUMIFS(Travel!$F$5:$F$22,Travel!$D$5:$D$22,Projects!$A$10,Travel!$E$5:$E$22,12))+IFERROR((SUMIFS(Travel!$F$5:$F$22,Travel!$D$5:$D$22,Projects!$A$10,Travel!$E$5:$E$22,12))/((SUMPRODUCT((Labor!$G$6:$G$25=Projects!$A$10)*(Labor!$E$6:$E$25="Prime")*N(Labor!$BC$6:$BC$25))*(1+Rates!$B$6)*(1+Rates!$B$7)+SUMPRODUCT((Labor!$G$6:$G$25=Projects!$A$10)*(Labor!$E$6:$E$25="Sub")*N(Labor!$BC$6:$BC$25)))+SUMIFS(ODCs!$F$5:$F$22,ODCs!$D$5:$D$22,Projects!$A$10,ODCs!$E$5:$E$22,12)+SUMIFS(Travel!$F$5:$F$22,Travel!$D$5:$D$22,Projects!$A$10,Travel!$E$5:$E$22,12)+SUMIFS('M&amp;E'!$F$5:$F$22,'M&amp;E'!$D$5:$D$22,Projects!$A$10,'M&amp;E'!$E$5:$E$22,12))*(((SUMPRODUCT((Labor!$G$6:$G$25=Projects!$A$10)*(Labor!$E$6:$E$25="Prime")*N(Labor!$BC$6:$BC$25))*(1+Rates!$B$6)*(1+Rates!$B$7)+SUMPRODUCT((Labor!$G$6:$G$25=Projects!$A$10)*(Labor!$E$6:$E$25="Sub")*N(Labor!$BC$6:$BC$25)))+SUMIFS(ODCs!$F$5:$F$22,ODCs!$D$5:$D$22,Projects!$A$10,ODCs!$E$5:$E$22,12)+SUMIFS(Travel!$F$5:$F$22,Travel!$D$5:$D$22,Projects!$A$10,Travel!$E$5:$E$22,12)+SUMIFS('M&amp;E'!$F$5:$F$22,'M&amp;E'!$D$5:$D$22,Projects!$A$10,'M&amp;E'!$E$5:$E$22,12))*Rates!$B$8),0))*Rates!$C$19+((SUMIFS(ODCs!$F$5:$F$22,ODCs!$D$5:$D$22,Projects!$A$10,ODCs!$E$5:$E$22,12))+IFERROR((SUMIFS(ODCs!$F$5:$F$22,ODCs!$D$5:$D$22,Projects!$A$10,ODCs!$E$5:$E$22,12))/((SUMPRODUCT((Labor!$G$6:$G$25=Projects!$A$10)*(Labor!$E$6:$E$25="Prime")*N(Labor!$BC$6:$BC$25))*(1+Rates!$B$6)*(1+Rates!$B$7)+SUMPRODUCT((Labor!$G$6:$G$25=Projects!$A$10)*(Labor!$E$6:$E$25="Sub")*N(Labor!$BC$6:$BC$25)))+SUMIFS(ODCs!$F$5:$F$22,ODCs!$D$5:$D$22,Projects!$A$10,ODCs!$E$5:$E$22,12)+SUMIFS(Travel!$F$5:$F$22,Travel!$D$5:$D$22,Projects!$A$10,Travel!$E$5:$E$22,12)+SUMIFS('M&amp;E'!$F$5:$F$22,'M&amp;E'!$D$5:$D$22,Projects!$A$10,'M&amp;E'!$E$5:$E$22,12))*(((SUMPRODUCT((Labor!$G$6:$G$25=Projects!$A$10)*(Labor!$E$6:$E$25="Prime")*N(Labor!$BC$6:$BC$25))*(1+Rates!$B$6)*(1+Rates!$B$7)+SUMPRODUCT((Labor!$G$6:$G$25=Projects!$A$10)*(Labor!$E$6:$E$25="Sub")*N(Labor!$BC$6:$BC$25)))+SUMIFS(ODCs!$F$5:$F$22,ODCs!$D$5:$D$22,Projects!$A$10,ODCs!$E$5:$E$22,12)+SUMIFS(Travel!$F$5:$F$22,Travel!$D$5:$D$22,Projects!$A$10,Travel!$E$5:$E$22,12)+SUMIFS('M&amp;E'!$F$5:$F$22,'M&amp;E'!$D$5:$D$22,Projects!$A$10,'M&amp;E'!$E$5:$E$22,12))*Rates!$B$8),0))*Rates!$C$20+((SUMIFS('M&amp;E'!$F$5:$F$22,'M&amp;E'!$D$5:$D$22,Projects!$A$10,'M&amp;E'!$E$5:$E$22,12))+IFERROR((SUMIFS('M&amp;E'!$F$5:$F$22,'M&amp;E'!$D$5:$D$22,Projects!$A$10,'M&amp;E'!$E$5:$E$22,12))/((SUMPRODUCT((Labor!$G$6:$G$25=Projects!$A$10)*(Labor!$E$6:$E$25="Prime")*N(Labor!$BC$6:$BC$25))*(1+Rates!$B$6)*(1+Rates!$B$7)+SUMPRODUCT((Labor!$G$6:$G$25=Projects!$A$10)*(Labor!$E$6:$E$25="Sub")*N(Labor!$BC$6:$BC$25)))+SUMIFS(ODCs!$F$5:$F$22,ODCs!$D$5:$D$22,Projects!$A$10,ODCs!$E$5:$E$22,12)+SUMIFS(Travel!$F$5:$F$22,Travel!$D$5:$D$22,Projects!$A$10,Travel!$E$5:$E$22,12)+SUMIFS('M&amp;E'!$F$5:$F$22,'M&amp;E'!$D$5:$D$22,Projects!$A$10,'M&amp;E'!$E$5:$E$22,12))*(((SUMPRODUCT((Labor!$G$6:$G$25=Projects!$A$10)*(Labor!$E$6:$E$25="Prime")*N(Labor!$BC$6:$BC$25))*(1+Rates!$B$6)*(1+Rates!$B$7)+SUMPRODUCT((Labor!$G$6:$G$25=Projects!$A$10)*(Labor!$E$6:$E$25="Sub")*N(Labor!$BC$6:$BC$25)))+SUMIFS(ODCs!$F$5:$F$22,ODCs!$D$5:$D$22,Projects!$A$10,ODCs!$E$5:$E$22,12)+SUMIFS(Travel!$F$5:$F$22,Travel!$D$5:$D$22,Projects!$A$10,Travel!$E$5:$E$22,12)+SUMIFS('M&amp;E'!$F$5:$F$22,'M&amp;E'!$D$5:$D$22,Projects!$A$10,'M&amp;E'!$E$5:$E$22,12))*Rates!$B$8),0))*Rates!$C$21))</f>
        <v/>
      </c>
      <c r="N41" s="135">
        <f>SUM(B41,C41,D41)</f>
        <v/>
      </c>
      <c r="O41" s="135">
        <f>SUM(E41,F41,G41)</f>
        <v/>
      </c>
      <c r="P41" s="135">
        <f>SUM(H41,I41,J41)</f>
        <v/>
      </c>
      <c r="Q41" s="135">
        <f>SUM(K41,L41,M41)</f>
        <v/>
      </c>
      <c r="R41" s="135">
        <f>SUM(N41,O41,P41,Q41)</f>
        <v/>
      </c>
    </row>
    <row r="42">
      <c r="A42" s="117" t="inlineStr">
        <is>
          <t>Variance $</t>
        </is>
      </c>
      <c r="B42" s="204">
        <f>IFERROR(IF(B41="","",B41-B40),0)</f>
        <v/>
      </c>
      <c r="C42" s="204">
        <f>IFERROR(IF(C41="","",C41-C40),0)</f>
        <v/>
      </c>
      <c r="D42" s="204">
        <f>IFERROR(IF(D41="","",D41-D40),0)</f>
        <v/>
      </c>
      <c r="E42" s="204">
        <f>IFERROR(IF(E41="","",E41-E40),0)</f>
        <v/>
      </c>
      <c r="F42" s="204">
        <f>IFERROR(IF(F41="","",F41-F40),0)</f>
        <v/>
      </c>
      <c r="G42" s="204">
        <f>IFERROR(IF(G41="","",G41-G40),0)</f>
        <v/>
      </c>
      <c r="H42" s="204">
        <f>IFERROR(IF(H41="","",H41-H40),0)</f>
        <v/>
      </c>
      <c r="I42" s="204">
        <f>IFERROR(IF(I41="","",I41-I40),0)</f>
        <v/>
      </c>
      <c r="J42" s="204">
        <f>IFERROR(IF(J41="","",J41-J40),0)</f>
        <v/>
      </c>
      <c r="K42" s="204">
        <f>IFERROR(IF(K41="","",K41-K40),0)</f>
        <v/>
      </c>
      <c r="L42" s="204">
        <f>IFERROR(IF(L41="","",L41-L40),0)</f>
        <v/>
      </c>
      <c r="M42" s="204">
        <f>IFERROR(IF(M41="","",M41-M40),0)</f>
        <v/>
      </c>
      <c r="N42" s="135">
        <f>SUM(B42,C42,D42)</f>
        <v/>
      </c>
      <c r="O42" s="135">
        <f>SUM(E42,F42,G42)</f>
        <v/>
      </c>
      <c r="P42" s="135">
        <f>SUM(H42,I42,J42)</f>
        <v/>
      </c>
      <c r="Q42" s="135">
        <f>SUM(K42,L42,M42)</f>
        <v/>
      </c>
      <c r="R42" s="135">
        <f>SUM(N42,O42,P42,Q42)</f>
        <v/>
      </c>
    </row>
    <row r="43">
      <c r="A43" s="117" t="inlineStr">
        <is>
          <t>Variance %</t>
        </is>
      </c>
      <c r="B43" s="205">
        <f>IFERROR(B42/B40,0)</f>
        <v/>
      </c>
      <c r="C43" s="205">
        <f>IFERROR(C42/C40,0)</f>
        <v/>
      </c>
      <c r="D43" s="205">
        <f>IFERROR(D42/D40,0)</f>
        <v/>
      </c>
      <c r="E43" s="205">
        <f>IFERROR(E42/E40,0)</f>
        <v/>
      </c>
      <c r="F43" s="205">
        <f>IFERROR(F42/F40,0)</f>
        <v/>
      </c>
      <c r="G43" s="205">
        <f>IFERROR(G42/G40,0)</f>
        <v/>
      </c>
      <c r="H43" s="205">
        <f>IFERROR(H42/H40,0)</f>
        <v/>
      </c>
      <c r="I43" s="205">
        <f>IFERROR(I42/I40,0)</f>
        <v/>
      </c>
      <c r="J43" s="205">
        <f>IFERROR(J42/J40,0)</f>
        <v/>
      </c>
      <c r="K43" s="205">
        <f>IFERROR(K42/K40,0)</f>
        <v/>
      </c>
      <c r="L43" s="205">
        <f>IFERROR(L42/L40,0)</f>
        <v/>
      </c>
      <c r="M43" s="205">
        <f>IFERROR(M42/M40,0)</f>
        <v/>
      </c>
      <c r="N43" s="140">
        <f>IFERROR(N42/N40,0)</f>
        <v/>
      </c>
      <c r="O43" s="140">
        <f>IFERROR(O42/O40,0)</f>
        <v/>
      </c>
      <c r="P43" s="140">
        <f>IFERROR(P42/P40,0)</f>
        <v/>
      </c>
      <c r="Q43" s="140">
        <f>IFERROR(Q42/Q40,0)</f>
        <v/>
      </c>
      <c r="R43" s="140">
        <f>IFERROR(R42/R40,0)</f>
        <v/>
      </c>
    </row>
    <row r="45">
      <c r="A45" s="136">
        <f>IF(Projects!$A$11="","",Projects!$A$11&amp;" — "&amp;Projects!$B$11)</f>
        <v/>
      </c>
    </row>
    <row r="46">
      <c r="A46" s="124" t="inlineStr">
        <is>
          <t>Forecasted Revenue $</t>
        </is>
      </c>
      <c r="B46" s="131" t="n">
        <v>0</v>
      </c>
      <c r="C46" s="131" t="n">
        <v>0</v>
      </c>
      <c r="D46" s="131" t="n">
        <v>0</v>
      </c>
      <c r="E46" s="131" t="n">
        <v>0</v>
      </c>
      <c r="F46" s="131" t="n">
        <v>0</v>
      </c>
      <c r="G46" s="131" t="n">
        <v>0</v>
      </c>
      <c r="H46" s="131" t="n">
        <v>0</v>
      </c>
      <c r="I46" s="131" t="n">
        <v>0</v>
      </c>
      <c r="J46" s="131" t="n">
        <v>0</v>
      </c>
      <c r="K46" s="131" t="n">
        <v>0</v>
      </c>
      <c r="L46" s="131" t="n">
        <v>0</v>
      </c>
      <c r="M46" s="131" t="n">
        <v>0</v>
      </c>
      <c r="N46" s="135">
        <f>SUM(B46,C46,D46)</f>
        <v/>
      </c>
      <c r="O46" s="135">
        <f>SUM(E46,F46,G46)</f>
        <v/>
      </c>
      <c r="P46" s="135">
        <f>SUM(H46,I46,J46)</f>
        <v/>
      </c>
      <c r="Q46" s="135">
        <f>SUM(K46,L46,M46)</f>
        <v/>
      </c>
      <c r="R46" s="135">
        <f>SUM(N46,O46,P46,Q46)</f>
        <v/>
      </c>
    </row>
    <row r="47">
      <c r="A47" s="124" t="inlineStr">
        <is>
          <t>Actual Revenue $</t>
        </is>
      </c>
      <c r="B47" s="132">
        <f>IF(Projects!$A$11="","",(((SUMPRODUCT((Labor!$G$6:$G$25=Projects!$A$11)*(Labor!$E$6:$E$25="Prime")*N(Labor!$K$6:$K$25))*(1+Rates!$B$6)*(1+Rates!$B$7)+SUMPRODUCT((Labor!$G$6:$G$25=Projects!$A$11)*(Labor!$E$6:$E$25="Sub")*N(Labor!$K$6:$K$25)))+SUMIFS(ODCs!$F$5:$F$22,ODCs!$D$5:$D$22,Projects!$A$11,ODCs!$E$5:$E$22,1)+SUMIFS(Travel!$F$5:$F$22,Travel!$D$5:$D$22,Projects!$A$11,Travel!$E$5:$E$22,1)+SUMIFS('M&amp;E'!$F$5:$F$22,'M&amp;E'!$D$5:$D$22,Projects!$A$11,'M&amp;E'!$E$5:$E$22,1))+(((SUMPRODUCT((Labor!$G$6:$G$25=Projects!$A$11)*(Labor!$E$6:$E$25="Prime")*N(Labor!$K$6:$K$25))*(1+Rates!$B$6)*(1+Rates!$B$7)+SUMPRODUCT((Labor!$G$6:$G$25=Projects!$A$11)*(Labor!$E$6:$E$25="Sub")*N(Labor!$K$6:$K$25)))+SUMIFS(ODCs!$F$5:$F$22,ODCs!$D$5:$D$22,Projects!$A$11,ODCs!$E$5:$E$22,1)+SUMIFS(Travel!$F$5:$F$22,Travel!$D$5:$D$22,Projects!$A$11,Travel!$E$5:$E$22,1)+SUMIFS('M&amp;E'!$F$5:$F$22,'M&amp;E'!$D$5:$D$22,Projects!$A$11,'M&amp;E'!$E$5:$E$22,1))*Rates!$B$8))+((((SUMPRODUCT((Labor!$G$6:$G$25=Projects!$A$11)*(Labor!$E$6:$E$25="Prime")*N(Labor!$K$6:$K$25))*(1+Rates!$B$6)*(1+Rates!$B$7)+SUMPRODUCT((Labor!$G$6:$G$25=Projects!$A$11)*(Labor!$E$6:$E$25="Sub")*N(Labor!$K$6:$K$25))))+IFERROR(((SUMPRODUCT((Labor!$G$6:$G$25=Projects!$A$11)*(Labor!$E$6:$E$25="Prime")*N(Labor!$K$6:$K$25))*(1+Rates!$B$6)*(1+Rates!$B$7)+SUMPRODUCT((Labor!$G$6:$G$25=Projects!$A$11)*(Labor!$E$6:$E$25="Sub")*N(Labor!$K$6:$K$25))))/((SUMPRODUCT((Labor!$G$6:$G$25=Projects!$A$11)*(Labor!$E$6:$E$25="Prime")*N(Labor!$K$6:$K$25))*(1+Rates!$B$6)*(1+Rates!$B$7)+SUMPRODUCT((Labor!$G$6:$G$25=Projects!$A$11)*(Labor!$E$6:$E$25="Sub")*N(Labor!$K$6:$K$25)))+SUMIFS(ODCs!$F$5:$F$22,ODCs!$D$5:$D$22,Projects!$A$11,ODCs!$E$5:$E$22,1)+SUMIFS(Travel!$F$5:$F$22,Travel!$D$5:$D$22,Projects!$A$11,Travel!$E$5:$E$22,1)+SUMIFS('M&amp;E'!$F$5:$F$22,'M&amp;E'!$D$5:$D$22,Projects!$A$11,'M&amp;E'!$E$5:$E$22,1))*(((SUMPRODUCT((Labor!$G$6:$G$25=Projects!$A$11)*(Labor!$E$6:$E$25="Prime")*N(Labor!$K$6:$K$25))*(1+Rates!$B$6)*(1+Rates!$B$7)+SUMPRODUCT((Labor!$G$6:$G$25=Projects!$A$11)*(Labor!$E$6:$E$25="Sub")*N(Labor!$K$6:$K$25)))+SUMIFS(ODCs!$F$5:$F$22,ODCs!$D$5:$D$22,Projects!$A$11,ODCs!$E$5:$E$22,1)+SUMIFS(Travel!$F$5:$F$22,Travel!$D$5:$D$22,Projects!$A$11,Travel!$E$5:$E$22,1)+SUMIFS('M&amp;E'!$F$5:$F$22,'M&amp;E'!$D$5:$D$22,Projects!$A$11,'M&amp;E'!$E$5:$E$22,1))*Rates!$B$8),0))*Rates!$C$18+((SUMIFS(Travel!$F$5:$F$22,Travel!$D$5:$D$22,Projects!$A$11,Travel!$E$5:$E$22,1))+IFERROR((SUMIFS(Travel!$F$5:$F$22,Travel!$D$5:$D$22,Projects!$A$11,Travel!$E$5:$E$22,1))/((SUMPRODUCT((Labor!$G$6:$G$25=Projects!$A$11)*(Labor!$E$6:$E$25="Prime")*N(Labor!$K$6:$K$25))*(1+Rates!$B$6)*(1+Rates!$B$7)+SUMPRODUCT((Labor!$G$6:$G$25=Projects!$A$11)*(Labor!$E$6:$E$25="Sub")*N(Labor!$K$6:$K$25)))+SUMIFS(ODCs!$F$5:$F$22,ODCs!$D$5:$D$22,Projects!$A$11,ODCs!$E$5:$E$22,1)+SUMIFS(Travel!$F$5:$F$22,Travel!$D$5:$D$22,Projects!$A$11,Travel!$E$5:$E$22,1)+SUMIFS('M&amp;E'!$F$5:$F$22,'M&amp;E'!$D$5:$D$22,Projects!$A$11,'M&amp;E'!$E$5:$E$22,1))*(((SUMPRODUCT((Labor!$G$6:$G$25=Projects!$A$11)*(Labor!$E$6:$E$25="Prime")*N(Labor!$K$6:$K$25))*(1+Rates!$B$6)*(1+Rates!$B$7)+SUMPRODUCT((Labor!$G$6:$G$25=Projects!$A$11)*(Labor!$E$6:$E$25="Sub")*N(Labor!$K$6:$K$25)))+SUMIFS(ODCs!$F$5:$F$22,ODCs!$D$5:$D$22,Projects!$A$11,ODCs!$E$5:$E$22,1)+SUMIFS(Travel!$F$5:$F$22,Travel!$D$5:$D$22,Projects!$A$11,Travel!$E$5:$E$22,1)+SUMIFS('M&amp;E'!$F$5:$F$22,'M&amp;E'!$D$5:$D$22,Projects!$A$11,'M&amp;E'!$E$5:$E$22,1))*Rates!$B$8),0))*Rates!$C$19+((SUMIFS(ODCs!$F$5:$F$22,ODCs!$D$5:$D$22,Projects!$A$11,ODCs!$E$5:$E$22,1))+IFERROR((SUMIFS(ODCs!$F$5:$F$22,ODCs!$D$5:$D$22,Projects!$A$11,ODCs!$E$5:$E$22,1))/((SUMPRODUCT((Labor!$G$6:$G$25=Projects!$A$11)*(Labor!$E$6:$E$25="Prime")*N(Labor!$K$6:$K$25))*(1+Rates!$B$6)*(1+Rates!$B$7)+SUMPRODUCT((Labor!$G$6:$G$25=Projects!$A$11)*(Labor!$E$6:$E$25="Sub")*N(Labor!$K$6:$K$25)))+SUMIFS(ODCs!$F$5:$F$22,ODCs!$D$5:$D$22,Projects!$A$11,ODCs!$E$5:$E$22,1)+SUMIFS(Travel!$F$5:$F$22,Travel!$D$5:$D$22,Projects!$A$11,Travel!$E$5:$E$22,1)+SUMIFS('M&amp;E'!$F$5:$F$22,'M&amp;E'!$D$5:$D$22,Projects!$A$11,'M&amp;E'!$E$5:$E$22,1))*(((SUMPRODUCT((Labor!$G$6:$G$25=Projects!$A$11)*(Labor!$E$6:$E$25="Prime")*N(Labor!$K$6:$K$25))*(1+Rates!$B$6)*(1+Rates!$B$7)+SUMPRODUCT((Labor!$G$6:$G$25=Projects!$A$11)*(Labor!$E$6:$E$25="Sub")*N(Labor!$K$6:$K$25)))+SUMIFS(ODCs!$F$5:$F$22,ODCs!$D$5:$D$22,Projects!$A$11,ODCs!$E$5:$E$22,1)+SUMIFS(Travel!$F$5:$F$22,Travel!$D$5:$D$22,Projects!$A$11,Travel!$E$5:$E$22,1)+SUMIFS('M&amp;E'!$F$5:$F$22,'M&amp;E'!$D$5:$D$22,Projects!$A$11,'M&amp;E'!$E$5:$E$22,1))*Rates!$B$8),0))*Rates!$C$20+((SUMIFS('M&amp;E'!$F$5:$F$22,'M&amp;E'!$D$5:$D$22,Projects!$A$11,'M&amp;E'!$E$5:$E$22,1))+IFERROR((SUMIFS('M&amp;E'!$F$5:$F$22,'M&amp;E'!$D$5:$D$22,Projects!$A$11,'M&amp;E'!$E$5:$E$22,1))/((SUMPRODUCT((Labor!$G$6:$G$25=Projects!$A$11)*(Labor!$E$6:$E$25="Prime")*N(Labor!$K$6:$K$25))*(1+Rates!$B$6)*(1+Rates!$B$7)+SUMPRODUCT((Labor!$G$6:$G$25=Projects!$A$11)*(Labor!$E$6:$E$25="Sub")*N(Labor!$K$6:$K$25)))+SUMIFS(ODCs!$F$5:$F$22,ODCs!$D$5:$D$22,Projects!$A$11,ODCs!$E$5:$E$22,1)+SUMIFS(Travel!$F$5:$F$22,Travel!$D$5:$D$22,Projects!$A$11,Travel!$E$5:$E$22,1)+SUMIFS('M&amp;E'!$F$5:$F$22,'M&amp;E'!$D$5:$D$22,Projects!$A$11,'M&amp;E'!$E$5:$E$22,1))*(((SUMPRODUCT((Labor!$G$6:$G$25=Projects!$A$11)*(Labor!$E$6:$E$25="Prime")*N(Labor!$K$6:$K$25))*(1+Rates!$B$6)*(1+Rates!$B$7)+SUMPRODUCT((Labor!$G$6:$G$25=Projects!$A$11)*(Labor!$E$6:$E$25="Sub")*N(Labor!$K$6:$K$25)))+SUMIFS(ODCs!$F$5:$F$22,ODCs!$D$5:$D$22,Projects!$A$11,ODCs!$E$5:$E$22,1)+SUMIFS(Travel!$F$5:$F$22,Travel!$D$5:$D$22,Projects!$A$11,Travel!$E$5:$E$22,1)+SUMIFS('M&amp;E'!$F$5:$F$22,'M&amp;E'!$D$5:$D$22,Projects!$A$11,'M&amp;E'!$E$5:$E$22,1))*Rates!$B$8),0))*Rates!$C$21))</f>
        <v/>
      </c>
      <c r="C47" s="132">
        <f>IF(Projects!$A$11="","",(((SUMPRODUCT((Labor!$G$6:$G$25=Projects!$A$11)*(Labor!$E$6:$E$25="Prime")*N(Labor!$O$6:$O$25))*(1+Rates!$B$6)*(1+Rates!$B$7)+SUMPRODUCT((Labor!$G$6:$G$25=Projects!$A$11)*(Labor!$E$6:$E$25="Sub")*N(Labor!$O$6:$O$25)))+SUMIFS(ODCs!$F$5:$F$22,ODCs!$D$5:$D$22,Projects!$A$11,ODCs!$E$5:$E$22,2)+SUMIFS(Travel!$F$5:$F$22,Travel!$D$5:$D$22,Projects!$A$11,Travel!$E$5:$E$22,2)+SUMIFS('M&amp;E'!$F$5:$F$22,'M&amp;E'!$D$5:$D$22,Projects!$A$11,'M&amp;E'!$E$5:$E$22,2))+(((SUMPRODUCT((Labor!$G$6:$G$25=Projects!$A$11)*(Labor!$E$6:$E$25="Prime")*N(Labor!$O$6:$O$25))*(1+Rates!$B$6)*(1+Rates!$B$7)+SUMPRODUCT((Labor!$G$6:$G$25=Projects!$A$11)*(Labor!$E$6:$E$25="Sub")*N(Labor!$O$6:$O$25)))+SUMIFS(ODCs!$F$5:$F$22,ODCs!$D$5:$D$22,Projects!$A$11,ODCs!$E$5:$E$22,2)+SUMIFS(Travel!$F$5:$F$22,Travel!$D$5:$D$22,Projects!$A$11,Travel!$E$5:$E$22,2)+SUMIFS('M&amp;E'!$F$5:$F$22,'M&amp;E'!$D$5:$D$22,Projects!$A$11,'M&amp;E'!$E$5:$E$22,2))*Rates!$B$8))+((((SUMPRODUCT((Labor!$G$6:$G$25=Projects!$A$11)*(Labor!$E$6:$E$25="Prime")*N(Labor!$O$6:$O$25))*(1+Rates!$B$6)*(1+Rates!$B$7)+SUMPRODUCT((Labor!$G$6:$G$25=Projects!$A$11)*(Labor!$E$6:$E$25="Sub")*N(Labor!$O$6:$O$25))))+IFERROR(((SUMPRODUCT((Labor!$G$6:$G$25=Projects!$A$11)*(Labor!$E$6:$E$25="Prime")*N(Labor!$O$6:$O$25))*(1+Rates!$B$6)*(1+Rates!$B$7)+SUMPRODUCT((Labor!$G$6:$G$25=Projects!$A$11)*(Labor!$E$6:$E$25="Sub")*N(Labor!$O$6:$O$25))))/((SUMPRODUCT((Labor!$G$6:$G$25=Projects!$A$11)*(Labor!$E$6:$E$25="Prime")*N(Labor!$O$6:$O$25))*(1+Rates!$B$6)*(1+Rates!$B$7)+SUMPRODUCT((Labor!$G$6:$G$25=Projects!$A$11)*(Labor!$E$6:$E$25="Sub")*N(Labor!$O$6:$O$25)))+SUMIFS(ODCs!$F$5:$F$22,ODCs!$D$5:$D$22,Projects!$A$11,ODCs!$E$5:$E$22,2)+SUMIFS(Travel!$F$5:$F$22,Travel!$D$5:$D$22,Projects!$A$11,Travel!$E$5:$E$22,2)+SUMIFS('M&amp;E'!$F$5:$F$22,'M&amp;E'!$D$5:$D$22,Projects!$A$11,'M&amp;E'!$E$5:$E$22,2))*(((SUMPRODUCT((Labor!$G$6:$G$25=Projects!$A$11)*(Labor!$E$6:$E$25="Prime")*N(Labor!$O$6:$O$25))*(1+Rates!$B$6)*(1+Rates!$B$7)+SUMPRODUCT((Labor!$G$6:$G$25=Projects!$A$11)*(Labor!$E$6:$E$25="Sub")*N(Labor!$O$6:$O$25)))+SUMIFS(ODCs!$F$5:$F$22,ODCs!$D$5:$D$22,Projects!$A$11,ODCs!$E$5:$E$22,2)+SUMIFS(Travel!$F$5:$F$22,Travel!$D$5:$D$22,Projects!$A$11,Travel!$E$5:$E$22,2)+SUMIFS('M&amp;E'!$F$5:$F$22,'M&amp;E'!$D$5:$D$22,Projects!$A$11,'M&amp;E'!$E$5:$E$22,2))*Rates!$B$8),0))*Rates!$C$18+((SUMIFS(Travel!$F$5:$F$22,Travel!$D$5:$D$22,Projects!$A$11,Travel!$E$5:$E$22,2))+IFERROR((SUMIFS(Travel!$F$5:$F$22,Travel!$D$5:$D$22,Projects!$A$11,Travel!$E$5:$E$22,2))/((SUMPRODUCT((Labor!$G$6:$G$25=Projects!$A$11)*(Labor!$E$6:$E$25="Prime")*N(Labor!$O$6:$O$25))*(1+Rates!$B$6)*(1+Rates!$B$7)+SUMPRODUCT((Labor!$G$6:$G$25=Projects!$A$11)*(Labor!$E$6:$E$25="Sub")*N(Labor!$O$6:$O$25)))+SUMIFS(ODCs!$F$5:$F$22,ODCs!$D$5:$D$22,Projects!$A$11,ODCs!$E$5:$E$22,2)+SUMIFS(Travel!$F$5:$F$22,Travel!$D$5:$D$22,Projects!$A$11,Travel!$E$5:$E$22,2)+SUMIFS('M&amp;E'!$F$5:$F$22,'M&amp;E'!$D$5:$D$22,Projects!$A$11,'M&amp;E'!$E$5:$E$22,2))*(((SUMPRODUCT((Labor!$G$6:$G$25=Projects!$A$11)*(Labor!$E$6:$E$25="Prime")*N(Labor!$O$6:$O$25))*(1+Rates!$B$6)*(1+Rates!$B$7)+SUMPRODUCT((Labor!$G$6:$G$25=Projects!$A$11)*(Labor!$E$6:$E$25="Sub")*N(Labor!$O$6:$O$25)))+SUMIFS(ODCs!$F$5:$F$22,ODCs!$D$5:$D$22,Projects!$A$11,ODCs!$E$5:$E$22,2)+SUMIFS(Travel!$F$5:$F$22,Travel!$D$5:$D$22,Projects!$A$11,Travel!$E$5:$E$22,2)+SUMIFS('M&amp;E'!$F$5:$F$22,'M&amp;E'!$D$5:$D$22,Projects!$A$11,'M&amp;E'!$E$5:$E$22,2))*Rates!$B$8),0))*Rates!$C$19+((SUMIFS(ODCs!$F$5:$F$22,ODCs!$D$5:$D$22,Projects!$A$11,ODCs!$E$5:$E$22,2))+IFERROR((SUMIFS(ODCs!$F$5:$F$22,ODCs!$D$5:$D$22,Projects!$A$11,ODCs!$E$5:$E$22,2))/((SUMPRODUCT((Labor!$G$6:$G$25=Projects!$A$11)*(Labor!$E$6:$E$25="Prime")*N(Labor!$O$6:$O$25))*(1+Rates!$B$6)*(1+Rates!$B$7)+SUMPRODUCT((Labor!$G$6:$G$25=Projects!$A$11)*(Labor!$E$6:$E$25="Sub")*N(Labor!$O$6:$O$25)))+SUMIFS(ODCs!$F$5:$F$22,ODCs!$D$5:$D$22,Projects!$A$11,ODCs!$E$5:$E$22,2)+SUMIFS(Travel!$F$5:$F$22,Travel!$D$5:$D$22,Projects!$A$11,Travel!$E$5:$E$22,2)+SUMIFS('M&amp;E'!$F$5:$F$22,'M&amp;E'!$D$5:$D$22,Projects!$A$11,'M&amp;E'!$E$5:$E$22,2))*(((SUMPRODUCT((Labor!$G$6:$G$25=Projects!$A$11)*(Labor!$E$6:$E$25="Prime")*N(Labor!$O$6:$O$25))*(1+Rates!$B$6)*(1+Rates!$B$7)+SUMPRODUCT((Labor!$G$6:$G$25=Projects!$A$11)*(Labor!$E$6:$E$25="Sub")*N(Labor!$O$6:$O$25)))+SUMIFS(ODCs!$F$5:$F$22,ODCs!$D$5:$D$22,Projects!$A$11,ODCs!$E$5:$E$22,2)+SUMIFS(Travel!$F$5:$F$22,Travel!$D$5:$D$22,Projects!$A$11,Travel!$E$5:$E$22,2)+SUMIFS('M&amp;E'!$F$5:$F$22,'M&amp;E'!$D$5:$D$22,Projects!$A$11,'M&amp;E'!$E$5:$E$22,2))*Rates!$B$8),0))*Rates!$C$20+((SUMIFS('M&amp;E'!$F$5:$F$22,'M&amp;E'!$D$5:$D$22,Projects!$A$11,'M&amp;E'!$E$5:$E$22,2))+IFERROR((SUMIFS('M&amp;E'!$F$5:$F$22,'M&amp;E'!$D$5:$D$22,Projects!$A$11,'M&amp;E'!$E$5:$E$22,2))/((SUMPRODUCT((Labor!$G$6:$G$25=Projects!$A$11)*(Labor!$E$6:$E$25="Prime")*N(Labor!$O$6:$O$25))*(1+Rates!$B$6)*(1+Rates!$B$7)+SUMPRODUCT((Labor!$G$6:$G$25=Projects!$A$11)*(Labor!$E$6:$E$25="Sub")*N(Labor!$O$6:$O$25)))+SUMIFS(ODCs!$F$5:$F$22,ODCs!$D$5:$D$22,Projects!$A$11,ODCs!$E$5:$E$22,2)+SUMIFS(Travel!$F$5:$F$22,Travel!$D$5:$D$22,Projects!$A$11,Travel!$E$5:$E$22,2)+SUMIFS('M&amp;E'!$F$5:$F$22,'M&amp;E'!$D$5:$D$22,Projects!$A$11,'M&amp;E'!$E$5:$E$22,2))*(((SUMPRODUCT((Labor!$G$6:$G$25=Projects!$A$11)*(Labor!$E$6:$E$25="Prime")*N(Labor!$O$6:$O$25))*(1+Rates!$B$6)*(1+Rates!$B$7)+SUMPRODUCT((Labor!$G$6:$G$25=Projects!$A$11)*(Labor!$E$6:$E$25="Sub")*N(Labor!$O$6:$O$25)))+SUMIFS(ODCs!$F$5:$F$22,ODCs!$D$5:$D$22,Projects!$A$11,ODCs!$E$5:$E$22,2)+SUMIFS(Travel!$F$5:$F$22,Travel!$D$5:$D$22,Projects!$A$11,Travel!$E$5:$E$22,2)+SUMIFS('M&amp;E'!$F$5:$F$22,'M&amp;E'!$D$5:$D$22,Projects!$A$11,'M&amp;E'!$E$5:$E$22,2))*Rates!$B$8),0))*Rates!$C$21))</f>
        <v/>
      </c>
      <c r="D47" s="132">
        <f>IF(Projects!$A$11="","",(((SUMPRODUCT((Labor!$G$6:$G$25=Projects!$A$11)*(Labor!$E$6:$E$25="Prime")*N(Labor!$S$6:$S$25))*(1+Rates!$B$6)*(1+Rates!$B$7)+SUMPRODUCT((Labor!$G$6:$G$25=Projects!$A$11)*(Labor!$E$6:$E$25="Sub")*N(Labor!$S$6:$S$25)))+SUMIFS(ODCs!$F$5:$F$22,ODCs!$D$5:$D$22,Projects!$A$11,ODCs!$E$5:$E$22,3)+SUMIFS(Travel!$F$5:$F$22,Travel!$D$5:$D$22,Projects!$A$11,Travel!$E$5:$E$22,3)+SUMIFS('M&amp;E'!$F$5:$F$22,'M&amp;E'!$D$5:$D$22,Projects!$A$11,'M&amp;E'!$E$5:$E$22,3))+(((SUMPRODUCT((Labor!$G$6:$G$25=Projects!$A$11)*(Labor!$E$6:$E$25="Prime")*N(Labor!$S$6:$S$25))*(1+Rates!$B$6)*(1+Rates!$B$7)+SUMPRODUCT((Labor!$G$6:$G$25=Projects!$A$11)*(Labor!$E$6:$E$25="Sub")*N(Labor!$S$6:$S$25)))+SUMIFS(ODCs!$F$5:$F$22,ODCs!$D$5:$D$22,Projects!$A$11,ODCs!$E$5:$E$22,3)+SUMIFS(Travel!$F$5:$F$22,Travel!$D$5:$D$22,Projects!$A$11,Travel!$E$5:$E$22,3)+SUMIFS('M&amp;E'!$F$5:$F$22,'M&amp;E'!$D$5:$D$22,Projects!$A$11,'M&amp;E'!$E$5:$E$22,3))*Rates!$B$8))+((((SUMPRODUCT((Labor!$G$6:$G$25=Projects!$A$11)*(Labor!$E$6:$E$25="Prime")*N(Labor!$S$6:$S$25))*(1+Rates!$B$6)*(1+Rates!$B$7)+SUMPRODUCT((Labor!$G$6:$G$25=Projects!$A$11)*(Labor!$E$6:$E$25="Sub")*N(Labor!$S$6:$S$25))))+IFERROR(((SUMPRODUCT((Labor!$G$6:$G$25=Projects!$A$11)*(Labor!$E$6:$E$25="Prime")*N(Labor!$S$6:$S$25))*(1+Rates!$B$6)*(1+Rates!$B$7)+SUMPRODUCT((Labor!$G$6:$G$25=Projects!$A$11)*(Labor!$E$6:$E$25="Sub")*N(Labor!$S$6:$S$25))))/((SUMPRODUCT((Labor!$G$6:$G$25=Projects!$A$11)*(Labor!$E$6:$E$25="Prime")*N(Labor!$S$6:$S$25))*(1+Rates!$B$6)*(1+Rates!$B$7)+SUMPRODUCT((Labor!$G$6:$G$25=Projects!$A$11)*(Labor!$E$6:$E$25="Sub")*N(Labor!$S$6:$S$25)))+SUMIFS(ODCs!$F$5:$F$22,ODCs!$D$5:$D$22,Projects!$A$11,ODCs!$E$5:$E$22,3)+SUMIFS(Travel!$F$5:$F$22,Travel!$D$5:$D$22,Projects!$A$11,Travel!$E$5:$E$22,3)+SUMIFS('M&amp;E'!$F$5:$F$22,'M&amp;E'!$D$5:$D$22,Projects!$A$11,'M&amp;E'!$E$5:$E$22,3))*(((SUMPRODUCT((Labor!$G$6:$G$25=Projects!$A$11)*(Labor!$E$6:$E$25="Prime")*N(Labor!$S$6:$S$25))*(1+Rates!$B$6)*(1+Rates!$B$7)+SUMPRODUCT((Labor!$G$6:$G$25=Projects!$A$11)*(Labor!$E$6:$E$25="Sub")*N(Labor!$S$6:$S$25)))+SUMIFS(ODCs!$F$5:$F$22,ODCs!$D$5:$D$22,Projects!$A$11,ODCs!$E$5:$E$22,3)+SUMIFS(Travel!$F$5:$F$22,Travel!$D$5:$D$22,Projects!$A$11,Travel!$E$5:$E$22,3)+SUMIFS('M&amp;E'!$F$5:$F$22,'M&amp;E'!$D$5:$D$22,Projects!$A$11,'M&amp;E'!$E$5:$E$22,3))*Rates!$B$8),0))*Rates!$C$18+((SUMIFS(Travel!$F$5:$F$22,Travel!$D$5:$D$22,Projects!$A$11,Travel!$E$5:$E$22,3))+IFERROR((SUMIFS(Travel!$F$5:$F$22,Travel!$D$5:$D$22,Projects!$A$11,Travel!$E$5:$E$22,3))/((SUMPRODUCT((Labor!$G$6:$G$25=Projects!$A$11)*(Labor!$E$6:$E$25="Prime")*N(Labor!$S$6:$S$25))*(1+Rates!$B$6)*(1+Rates!$B$7)+SUMPRODUCT((Labor!$G$6:$G$25=Projects!$A$11)*(Labor!$E$6:$E$25="Sub")*N(Labor!$S$6:$S$25)))+SUMIFS(ODCs!$F$5:$F$22,ODCs!$D$5:$D$22,Projects!$A$11,ODCs!$E$5:$E$22,3)+SUMIFS(Travel!$F$5:$F$22,Travel!$D$5:$D$22,Projects!$A$11,Travel!$E$5:$E$22,3)+SUMIFS('M&amp;E'!$F$5:$F$22,'M&amp;E'!$D$5:$D$22,Projects!$A$11,'M&amp;E'!$E$5:$E$22,3))*(((SUMPRODUCT((Labor!$G$6:$G$25=Projects!$A$11)*(Labor!$E$6:$E$25="Prime")*N(Labor!$S$6:$S$25))*(1+Rates!$B$6)*(1+Rates!$B$7)+SUMPRODUCT((Labor!$G$6:$G$25=Projects!$A$11)*(Labor!$E$6:$E$25="Sub")*N(Labor!$S$6:$S$25)))+SUMIFS(ODCs!$F$5:$F$22,ODCs!$D$5:$D$22,Projects!$A$11,ODCs!$E$5:$E$22,3)+SUMIFS(Travel!$F$5:$F$22,Travel!$D$5:$D$22,Projects!$A$11,Travel!$E$5:$E$22,3)+SUMIFS('M&amp;E'!$F$5:$F$22,'M&amp;E'!$D$5:$D$22,Projects!$A$11,'M&amp;E'!$E$5:$E$22,3))*Rates!$B$8),0))*Rates!$C$19+((SUMIFS(ODCs!$F$5:$F$22,ODCs!$D$5:$D$22,Projects!$A$11,ODCs!$E$5:$E$22,3))+IFERROR((SUMIFS(ODCs!$F$5:$F$22,ODCs!$D$5:$D$22,Projects!$A$11,ODCs!$E$5:$E$22,3))/((SUMPRODUCT((Labor!$G$6:$G$25=Projects!$A$11)*(Labor!$E$6:$E$25="Prime")*N(Labor!$S$6:$S$25))*(1+Rates!$B$6)*(1+Rates!$B$7)+SUMPRODUCT((Labor!$G$6:$G$25=Projects!$A$11)*(Labor!$E$6:$E$25="Sub")*N(Labor!$S$6:$S$25)))+SUMIFS(ODCs!$F$5:$F$22,ODCs!$D$5:$D$22,Projects!$A$11,ODCs!$E$5:$E$22,3)+SUMIFS(Travel!$F$5:$F$22,Travel!$D$5:$D$22,Projects!$A$11,Travel!$E$5:$E$22,3)+SUMIFS('M&amp;E'!$F$5:$F$22,'M&amp;E'!$D$5:$D$22,Projects!$A$11,'M&amp;E'!$E$5:$E$22,3))*(((SUMPRODUCT((Labor!$G$6:$G$25=Projects!$A$11)*(Labor!$E$6:$E$25="Prime")*N(Labor!$S$6:$S$25))*(1+Rates!$B$6)*(1+Rates!$B$7)+SUMPRODUCT((Labor!$G$6:$G$25=Projects!$A$11)*(Labor!$E$6:$E$25="Sub")*N(Labor!$S$6:$S$25)))+SUMIFS(ODCs!$F$5:$F$22,ODCs!$D$5:$D$22,Projects!$A$11,ODCs!$E$5:$E$22,3)+SUMIFS(Travel!$F$5:$F$22,Travel!$D$5:$D$22,Projects!$A$11,Travel!$E$5:$E$22,3)+SUMIFS('M&amp;E'!$F$5:$F$22,'M&amp;E'!$D$5:$D$22,Projects!$A$11,'M&amp;E'!$E$5:$E$22,3))*Rates!$B$8),0))*Rates!$C$20+((SUMIFS('M&amp;E'!$F$5:$F$22,'M&amp;E'!$D$5:$D$22,Projects!$A$11,'M&amp;E'!$E$5:$E$22,3))+IFERROR((SUMIFS('M&amp;E'!$F$5:$F$22,'M&amp;E'!$D$5:$D$22,Projects!$A$11,'M&amp;E'!$E$5:$E$22,3))/((SUMPRODUCT((Labor!$G$6:$G$25=Projects!$A$11)*(Labor!$E$6:$E$25="Prime")*N(Labor!$S$6:$S$25))*(1+Rates!$B$6)*(1+Rates!$B$7)+SUMPRODUCT((Labor!$G$6:$G$25=Projects!$A$11)*(Labor!$E$6:$E$25="Sub")*N(Labor!$S$6:$S$25)))+SUMIFS(ODCs!$F$5:$F$22,ODCs!$D$5:$D$22,Projects!$A$11,ODCs!$E$5:$E$22,3)+SUMIFS(Travel!$F$5:$F$22,Travel!$D$5:$D$22,Projects!$A$11,Travel!$E$5:$E$22,3)+SUMIFS('M&amp;E'!$F$5:$F$22,'M&amp;E'!$D$5:$D$22,Projects!$A$11,'M&amp;E'!$E$5:$E$22,3))*(((SUMPRODUCT((Labor!$G$6:$G$25=Projects!$A$11)*(Labor!$E$6:$E$25="Prime")*N(Labor!$S$6:$S$25))*(1+Rates!$B$6)*(1+Rates!$B$7)+SUMPRODUCT((Labor!$G$6:$G$25=Projects!$A$11)*(Labor!$E$6:$E$25="Sub")*N(Labor!$S$6:$S$25)))+SUMIFS(ODCs!$F$5:$F$22,ODCs!$D$5:$D$22,Projects!$A$11,ODCs!$E$5:$E$22,3)+SUMIFS(Travel!$F$5:$F$22,Travel!$D$5:$D$22,Projects!$A$11,Travel!$E$5:$E$22,3)+SUMIFS('M&amp;E'!$F$5:$F$22,'M&amp;E'!$D$5:$D$22,Projects!$A$11,'M&amp;E'!$E$5:$E$22,3))*Rates!$B$8),0))*Rates!$C$21))</f>
        <v/>
      </c>
      <c r="E47" s="132">
        <f>IF(Projects!$A$11="","",(((SUMPRODUCT((Labor!$G$6:$G$25=Projects!$A$11)*(Labor!$E$6:$E$25="Prime")*N(Labor!$W$6:$W$25))*(1+Rates!$B$6)*(1+Rates!$B$7)+SUMPRODUCT((Labor!$G$6:$G$25=Projects!$A$11)*(Labor!$E$6:$E$25="Sub")*N(Labor!$W$6:$W$25)))+SUMIFS(ODCs!$F$5:$F$22,ODCs!$D$5:$D$22,Projects!$A$11,ODCs!$E$5:$E$22,4)+SUMIFS(Travel!$F$5:$F$22,Travel!$D$5:$D$22,Projects!$A$11,Travel!$E$5:$E$22,4)+SUMIFS('M&amp;E'!$F$5:$F$22,'M&amp;E'!$D$5:$D$22,Projects!$A$11,'M&amp;E'!$E$5:$E$22,4))+(((SUMPRODUCT((Labor!$G$6:$G$25=Projects!$A$11)*(Labor!$E$6:$E$25="Prime")*N(Labor!$W$6:$W$25))*(1+Rates!$B$6)*(1+Rates!$B$7)+SUMPRODUCT((Labor!$G$6:$G$25=Projects!$A$11)*(Labor!$E$6:$E$25="Sub")*N(Labor!$W$6:$W$25)))+SUMIFS(ODCs!$F$5:$F$22,ODCs!$D$5:$D$22,Projects!$A$11,ODCs!$E$5:$E$22,4)+SUMIFS(Travel!$F$5:$F$22,Travel!$D$5:$D$22,Projects!$A$11,Travel!$E$5:$E$22,4)+SUMIFS('M&amp;E'!$F$5:$F$22,'M&amp;E'!$D$5:$D$22,Projects!$A$11,'M&amp;E'!$E$5:$E$22,4))*Rates!$B$8))+((((SUMPRODUCT((Labor!$G$6:$G$25=Projects!$A$11)*(Labor!$E$6:$E$25="Prime")*N(Labor!$W$6:$W$25))*(1+Rates!$B$6)*(1+Rates!$B$7)+SUMPRODUCT((Labor!$G$6:$G$25=Projects!$A$11)*(Labor!$E$6:$E$25="Sub")*N(Labor!$W$6:$W$25))))+IFERROR(((SUMPRODUCT((Labor!$G$6:$G$25=Projects!$A$11)*(Labor!$E$6:$E$25="Prime")*N(Labor!$W$6:$W$25))*(1+Rates!$B$6)*(1+Rates!$B$7)+SUMPRODUCT((Labor!$G$6:$G$25=Projects!$A$11)*(Labor!$E$6:$E$25="Sub")*N(Labor!$W$6:$W$25))))/((SUMPRODUCT((Labor!$G$6:$G$25=Projects!$A$11)*(Labor!$E$6:$E$25="Prime")*N(Labor!$W$6:$W$25))*(1+Rates!$B$6)*(1+Rates!$B$7)+SUMPRODUCT((Labor!$G$6:$G$25=Projects!$A$11)*(Labor!$E$6:$E$25="Sub")*N(Labor!$W$6:$W$25)))+SUMIFS(ODCs!$F$5:$F$22,ODCs!$D$5:$D$22,Projects!$A$11,ODCs!$E$5:$E$22,4)+SUMIFS(Travel!$F$5:$F$22,Travel!$D$5:$D$22,Projects!$A$11,Travel!$E$5:$E$22,4)+SUMIFS('M&amp;E'!$F$5:$F$22,'M&amp;E'!$D$5:$D$22,Projects!$A$11,'M&amp;E'!$E$5:$E$22,4))*(((SUMPRODUCT((Labor!$G$6:$G$25=Projects!$A$11)*(Labor!$E$6:$E$25="Prime")*N(Labor!$W$6:$W$25))*(1+Rates!$B$6)*(1+Rates!$B$7)+SUMPRODUCT((Labor!$G$6:$G$25=Projects!$A$11)*(Labor!$E$6:$E$25="Sub")*N(Labor!$W$6:$W$25)))+SUMIFS(ODCs!$F$5:$F$22,ODCs!$D$5:$D$22,Projects!$A$11,ODCs!$E$5:$E$22,4)+SUMIFS(Travel!$F$5:$F$22,Travel!$D$5:$D$22,Projects!$A$11,Travel!$E$5:$E$22,4)+SUMIFS('M&amp;E'!$F$5:$F$22,'M&amp;E'!$D$5:$D$22,Projects!$A$11,'M&amp;E'!$E$5:$E$22,4))*Rates!$B$8),0))*Rates!$C$18+((SUMIFS(Travel!$F$5:$F$22,Travel!$D$5:$D$22,Projects!$A$11,Travel!$E$5:$E$22,4))+IFERROR((SUMIFS(Travel!$F$5:$F$22,Travel!$D$5:$D$22,Projects!$A$11,Travel!$E$5:$E$22,4))/((SUMPRODUCT((Labor!$G$6:$G$25=Projects!$A$11)*(Labor!$E$6:$E$25="Prime")*N(Labor!$W$6:$W$25))*(1+Rates!$B$6)*(1+Rates!$B$7)+SUMPRODUCT((Labor!$G$6:$G$25=Projects!$A$11)*(Labor!$E$6:$E$25="Sub")*N(Labor!$W$6:$W$25)))+SUMIFS(ODCs!$F$5:$F$22,ODCs!$D$5:$D$22,Projects!$A$11,ODCs!$E$5:$E$22,4)+SUMIFS(Travel!$F$5:$F$22,Travel!$D$5:$D$22,Projects!$A$11,Travel!$E$5:$E$22,4)+SUMIFS('M&amp;E'!$F$5:$F$22,'M&amp;E'!$D$5:$D$22,Projects!$A$11,'M&amp;E'!$E$5:$E$22,4))*(((SUMPRODUCT((Labor!$G$6:$G$25=Projects!$A$11)*(Labor!$E$6:$E$25="Prime")*N(Labor!$W$6:$W$25))*(1+Rates!$B$6)*(1+Rates!$B$7)+SUMPRODUCT((Labor!$G$6:$G$25=Projects!$A$11)*(Labor!$E$6:$E$25="Sub")*N(Labor!$W$6:$W$25)))+SUMIFS(ODCs!$F$5:$F$22,ODCs!$D$5:$D$22,Projects!$A$11,ODCs!$E$5:$E$22,4)+SUMIFS(Travel!$F$5:$F$22,Travel!$D$5:$D$22,Projects!$A$11,Travel!$E$5:$E$22,4)+SUMIFS('M&amp;E'!$F$5:$F$22,'M&amp;E'!$D$5:$D$22,Projects!$A$11,'M&amp;E'!$E$5:$E$22,4))*Rates!$B$8),0))*Rates!$C$19+((SUMIFS(ODCs!$F$5:$F$22,ODCs!$D$5:$D$22,Projects!$A$11,ODCs!$E$5:$E$22,4))+IFERROR((SUMIFS(ODCs!$F$5:$F$22,ODCs!$D$5:$D$22,Projects!$A$11,ODCs!$E$5:$E$22,4))/((SUMPRODUCT((Labor!$G$6:$G$25=Projects!$A$11)*(Labor!$E$6:$E$25="Prime")*N(Labor!$W$6:$W$25))*(1+Rates!$B$6)*(1+Rates!$B$7)+SUMPRODUCT((Labor!$G$6:$G$25=Projects!$A$11)*(Labor!$E$6:$E$25="Sub")*N(Labor!$W$6:$W$25)))+SUMIFS(ODCs!$F$5:$F$22,ODCs!$D$5:$D$22,Projects!$A$11,ODCs!$E$5:$E$22,4)+SUMIFS(Travel!$F$5:$F$22,Travel!$D$5:$D$22,Projects!$A$11,Travel!$E$5:$E$22,4)+SUMIFS('M&amp;E'!$F$5:$F$22,'M&amp;E'!$D$5:$D$22,Projects!$A$11,'M&amp;E'!$E$5:$E$22,4))*(((SUMPRODUCT((Labor!$G$6:$G$25=Projects!$A$11)*(Labor!$E$6:$E$25="Prime")*N(Labor!$W$6:$W$25))*(1+Rates!$B$6)*(1+Rates!$B$7)+SUMPRODUCT((Labor!$G$6:$G$25=Projects!$A$11)*(Labor!$E$6:$E$25="Sub")*N(Labor!$W$6:$W$25)))+SUMIFS(ODCs!$F$5:$F$22,ODCs!$D$5:$D$22,Projects!$A$11,ODCs!$E$5:$E$22,4)+SUMIFS(Travel!$F$5:$F$22,Travel!$D$5:$D$22,Projects!$A$11,Travel!$E$5:$E$22,4)+SUMIFS('M&amp;E'!$F$5:$F$22,'M&amp;E'!$D$5:$D$22,Projects!$A$11,'M&amp;E'!$E$5:$E$22,4))*Rates!$B$8),0))*Rates!$C$20+((SUMIFS('M&amp;E'!$F$5:$F$22,'M&amp;E'!$D$5:$D$22,Projects!$A$11,'M&amp;E'!$E$5:$E$22,4))+IFERROR((SUMIFS('M&amp;E'!$F$5:$F$22,'M&amp;E'!$D$5:$D$22,Projects!$A$11,'M&amp;E'!$E$5:$E$22,4))/((SUMPRODUCT((Labor!$G$6:$G$25=Projects!$A$11)*(Labor!$E$6:$E$25="Prime")*N(Labor!$W$6:$W$25))*(1+Rates!$B$6)*(1+Rates!$B$7)+SUMPRODUCT((Labor!$G$6:$G$25=Projects!$A$11)*(Labor!$E$6:$E$25="Sub")*N(Labor!$W$6:$W$25)))+SUMIFS(ODCs!$F$5:$F$22,ODCs!$D$5:$D$22,Projects!$A$11,ODCs!$E$5:$E$22,4)+SUMIFS(Travel!$F$5:$F$22,Travel!$D$5:$D$22,Projects!$A$11,Travel!$E$5:$E$22,4)+SUMIFS('M&amp;E'!$F$5:$F$22,'M&amp;E'!$D$5:$D$22,Projects!$A$11,'M&amp;E'!$E$5:$E$22,4))*(((SUMPRODUCT((Labor!$G$6:$G$25=Projects!$A$11)*(Labor!$E$6:$E$25="Prime")*N(Labor!$W$6:$W$25))*(1+Rates!$B$6)*(1+Rates!$B$7)+SUMPRODUCT((Labor!$G$6:$G$25=Projects!$A$11)*(Labor!$E$6:$E$25="Sub")*N(Labor!$W$6:$W$25)))+SUMIFS(ODCs!$F$5:$F$22,ODCs!$D$5:$D$22,Projects!$A$11,ODCs!$E$5:$E$22,4)+SUMIFS(Travel!$F$5:$F$22,Travel!$D$5:$D$22,Projects!$A$11,Travel!$E$5:$E$22,4)+SUMIFS('M&amp;E'!$F$5:$F$22,'M&amp;E'!$D$5:$D$22,Projects!$A$11,'M&amp;E'!$E$5:$E$22,4))*Rates!$B$8),0))*Rates!$C$21))</f>
        <v/>
      </c>
      <c r="F47" s="132">
        <f>IF(Projects!$A$11="","",(((SUMPRODUCT((Labor!$G$6:$G$25=Projects!$A$11)*(Labor!$E$6:$E$25="Prime")*N(Labor!$AA$6:$AA$25))*(1+Rates!$B$6)*(1+Rates!$B$7)+SUMPRODUCT((Labor!$G$6:$G$25=Projects!$A$11)*(Labor!$E$6:$E$25="Sub")*N(Labor!$AA$6:$AA$25)))+SUMIFS(ODCs!$F$5:$F$22,ODCs!$D$5:$D$22,Projects!$A$11,ODCs!$E$5:$E$22,5)+SUMIFS(Travel!$F$5:$F$22,Travel!$D$5:$D$22,Projects!$A$11,Travel!$E$5:$E$22,5)+SUMIFS('M&amp;E'!$F$5:$F$22,'M&amp;E'!$D$5:$D$22,Projects!$A$11,'M&amp;E'!$E$5:$E$22,5))+(((SUMPRODUCT((Labor!$G$6:$G$25=Projects!$A$11)*(Labor!$E$6:$E$25="Prime")*N(Labor!$AA$6:$AA$25))*(1+Rates!$B$6)*(1+Rates!$B$7)+SUMPRODUCT((Labor!$G$6:$G$25=Projects!$A$11)*(Labor!$E$6:$E$25="Sub")*N(Labor!$AA$6:$AA$25)))+SUMIFS(ODCs!$F$5:$F$22,ODCs!$D$5:$D$22,Projects!$A$11,ODCs!$E$5:$E$22,5)+SUMIFS(Travel!$F$5:$F$22,Travel!$D$5:$D$22,Projects!$A$11,Travel!$E$5:$E$22,5)+SUMIFS('M&amp;E'!$F$5:$F$22,'M&amp;E'!$D$5:$D$22,Projects!$A$11,'M&amp;E'!$E$5:$E$22,5))*Rates!$B$8))+((((SUMPRODUCT((Labor!$G$6:$G$25=Projects!$A$11)*(Labor!$E$6:$E$25="Prime")*N(Labor!$AA$6:$AA$25))*(1+Rates!$B$6)*(1+Rates!$B$7)+SUMPRODUCT((Labor!$G$6:$G$25=Projects!$A$11)*(Labor!$E$6:$E$25="Sub")*N(Labor!$AA$6:$AA$25))))+IFERROR(((SUMPRODUCT((Labor!$G$6:$G$25=Projects!$A$11)*(Labor!$E$6:$E$25="Prime")*N(Labor!$AA$6:$AA$25))*(1+Rates!$B$6)*(1+Rates!$B$7)+SUMPRODUCT((Labor!$G$6:$G$25=Projects!$A$11)*(Labor!$E$6:$E$25="Sub")*N(Labor!$AA$6:$AA$25))))/((SUMPRODUCT((Labor!$G$6:$G$25=Projects!$A$11)*(Labor!$E$6:$E$25="Prime")*N(Labor!$AA$6:$AA$25))*(1+Rates!$B$6)*(1+Rates!$B$7)+SUMPRODUCT((Labor!$G$6:$G$25=Projects!$A$11)*(Labor!$E$6:$E$25="Sub")*N(Labor!$AA$6:$AA$25)))+SUMIFS(ODCs!$F$5:$F$22,ODCs!$D$5:$D$22,Projects!$A$11,ODCs!$E$5:$E$22,5)+SUMIFS(Travel!$F$5:$F$22,Travel!$D$5:$D$22,Projects!$A$11,Travel!$E$5:$E$22,5)+SUMIFS('M&amp;E'!$F$5:$F$22,'M&amp;E'!$D$5:$D$22,Projects!$A$11,'M&amp;E'!$E$5:$E$22,5))*(((SUMPRODUCT((Labor!$G$6:$G$25=Projects!$A$11)*(Labor!$E$6:$E$25="Prime")*N(Labor!$AA$6:$AA$25))*(1+Rates!$B$6)*(1+Rates!$B$7)+SUMPRODUCT((Labor!$G$6:$G$25=Projects!$A$11)*(Labor!$E$6:$E$25="Sub")*N(Labor!$AA$6:$AA$25)))+SUMIFS(ODCs!$F$5:$F$22,ODCs!$D$5:$D$22,Projects!$A$11,ODCs!$E$5:$E$22,5)+SUMIFS(Travel!$F$5:$F$22,Travel!$D$5:$D$22,Projects!$A$11,Travel!$E$5:$E$22,5)+SUMIFS('M&amp;E'!$F$5:$F$22,'M&amp;E'!$D$5:$D$22,Projects!$A$11,'M&amp;E'!$E$5:$E$22,5))*Rates!$B$8),0))*Rates!$C$18+((SUMIFS(Travel!$F$5:$F$22,Travel!$D$5:$D$22,Projects!$A$11,Travel!$E$5:$E$22,5))+IFERROR((SUMIFS(Travel!$F$5:$F$22,Travel!$D$5:$D$22,Projects!$A$11,Travel!$E$5:$E$22,5))/((SUMPRODUCT((Labor!$G$6:$G$25=Projects!$A$11)*(Labor!$E$6:$E$25="Prime")*N(Labor!$AA$6:$AA$25))*(1+Rates!$B$6)*(1+Rates!$B$7)+SUMPRODUCT((Labor!$G$6:$G$25=Projects!$A$11)*(Labor!$E$6:$E$25="Sub")*N(Labor!$AA$6:$AA$25)))+SUMIFS(ODCs!$F$5:$F$22,ODCs!$D$5:$D$22,Projects!$A$11,ODCs!$E$5:$E$22,5)+SUMIFS(Travel!$F$5:$F$22,Travel!$D$5:$D$22,Projects!$A$11,Travel!$E$5:$E$22,5)+SUMIFS('M&amp;E'!$F$5:$F$22,'M&amp;E'!$D$5:$D$22,Projects!$A$11,'M&amp;E'!$E$5:$E$22,5))*(((SUMPRODUCT((Labor!$G$6:$G$25=Projects!$A$11)*(Labor!$E$6:$E$25="Prime")*N(Labor!$AA$6:$AA$25))*(1+Rates!$B$6)*(1+Rates!$B$7)+SUMPRODUCT((Labor!$G$6:$G$25=Projects!$A$11)*(Labor!$E$6:$E$25="Sub")*N(Labor!$AA$6:$AA$25)))+SUMIFS(ODCs!$F$5:$F$22,ODCs!$D$5:$D$22,Projects!$A$11,ODCs!$E$5:$E$22,5)+SUMIFS(Travel!$F$5:$F$22,Travel!$D$5:$D$22,Projects!$A$11,Travel!$E$5:$E$22,5)+SUMIFS('M&amp;E'!$F$5:$F$22,'M&amp;E'!$D$5:$D$22,Projects!$A$11,'M&amp;E'!$E$5:$E$22,5))*Rates!$B$8),0))*Rates!$C$19+((SUMIFS(ODCs!$F$5:$F$22,ODCs!$D$5:$D$22,Projects!$A$11,ODCs!$E$5:$E$22,5))+IFERROR((SUMIFS(ODCs!$F$5:$F$22,ODCs!$D$5:$D$22,Projects!$A$11,ODCs!$E$5:$E$22,5))/((SUMPRODUCT((Labor!$G$6:$G$25=Projects!$A$11)*(Labor!$E$6:$E$25="Prime")*N(Labor!$AA$6:$AA$25))*(1+Rates!$B$6)*(1+Rates!$B$7)+SUMPRODUCT((Labor!$G$6:$G$25=Projects!$A$11)*(Labor!$E$6:$E$25="Sub")*N(Labor!$AA$6:$AA$25)))+SUMIFS(ODCs!$F$5:$F$22,ODCs!$D$5:$D$22,Projects!$A$11,ODCs!$E$5:$E$22,5)+SUMIFS(Travel!$F$5:$F$22,Travel!$D$5:$D$22,Projects!$A$11,Travel!$E$5:$E$22,5)+SUMIFS('M&amp;E'!$F$5:$F$22,'M&amp;E'!$D$5:$D$22,Projects!$A$11,'M&amp;E'!$E$5:$E$22,5))*(((SUMPRODUCT((Labor!$G$6:$G$25=Projects!$A$11)*(Labor!$E$6:$E$25="Prime")*N(Labor!$AA$6:$AA$25))*(1+Rates!$B$6)*(1+Rates!$B$7)+SUMPRODUCT((Labor!$G$6:$G$25=Projects!$A$11)*(Labor!$E$6:$E$25="Sub")*N(Labor!$AA$6:$AA$25)))+SUMIFS(ODCs!$F$5:$F$22,ODCs!$D$5:$D$22,Projects!$A$11,ODCs!$E$5:$E$22,5)+SUMIFS(Travel!$F$5:$F$22,Travel!$D$5:$D$22,Projects!$A$11,Travel!$E$5:$E$22,5)+SUMIFS('M&amp;E'!$F$5:$F$22,'M&amp;E'!$D$5:$D$22,Projects!$A$11,'M&amp;E'!$E$5:$E$22,5))*Rates!$B$8),0))*Rates!$C$20+((SUMIFS('M&amp;E'!$F$5:$F$22,'M&amp;E'!$D$5:$D$22,Projects!$A$11,'M&amp;E'!$E$5:$E$22,5))+IFERROR((SUMIFS('M&amp;E'!$F$5:$F$22,'M&amp;E'!$D$5:$D$22,Projects!$A$11,'M&amp;E'!$E$5:$E$22,5))/((SUMPRODUCT((Labor!$G$6:$G$25=Projects!$A$11)*(Labor!$E$6:$E$25="Prime")*N(Labor!$AA$6:$AA$25))*(1+Rates!$B$6)*(1+Rates!$B$7)+SUMPRODUCT((Labor!$G$6:$G$25=Projects!$A$11)*(Labor!$E$6:$E$25="Sub")*N(Labor!$AA$6:$AA$25)))+SUMIFS(ODCs!$F$5:$F$22,ODCs!$D$5:$D$22,Projects!$A$11,ODCs!$E$5:$E$22,5)+SUMIFS(Travel!$F$5:$F$22,Travel!$D$5:$D$22,Projects!$A$11,Travel!$E$5:$E$22,5)+SUMIFS('M&amp;E'!$F$5:$F$22,'M&amp;E'!$D$5:$D$22,Projects!$A$11,'M&amp;E'!$E$5:$E$22,5))*(((SUMPRODUCT((Labor!$G$6:$G$25=Projects!$A$11)*(Labor!$E$6:$E$25="Prime")*N(Labor!$AA$6:$AA$25))*(1+Rates!$B$6)*(1+Rates!$B$7)+SUMPRODUCT((Labor!$G$6:$G$25=Projects!$A$11)*(Labor!$E$6:$E$25="Sub")*N(Labor!$AA$6:$AA$25)))+SUMIFS(ODCs!$F$5:$F$22,ODCs!$D$5:$D$22,Projects!$A$11,ODCs!$E$5:$E$22,5)+SUMIFS(Travel!$F$5:$F$22,Travel!$D$5:$D$22,Projects!$A$11,Travel!$E$5:$E$22,5)+SUMIFS('M&amp;E'!$F$5:$F$22,'M&amp;E'!$D$5:$D$22,Projects!$A$11,'M&amp;E'!$E$5:$E$22,5))*Rates!$B$8),0))*Rates!$C$21))</f>
        <v/>
      </c>
      <c r="G47" s="132">
        <f>IF(Projects!$A$11="","",(((SUMPRODUCT((Labor!$G$6:$G$25=Projects!$A$11)*(Labor!$E$6:$E$25="Prime")*N(Labor!$AE$6:$AE$25))*(1+Rates!$B$6)*(1+Rates!$B$7)+SUMPRODUCT((Labor!$G$6:$G$25=Projects!$A$11)*(Labor!$E$6:$E$25="Sub")*N(Labor!$AE$6:$AE$25)))+SUMIFS(ODCs!$F$5:$F$22,ODCs!$D$5:$D$22,Projects!$A$11,ODCs!$E$5:$E$22,6)+SUMIFS(Travel!$F$5:$F$22,Travel!$D$5:$D$22,Projects!$A$11,Travel!$E$5:$E$22,6)+SUMIFS('M&amp;E'!$F$5:$F$22,'M&amp;E'!$D$5:$D$22,Projects!$A$11,'M&amp;E'!$E$5:$E$22,6))+(((SUMPRODUCT((Labor!$G$6:$G$25=Projects!$A$11)*(Labor!$E$6:$E$25="Prime")*N(Labor!$AE$6:$AE$25))*(1+Rates!$B$6)*(1+Rates!$B$7)+SUMPRODUCT((Labor!$G$6:$G$25=Projects!$A$11)*(Labor!$E$6:$E$25="Sub")*N(Labor!$AE$6:$AE$25)))+SUMIFS(ODCs!$F$5:$F$22,ODCs!$D$5:$D$22,Projects!$A$11,ODCs!$E$5:$E$22,6)+SUMIFS(Travel!$F$5:$F$22,Travel!$D$5:$D$22,Projects!$A$11,Travel!$E$5:$E$22,6)+SUMIFS('M&amp;E'!$F$5:$F$22,'M&amp;E'!$D$5:$D$22,Projects!$A$11,'M&amp;E'!$E$5:$E$22,6))*Rates!$B$8))+((((SUMPRODUCT((Labor!$G$6:$G$25=Projects!$A$11)*(Labor!$E$6:$E$25="Prime")*N(Labor!$AE$6:$AE$25))*(1+Rates!$B$6)*(1+Rates!$B$7)+SUMPRODUCT((Labor!$G$6:$G$25=Projects!$A$11)*(Labor!$E$6:$E$25="Sub")*N(Labor!$AE$6:$AE$25))))+IFERROR(((SUMPRODUCT((Labor!$G$6:$G$25=Projects!$A$11)*(Labor!$E$6:$E$25="Prime")*N(Labor!$AE$6:$AE$25))*(1+Rates!$B$6)*(1+Rates!$B$7)+SUMPRODUCT((Labor!$G$6:$G$25=Projects!$A$11)*(Labor!$E$6:$E$25="Sub")*N(Labor!$AE$6:$AE$25))))/((SUMPRODUCT((Labor!$G$6:$G$25=Projects!$A$11)*(Labor!$E$6:$E$25="Prime")*N(Labor!$AE$6:$AE$25))*(1+Rates!$B$6)*(1+Rates!$B$7)+SUMPRODUCT((Labor!$G$6:$G$25=Projects!$A$11)*(Labor!$E$6:$E$25="Sub")*N(Labor!$AE$6:$AE$25)))+SUMIFS(ODCs!$F$5:$F$22,ODCs!$D$5:$D$22,Projects!$A$11,ODCs!$E$5:$E$22,6)+SUMIFS(Travel!$F$5:$F$22,Travel!$D$5:$D$22,Projects!$A$11,Travel!$E$5:$E$22,6)+SUMIFS('M&amp;E'!$F$5:$F$22,'M&amp;E'!$D$5:$D$22,Projects!$A$11,'M&amp;E'!$E$5:$E$22,6))*(((SUMPRODUCT((Labor!$G$6:$G$25=Projects!$A$11)*(Labor!$E$6:$E$25="Prime")*N(Labor!$AE$6:$AE$25))*(1+Rates!$B$6)*(1+Rates!$B$7)+SUMPRODUCT((Labor!$G$6:$G$25=Projects!$A$11)*(Labor!$E$6:$E$25="Sub")*N(Labor!$AE$6:$AE$25)))+SUMIFS(ODCs!$F$5:$F$22,ODCs!$D$5:$D$22,Projects!$A$11,ODCs!$E$5:$E$22,6)+SUMIFS(Travel!$F$5:$F$22,Travel!$D$5:$D$22,Projects!$A$11,Travel!$E$5:$E$22,6)+SUMIFS('M&amp;E'!$F$5:$F$22,'M&amp;E'!$D$5:$D$22,Projects!$A$11,'M&amp;E'!$E$5:$E$22,6))*Rates!$B$8),0))*Rates!$C$18+((SUMIFS(Travel!$F$5:$F$22,Travel!$D$5:$D$22,Projects!$A$11,Travel!$E$5:$E$22,6))+IFERROR((SUMIFS(Travel!$F$5:$F$22,Travel!$D$5:$D$22,Projects!$A$11,Travel!$E$5:$E$22,6))/((SUMPRODUCT((Labor!$G$6:$G$25=Projects!$A$11)*(Labor!$E$6:$E$25="Prime")*N(Labor!$AE$6:$AE$25))*(1+Rates!$B$6)*(1+Rates!$B$7)+SUMPRODUCT((Labor!$G$6:$G$25=Projects!$A$11)*(Labor!$E$6:$E$25="Sub")*N(Labor!$AE$6:$AE$25)))+SUMIFS(ODCs!$F$5:$F$22,ODCs!$D$5:$D$22,Projects!$A$11,ODCs!$E$5:$E$22,6)+SUMIFS(Travel!$F$5:$F$22,Travel!$D$5:$D$22,Projects!$A$11,Travel!$E$5:$E$22,6)+SUMIFS('M&amp;E'!$F$5:$F$22,'M&amp;E'!$D$5:$D$22,Projects!$A$11,'M&amp;E'!$E$5:$E$22,6))*(((SUMPRODUCT((Labor!$G$6:$G$25=Projects!$A$11)*(Labor!$E$6:$E$25="Prime")*N(Labor!$AE$6:$AE$25))*(1+Rates!$B$6)*(1+Rates!$B$7)+SUMPRODUCT((Labor!$G$6:$G$25=Projects!$A$11)*(Labor!$E$6:$E$25="Sub")*N(Labor!$AE$6:$AE$25)))+SUMIFS(ODCs!$F$5:$F$22,ODCs!$D$5:$D$22,Projects!$A$11,ODCs!$E$5:$E$22,6)+SUMIFS(Travel!$F$5:$F$22,Travel!$D$5:$D$22,Projects!$A$11,Travel!$E$5:$E$22,6)+SUMIFS('M&amp;E'!$F$5:$F$22,'M&amp;E'!$D$5:$D$22,Projects!$A$11,'M&amp;E'!$E$5:$E$22,6))*Rates!$B$8),0))*Rates!$C$19+((SUMIFS(ODCs!$F$5:$F$22,ODCs!$D$5:$D$22,Projects!$A$11,ODCs!$E$5:$E$22,6))+IFERROR((SUMIFS(ODCs!$F$5:$F$22,ODCs!$D$5:$D$22,Projects!$A$11,ODCs!$E$5:$E$22,6))/((SUMPRODUCT((Labor!$G$6:$G$25=Projects!$A$11)*(Labor!$E$6:$E$25="Prime")*N(Labor!$AE$6:$AE$25))*(1+Rates!$B$6)*(1+Rates!$B$7)+SUMPRODUCT((Labor!$G$6:$G$25=Projects!$A$11)*(Labor!$E$6:$E$25="Sub")*N(Labor!$AE$6:$AE$25)))+SUMIFS(ODCs!$F$5:$F$22,ODCs!$D$5:$D$22,Projects!$A$11,ODCs!$E$5:$E$22,6)+SUMIFS(Travel!$F$5:$F$22,Travel!$D$5:$D$22,Projects!$A$11,Travel!$E$5:$E$22,6)+SUMIFS('M&amp;E'!$F$5:$F$22,'M&amp;E'!$D$5:$D$22,Projects!$A$11,'M&amp;E'!$E$5:$E$22,6))*(((SUMPRODUCT((Labor!$G$6:$G$25=Projects!$A$11)*(Labor!$E$6:$E$25="Prime")*N(Labor!$AE$6:$AE$25))*(1+Rates!$B$6)*(1+Rates!$B$7)+SUMPRODUCT((Labor!$G$6:$G$25=Projects!$A$11)*(Labor!$E$6:$E$25="Sub")*N(Labor!$AE$6:$AE$25)))+SUMIFS(ODCs!$F$5:$F$22,ODCs!$D$5:$D$22,Projects!$A$11,ODCs!$E$5:$E$22,6)+SUMIFS(Travel!$F$5:$F$22,Travel!$D$5:$D$22,Projects!$A$11,Travel!$E$5:$E$22,6)+SUMIFS('M&amp;E'!$F$5:$F$22,'M&amp;E'!$D$5:$D$22,Projects!$A$11,'M&amp;E'!$E$5:$E$22,6))*Rates!$B$8),0))*Rates!$C$20+((SUMIFS('M&amp;E'!$F$5:$F$22,'M&amp;E'!$D$5:$D$22,Projects!$A$11,'M&amp;E'!$E$5:$E$22,6))+IFERROR((SUMIFS('M&amp;E'!$F$5:$F$22,'M&amp;E'!$D$5:$D$22,Projects!$A$11,'M&amp;E'!$E$5:$E$22,6))/((SUMPRODUCT((Labor!$G$6:$G$25=Projects!$A$11)*(Labor!$E$6:$E$25="Prime")*N(Labor!$AE$6:$AE$25))*(1+Rates!$B$6)*(1+Rates!$B$7)+SUMPRODUCT((Labor!$G$6:$G$25=Projects!$A$11)*(Labor!$E$6:$E$25="Sub")*N(Labor!$AE$6:$AE$25)))+SUMIFS(ODCs!$F$5:$F$22,ODCs!$D$5:$D$22,Projects!$A$11,ODCs!$E$5:$E$22,6)+SUMIFS(Travel!$F$5:$F$22,Travel!$D$5:$D$22,Projects!$A$11,Travel!$E$5:$E$22,6)+SUMIFS('M&amp;E'!$F$5:$F$22,'M&amp;E'!$D$5:$D$22,Projects!$A$11,'M&amp;E'!$E$5:$E$22,6))*(((SUMPRODUCT((Labor!$G$6:$G$25=Projects!$A$11)*(Labor!$E$6:$E$25="Prime")*N(Labor!$AE$6:$AE$25))*(1+Rates!$B$6)*(1+Rates!$B$7)+SUMPRODUCT((Labor!$G$6:$G$25=Projects!$A$11)*(Labor!$E$6:$E$25="Sub")*N(Labor!$AE$6:$AE$25)))+SUMIFS(ODCs!$F$5:$F$22,ODCs!$D$5:$D$22,Projects!$A$11,ODCs!$E$5:$E$22,6)+SUMIFS(Travel!$F$5:$F$22,Travel!$D$5:$D$22,Projects!$A$11,Travel!$E$5:$E$22,6)+SUMIFS('M&amp;E'!$F$5:$F$22,'M&amp;E'!$D$5:$D$22,Projects!$A$11,'M&amp;E'!$E$5:$E$22,6))*Rates!$B$8),0))*Rates!$C$21))</f>
        <v/>
      </c>
      <c r="H47" s="132">
        <f>IF(Projects!$A$11="","",(((SUMPRODUCT((Labor!$G$6:$G$25=Projects!$A$11)*(Labor!$E$6:$E$25="Prime")*N(Labor!$AI$6:$AI$25))*(1+Rates!$B$6)*(1+Rates!$B$7)+SUMPRODUCT((Labor!$G$6:$G$25=Projects!$A$11)*(Labor!$E$6:$E$25="Sub")*N(Labor!$AI$6:$AI$25)))+SUMIFS(ODCs!$F$5:$F$22,ODCs!$D$5:$D$22,Projects!$A$11,ODCs!$E$5:$E$22,7)+SUMIFS(Travel!$F$5:$F$22,Travel!$D$5:$D$22,Projects!$A$11,Travel!$E$5:$E$22,7)+SUMIFS('M&amp;E'!$F$5:$F$22,'M&amp;E'!$D$5:$D$22,Projects!$A$11,'M&amp;E'!$E$5:$E$22,7))+(((SUMPRODUCT((Labor!$G$6:$G$25=Projects!$A$11)*(Labor!$E$6:$E$25="Prime")*N(Labor!$AI$6:$AI$25))*(1+Rates!$B$6)*(1+Rates!$B$7)+SUMPRODUCT((Labor!$G$6:$G$25=Projects!$A$11)*(Labor!$E$6:$E$25="Sub")*N(Labor!$AI$6:$AI$25)))+SUMIFS(ODCs!$F$5:$F$22,ODCs!$D$5:$D$22,Projects!$A$11,ODCs!$E$5:$E$22,7)+SUMIFS(Travel!$F$5:$F$22,Travel!$D$5:$D$22,Projects!$A$11,Travel!$E$5:$E$22,7)+SUMIFS('M&amp;E'!$F$5:$F$22,'M&amp;E'!$D$5:$D$22,Projects!$A$11,'M&amp;E'!$E$5:$E$22,7))*Rates!$B$8))+((((SUMPRODUCT((Labor!$G$6:$G$25=Projects!$A$11)*(Labor!$E$6:$E$25="Prime")*N(Labor!$AI$6:$AI$25))*(1+Rates!$B$6)*(1+Rates!$B$7)+SUMPRODUCT((Labor!$G$6:$G$25=Projects!$A$11)*(Labor!$E$6:$E$25="Sub")*N(Labor!$AI$6:$AI$25))))+IFERROR(((SUMPRODUCT((Labor!$G$6:$G$25=Projects!$A$11)*(Labor!$E$6:$E$25="Prime")*N(Labor!$AI$6:$AI$25))*(1+Rates!$B$6)*(1+Rates!$B$7)+SUMPRODUCT((Labor!$G$6:$G$25=Projects!$A$11)*(Labor!$E$6:$E$25="Sub")*N(Labor!$AI$6:$AI$25))))/((SUMPRODUCT((Labor!$G$6:$G$25=Projects!$A$11)*(Labor!$E$6:$E$25="Prime")*N(Labor!$AI$6:$AI$25))*(1+Rates!$B$6)*(1+Rates!$B$7)+SUMPRODUCT((Labor!$G$6:$G$25=Projects!$A$11)*(Labor!$E$6:$E$25="Sub")*N(Labor!$AI$6:$AI$25)))+SUMIFS(ODCs!$F$5:$F$22,ODCs!$D$5:$D$22,Projects!$A$11,ODCs!$E$5:$E$22,7)+SUMIFS(Travel!$F$5:$F$22,Travel!$D$5:$D$22,Projects!$A$11,Travel!$E$5:$E$22,7)+SUMIFS('M&amp;E'!$F$5:$F$22,'M&amp;E'!$D$5:$D$22,Projects!$A$11,'M&amp;E'!$E$5:$E$22,7))*(((SUMPRODUCT((Labor!$G$6:$G$25=Projects!$A$11)*(Labor!$E$6:$E$25="Prime")*N(Labor!$AI$6:$AI$25))*(1+Rates!$B$6)*(1+Rates!$B$7)+SUMPRODUCT((Labor!$G$6:$G$25=Projects!$A$11)*(Labor!$E$6:$E$25="Sub")*N(Labor!$AI$6:$AI$25)))+SUMIFS(ODCs!$F$5:$F$22,ODCs!$D$5:$D$22,Projects!$A$11,ODCs!$E$5:$E$22,7)+SUMIFS(Travel!$F$5:$F$22,Travel!$D$5:$D$22,Projects!$A$11,Travel!$E$5:$E$22,7)+SUMIFS('M&amp;E'!$F$5:$F$22,'M&amp;E'!$D$5:$D$22,Projects!$A$11,'M&amp;E'!$E$5:$E$22,7))*Rates!$B$8),0))*Rates!$C$18+((SUMIFS(Travel!$F$5:$F$22,Travel!$D$5:$D$22,Projects!$A$11,Travel!$E$5:$E$22,7))+IFERROR((SUMIFS(Travel!$F$5:$F$22,Travel!$D$5:$D$22,Projects!$A$11,Travel!$E$5:$E$22,7))/((SUMPRODUCT((Labor!$G$6:$G$25=Projects!$A$11)*(Labor!$E$6:$E$25="Prime")*N(Labor!$AI$6:$AI$25))*(1+Rates!$B$6)*(1+Rates!$B$7)+SUMPRODUCT((Labor!$G$6:$G$25=Projects!$A$11)*(Labor!$E$6:$E$25="Sub")*N(Labor!$AI$6:$AI$25)))+SUMIFS(ODCs!$F$5:$F$22,ODCs!$D$5:$D$22,Projects!$A$11,ODCs!$E$5:$E$22,7)+SUMIFS(Travel!$F$5:$F$22,Travel!$D$5:$D$22,Projects!$A$11,Travel!$E$5:$E$22,7)+SUMIFS('M&amp;E'!$F$5:$F$22,'M&amp;E'!$D$5:$D$22,Projects!$A$11,'M&amp;E'!$E$5:$E$22,7))*(((SUMPRODUCT((Labor!$G$6:$G$25=Projects!$A$11)*(Labor!$E$6:$E$25="Prime")*N(Labor!$AI$6:$AI$25))*(1+Rates!$B$6)*(1+Rates!$B$7)+SUMPRODUCT((Labor!$G$6:$G$25=Projects!$A$11)*(Labor!$E$6:$E$25="Sub")*N(Labor!$AI$6:$AI$25)))+SUMIFS(ODCs!$F$5:$F$22,ODCs!$D$5:$D$22,Projects!$A$11,ODCs!$E$5:$E$22,7)+SUMIFS(Travel!$F$5:$F$22,Travel!$D$5:$D$22,Projects!$A$11,Travel!$E$5:$E$22,7)+SUMIFS('M&amp;E'!$F$5:$F$22,'M&amp;E'!$D$5:$D$22,Projects!$A$11,'M&amp;E'!$E$5:$E$22,7))*Rates!$B$8),0))*Rates!$C$19+((SUMIFS(ODCs!$F$5:$F$22,ODCs!$D$5:$D$22,Projects!$A$11,ODCs!$E$5:$E$22,7))+IFERROR((SUMIFS(ODCs!$F$5:$F$22,ODCs!$D$5:$D$22,Projects!$A$11,ODCs!$E$5:$E$22,7))/((SUMPRODUCT((Labor!$G$6:$G$25=Projects!$A$11)*(Labor!$E$6:$E$25="Prime")*N(Labor!$AI$6:$AI$25))*(1+Rates!$B$6)*(1+Rates!$B$7)+SUMPRODUCT((Labor!$G$6:$G$25=Projects!$A$11)*(Labor!$E$6:$E$25="Sub")*N(Labor!$AI$6:$AI$25)))+SUMIFS(ODCs!$F$5:$F$22,ODCs!$D$5:$D$22,Projects!$A$11,ODCs!$E$5:$E$22,7)+SUMIFS(Travel!$F$5:$F$22,Travel!$D$5:$D$22,Projects!$A$11,Travel!$E$5:$E$22,7)+SUMIFS('M&amp;E'!$F$5:$F$22,'M&amp;E'!$D$5:$D$22,Projects!$A$11,'M&amp;E'!$E$5:$E$22,7))*(((SUMPRODUCT((Labor!$G$6:$G$25=Projects!$A$11)*(Labor!$E$6:$E$25="Prime")*N(Labor!$AI$6:$AI$25))*(1+Rates!$B$6)*(1+Rates!$B$7)+SUMPRODUCT((Labor!$G$6:$G$25=Projects!$A$11)*(Labor!$E$6:$E$25="Sub")*N(Labor!$AI$6:$AI$25)))+SUMIFS(ODCs!$F$5:$F$22,ODCs!$D$5:$D$22,Projects!$A$11,ODCs!$E$5:$E$22,7)+SUMIFS(Travel!$F$5:$F$22,Travel!$D$5:$D$22,Projects!$A$11,Travel!$E$5:$E$22,7)+SUMIFS('M&amp;E'!$F$5:$F$22,'M&amp;E'!$D$5:$D$22,Projects!$A$11,'M&amp;E'!$E$5:$E$22,7))*Rates!$B$8),0))*Rates!$C$20+((SUMIFS('M&amp;E'!$F$5:$F$22,'M&amp;E'!$D$5:$D$22,Projects!$A$11,'M&amp;E'!$E$5:$E$22,7))+IFERROR((SUMIFS('M&amp;E'!$F$5:$F$22,'M&amp;E'!$D$5:$D$22,Projects!$A$11,'M&amp;E'!$E$5:$E$22,7))/((SUMPRODUCT((Labor!$G$6:$G$25=Projects!$A$11)*(Labor!$E$6:$E$25="Prime")*N(Labor!$AI$6:$AI$25))*(1+Rates!$B$6)*(1+Rates!$B$7)+SUMPRODUCT((Labor!$G$6:$G$25=Projects!$A$11)*(Labor!$E$6:$E$25="Sub")*N(Labor!$AI$6:$AI$25)))+SUMIFS(ODCs!$F$5:$F$22,ODCs!$D$5:$D$22,Projects!$A$11,ODCs!$E$5:$E$22,7)+SUMIFS(Travel!$F$5:$F$22,Travel!$D$5:$D$22,Projects!$A$11,Travel!$E$5:$E$22,7)+SUMIFS('M&amp;E'!$F$5:$F$22,'M&amp;E'!$D$5:$D$22,Projects!$A$11,'M&amp;E'!$E$5:$E$22,7))*(((SUMPRODUCT((Labor!$G$6:$G$25=Projects!$A$11)*(Labor!$E$6:$E$25="Prime")*N(Labor!$AI$6:$AI$25))*(1+Rates!$B$6)*(1+Rates!$B$7)+SUMPRODUCT((Labor!$G$6:$G$25=Projects!$A$11)*(Labor!$E$6:$E$25="Sub")*N(Labor!$AI$6:$AI$25)))+SUMIFS(ODCs!$F$5:$F$22,ODCs!$D$5:$D$22,Projects!$A$11,ODCs!$E$5:$E$22,7)+SUMIFS(Travel!$F$5:$F$22,Travel!$D$5:$D$22,Projects!$A$11,Travel!$E$5:$E$22,7)+SUMIFS('M&amp;E'!$F$5:$F$22,'M&amp;E'!$D$5:$D$22,Projects!$A$11,'M&amp;E'!$E$5:$E$22,7))*Rates!$B$8),0))*Rates!$C$21))</f>
        <v/>
      </c>
      <c r="I47" s="132">
        <f>IF(Projects!$A$11="","",(((SUMPRODUCT((Labor!$G$6:$G$25=Projects!$A$11)*(Labor!$E$6:$E$25="Prime")*N(Labor!$AM$6:$AM$25))*(1+Rates!$B$6)*(1+Rates!$B$7)+SUMPRODUCT((Labor!$G$6:$G$25=Projects!$A$11)*(Labor!$E$6:$E$25="Sub")*N(Labor!$AM$6:$AM$25)))+SUMIFS(ODCs!$F$5:$F$22,ODCs!$D$5:$D$22,Projects!$A$11,ODCs!$E$5:$E$22,8)+SUMIFS(Travel!$F$5:$F$22,Travel!$D$5:$D$22,Projects!$A$11,Travel!$E$5:$E$22,8)+SUMIFS('M&amp;E'!$F$5:$F$22,'M&amp;E'!$D$5:$D$22,Projects!$A$11,'M&amp;E'!$E$5:$E$22,8))+(((SUMPRODUCT((Labor!$G$6:$G$25=Projects!$A$11)*(Labor!$E$6:$E$25="Prime")*N(Labor!$AM$6:$AM$25))*(1+Rates!$B$6)*(1+Rates!$B$7)+SUMPRODUCT((Labor!$G$6:$G$25=Projects!$A$11)*(Labor!$E$6:$E$25="Sub")*N(Labor!$AM$6:$AM$25)))+SUMIFS(ODCs!$F$5:$F$22,ODCs!$D$5:$D$22,Projects!$A$11,ODCs!$E$5:$E$22,8)+SUMIFS(Travel!$F$5:$F$22,Travel!$D$5:$D$22,Projects!$A$11,Travel!$E$5:$E$22,8)+SUMIFS('M&amp;E'!$F$5:$F$22,'M&amp;E'!$D$5:$D$22,Projects!$A$11,'M&amp;E'!$E$5:$E$22,8))*Rates!$B$8))+((((SUMPRODUCT((Labor!$G$6:$G$25=Projects!$A$11)*(Labor!$E$6:$E$25="Prime")*N(Labor!$AM$6:$AM$25))*(1+Rates!$B$6)*(1+Rates!$B$7)+SUMPRODUCT((Labor!$G$6:$G$25=Projects!$A$11)*(Labor!$E$6:$E$25="Sub")*N(Labor!$AM$6:$AM$25))))+IFERROR(((SUMPRODUCT((Labor!$G$6:$G$25=Projects!$A$11)*(Labor!$E$6:$E$25="Prime")*N(Labor!$AM$6:$AM$25))*(1+Rates!$B$6)*(1+Rates!$B$7)+SUMPRODUCT((Labor!$G$6:$G$25=Projects!$A$11)*(Labor!$E$6:$E$25="Sub")*N(Labor!$AM$6:$AM$25))))/((SUMPRODUCT((Labor!$G$6:$G$25=Projects!$A$11)*(Labor!$E$6:$E$25="Prime")*N(Labor!$AM$6:$AM$25))*(1+Rates!$B$6)*(1+Rates!$B$7)+SUMPRODUCT((Labor!$G$6:$G$25=Projects!$A$11)*(Labor!$E$6:$E$25="Sub")*N(Labor!$AM$6:$AM$25)))+SUMIFS(ODCs!$F$5:$F$22,ODCs!$D$5:$D$22,Projects!$A$11,ODCs!$E$5:$E$22,8)+SUMIFS(Travel!$F$5:$F$22,Travel!$D$5:$D$22,Projects!$A$11,Travel!$E$5:$E$22,8)+SUMIFS('M&amp;E'!$F$5:$F$22,'M&amp;E'!$D$5:$D$22,Projects!$A$11,'M&amp;E'!$E$5:$E$22,8))*(((SUMPRODUCT((Labor!$G$6:$G$25=Projects!$A$11)*(Labor!$E$6:$E$25="Prime")*N(Labor!$AM$6:$AM$25))*(1+Rates!$B$6)*(1+Rates!$B$7)+SUMPRODUCT((Labor!$G$6:$G$25=Projects!$A$11)*(Labor!$E$6:$E$25="Sub")*N(Labor!$AM$6:$AM$25)))+SUMIFS(ODCs!$F$5:$F$22,ODCs!$D$5:$D$22,Projects!$A$11,ODCs!$E$5:$E$22,8)+SUMIFS(Travel!$F$5:$F$22,Travel!$D$5:$D$22,Projects!$A$11,Travel!$E$5:$E$22,8)+SUMIFS('M&amp;E'!$F$5:$F$22,'M&amp;E'!$D$5:$D$22,Projects!$A$11,'M&amp;E'!$E$5:$E$22,8))*Rates!$B$8),0))*Rates!$C$18+((SUMIFS(Travel!$F$5:$F$22,Travel!$D$5:$D$22,Projects!$A$11,Travel!$E$5:$E$22,8))+IFERROR((SUMIFS(Travel!$F$5:$F$22,Travel!$D$5:$D$22,Projects!$A$11,Travel!$E$5:$E$22,8))/((SUMPRODUCT((Labor!$G$6:$G$25=Projects!$A$11)*(Labor!$E$6:$E$25="Prime")*N(Labor!$AM$6:$AM$25))*(1+Rates!$B$6)*(1+Rates!$B$7)+SUMPRODUCT((Labor!$G$6:$G$25=Projects!$A$11)*(Labor!$E$6:$E$25="Sub")*N(Labor!$AM$6:$AM$25)))+SUMIFS(ODCs!$F$5:$F$22,ODCs!$D$5:$D$22,Projects!$A$11,ODCs!$E$5:$E$22,8)+SUMIFS(Travel!$F$5:$F$22,Travel!$D$5:$D$22,Projects!$A$11,Travel!$E$5:$E$22,8)+SUMIFS('M&amp;E'!$F$5:$F$22,'M&amp;E'!$D$5:$D$22,Projects!$A$11,'M&amp;E'!$E$5:$E$22,8))*(((SUMPRODUCT((Labor!$G$6:$G$25=Projects!$A$11)*(Labor!$E$6:$E$25="Prime")*N(Labor!$AM$6:$AM$25))*(1+Rates!$B$6)*(1+Rates!$B$7)+SUMPRODUCT((Labor!$G$6:$G$25=Projects!$A$11)*(Labor!$E$6:$E$25="Sub")*N(Labor!$AM$6:$AM$25)))+SUMIFS(ODCs!$F$5:$F$22,ODCs!$D$5:$D$22,Projects!$A$11,ODCs!$E$5:$E$22,8)+SUMIFS(Travel!$F$5:$F$22,Travel!$D$5:$D$22,Projects!$A$11,Travel!$E$5:$E$22,8)+SUMIFS('M&amp;E'!$F$5:$F$22,'M&amp;E'!$D$5:$D$22,Projects!$A$11,'M&amp;E'!$E$5:$E$22,8))*Rates!$B$8),0))*Rates!$C$19+((SUMIFS(ODCs!$F$5:$F$22,ODCs!$D$5:$D$22,Projects!$A$11,ODCs!$E$5:$E$22,8))+IFERROR((SUMIFS(ODCs!$F$5:$F$22,ODCs!$D$5:$D$22,Projects!$A$11,ODCs!$E$5:$E$22,8))/((SUMPRODUCT((Labor!$G$6:$G$25=Projects!$A$11)*(Labor!$E$6:$E$25="Prime")*N(Labor!$AM$6:$AM$25))*(1+Rates!$B$6)*(1+Rates!$B$7)+SUMPRODUCT((Labor!$G$6:$G$25=Projects!$A$11)*(Labor!$E$6:$E$25="Sub")*N(Labor!$AM$6:$AM$25)))+SUMIFS(ODCs!$F$5:$F$22,ODCs!$D$5:$D$22,Projects!$A$11,ODCs!$E$5:$E$22,8)+SUMIFS(Travel!$F$5:$F$22,Travel!$D$5:$D$22,Projects!$A$11,Travel!$E$5:$E$22,8)+SUMIFS('M&amp;E'!$F$5:$F$22,'M&amp;E'!$D$5:$D$22,Projects!$A$11,'M&amp;E'!$E$5:$E$22,8))*(((SUMPRODUCT((Labor!$G$6:$G$25=Projects!$A$11)*(Labor!$E$6:$E$25="Prime")*N(Labor!$AM$6:$AM$25))*(1+Rates!$B$6)*(1+Rates!$B$7)+SUMPRODUCT((Labor!$G$6:$G$25=Projects!$A$11)*(Labor!$E$6:$E$25="Sub")*N(Labor!$AM$6:$AM$25)))+SUMIFS(ODCs!$F$5:$F$22,ODCs!$D$5:$D$22,Projects!$A$11,ODCs!$E$5:$E$22,8)+SUMIFS(Travel!$F$5:$F$22,Travel!$D$5:$D$22,Projects!$A$11,Travel!$E$5:$E$22,8)+SUMIFS('M&amp;E'!$F$5:$F$22,'M&amp;E'!$D$5:$D$22,Projects!$A$11,'M&amp;E'!$E$5:$E$22,8))*Rates!$B$8),0))*Rates!$C$20+((SUMIFS('M&amp;E'!$F$5:$F$22,'M&amp;E'!$D$5:$D$22,Projects!$A$11,'M&amp;E'!$E$5:$E$22,8))+IFERROR((SUMIFS('M&amp;E'!$F$5:$F$22,'M&amp;E'!$D$5:$D$22,Projects!$A$11,'M&amp;E'!$E$5:$E$22,8))/((SUMPRODUCT((Labor!$G$6:$G$25=Projects!$A$11)*(Labor!$E$6:$E$25="Prime")*N(Labor!$AM$6:$AM$25))*(1+Rates!$B$6)*(1+Rates!$B$7)+SUMPRODUCT((Labor!$G$6:$G$25=Projects!$A$11)*(Labor!$E$6:$E$25="Sub")*N(Labor!$AM$6:$AM$25)))+SUMIFS(ODCs!$F$5:$F$22,ODCs!$D$5:$D$22,Projects!$A$11,ODCs!$E$5:$E$22,8)+SUMIFS(Travel!$F$5:$F$22,Travel!$D$5:$D$22,Projects!$A$11,Travel!$E$5:$E$22,8)+SUMIFS('M&amp;E'!$F$5:$F$22,'M&amp;E'!$D$5:$D$22,Projects!$A$11,'M&amp;E'!$E$5:$E$22,8))*(((SUMPRODUCT((Labor!$G$6:$G$25=Projects!$A$11)*(Labor!$E$6:$E$25="Prime")*N(Labor!$AM$6:$AM$25))*(1+Rates!$B$6)*(1+Rates!$B$7)+SUMPRODUCT((Labor!$G$6:$G$25=Projects!$A$11)*(Labor!$E$6:$E$25="Sub")*N(Labor!$AM$6:$AM$25)))+SUMIFS(ODCs!$F$5:$F$22,ODCs!$D$5:$D$22,Projects!$A$11,ODCs!$E$5:$E$22,8)+SUMIFS(Travel!$F$5:$F$22,Travel!$D$5:$D$22,Projects!$A$11,Travel!$E$5:$E$22,8)+SUMIFS('M&amp;E'!$F$5:$F$22,'M&amp;E'!$D$5:$D$22,Projects!$A$11,'M&amp;E'!$E$5:$E$22,8))*Rates!$B$8),0))*Rates!$C$21))</f>
        <v/>
      </c>
      <c r="J47" s="132">
        <f>IF(Projects!$A$11="","",(((SUMPRODUCT((Labor!$G$6:$G$25=Projects!$A$11)*(Labor!$E$6:$E$25="Prime")*N(Labor!$AQ$6:$AQ$25))*(1+Rates!$B$6)*(1+Rates!$B$7)+SUMPRODUCT((Labor!$G$6:$G$25=Projects!$A$11)*(Labor!$E$6:$E$25="Sub")*N(Labor!$AQ$6:$AQ$25)))+SUMIFS(ODCs!$F$5:$F$22,ODCs!$D$5:$D$22,Projects!$A$11,ODCs!$E$5:$E$22,9)+SUMIFS(Travel!$F$5:$F$22,Travel!$D$5:$D$22,Projects!$A$11,Travel!$E$5:$E$22,9)+SUMIFS('M&amp;E'!$F$5:$F$22,'M&amp;E'!$D$5:$D$22,Projects!$A$11,'M&amp;E'!$E$5:$E$22,9))+(((SUMPRODUCT((Labor!$G$6:$G$25=Projects!$A$11)*(Labor!$E$6:$E$25="Prime")*N(Labor!$AQ$6:$AQ$25))*(1+Rates!$B$6)*(1+Rates!$B$7)+SUMPRODUCT((Labor!$G$6:$G$25=Projects!$A$11)*(Labor!$E$6:$E$25="Sub")*N(Labor!$AQ$6:$AQ$25)))+SUMIFS(ODCs!$F$5:$F$22,ODCs!$D$5:$D$22,Projects!$A$11,ODCs!$E$5:$E$22,9)+SUMIFS(Travel!$F$5:$F$22,Travel!$D$5:$D$22,Projects!$A$11,Travel!$E$5:$E$22,9)+SUMIFS('M&amp;E'!$F$5:$F$22,'M&amp;E'!$D$5:$D$22,Projects!$A$11,'M&amp;E'!$E$5:$E$22,9))*Rates!$B$8))+((((SUMPRODUCT((Labor!$G$6:$G$25=Projects!$A$11)*(Labor!$E$6:$E$25="Prime")*N(Labor!$AQ$6:$AQ$25))*(1+Rates!$B$6)*(1+Rates!$B$7)+SUMPRODUCT((Labor!$G$6:$G$25=Projects!$A$11)*(Labor!$E$6:$E$25="Sub")*N(Labor!$AQ$6:$AQ$25))))+IFERROR(((SUMPRODUCT((Labor!$G$6:$G$25=Projects!$A$11)*(Labor!$E$6:$E$25="Prime")*N(Labor!$AQ$6:$AQ$25))*(1+Rates!$B$6)*(1+Rates!$B$7)+SUMPRODUCT((Labor!$G$6:$G$25=Projects!$A$11)*(Labor!$E$6:$E$25="Sub")*N(Labor!$AQ$6:$AQ$25))))/((SUMPRODUCT((Labor!$G$6:$G$25=Projects!$A$11)*(Labor!$E$6:$E$25="Prime")*N(Labor!$AQ$6:$AQ$25))*(1+Rates!$B$6)*(1+Rates!$B$7)+SUMPRODUCT((Labor!$G$6:$G$25=Projects!$A$11)*(Labor!$E$6:$E$25="Sub")*N(Labor!$AQ$6:$AQ$25)))+SUMIFS(ODCs!$F$5:$F$22,ODCs!$D$5:$D$22,Projects!$A$11,ODCs!$E$5:$E$22,9)+SUMIFS(Travel!$F$5:$F$22,Travel!$D$5:$D$22,Projects!$A$11,Travel!$E$5:$E$22,9)+SUMIFS('M&amp;E'!$F$5:$F$22,'M&amp;E'!$D$5:$D$22,Projects!$A$11,'M&amp;E'!$E$5:$E$22,9))*(((SUMPRODUCT((Labor!$G$6:$G$25=Projects!$A$11)*(Labor!$E$6:$E$25="Prime")*N(Labor!$AQ$6:$AQ$25))*(1+Rates!$B$6)*(1+Rates!$B$7)+SUMPRODUCT((Labor!$G$6:$G$25=Projects!$A$11)*(Labor!$E$6:$E$25="Sub")*N(Labor!$AQ$6:$AQ$25)))+SUMIFS(ODCs!$F$5:$F$22,ODCs!$D$5:$D$22,Projects!$A$11,ODCs!$E$5:$E$22,9)+SUMIFS(Travel!$F$5:$F$22,Travel!$D$5:$D$22,Projects!$A$11,Travel!$E$5:$E$22,9)+SUMIFS('M&amp;E'!$F$5:$F$22,'M&amp;E'!$D$5:$D$22,Projects!$A$11,'M&amp;E'!$E$5:$E$22,9))*Rates!$B$8),0))*Rates!$C$18+((SUMIFS(Travel!$F$5:$F$22,Travel!$D$5:$D$22,Projects!$A$11,Travel!$E$5:$E$22,9))+IFERROR((SUMIFS(Travel!$F$5:$F$22,Travel!$D$5:$D$22,Projects!$A$11,Travel!$E$5:$E$22,9))/((SUMPRODUCT((Labor!$G$6:$G$25=Projects!$A$11)*(Labor!$E$6:$E$25="Prime")*N(Labor!$AQ$6:$AQ$25))*(1+Rates!$B$6)*(1+Rates!$B$7)+SUMPRODUCT((Labor!$G$6:$G$25=Projects!$A$11)*(Labor!$E$6:$E$25="Sub")*N(Labor!$AQ$6:$AQ$25)))+SUMIFS(ODCs!$F$5:$F$22,ODCs!$D$5:$D$22,Projects!$A$11,ODCs!$E$5:$E$22,9)+SUMIFS(Travel!$F$5:$F$22,Travel!$D$5:$D$22,Projects!$A$11,Travel!$E$5:$E$22,9)+SUMIFS('M&amp;E'!$F$5:$F$22,'M&amp;E'!$D$5:$D$22,Projects!$A$11,'M&amp;E'!$E$5:$E$22,9))*(((SUMPRODUCT((Labor!$G$6:$G$25=Projects!$A$11)*(Labor!$E$6:$E$25="Prime")*N(Labor!$AQ$6:$AQ$25))*(1+Rates!$B$6)*(1+Rates!$B$7)+SUMPRODUCT((Labor!$G$6:$G$25=Projects!$A$11)*(Labor!$E$6:$E$25="Sub")*N(Labor!$AQ$6:$AQ$25)))+SUMIFS(ODCs!$F$5:$F$22,ODCs!$D$5:$D$22,Projects!$A$11,ODCs!$E$5:$E$22,9)+SUMIFS(Travel!$F$5:$F$22,Travel!$D$5:$D$22,Projects!$A$11,Travel!$E$5:$E$22,9)+SUMIFS('M&amp;E'!$F$5:$F$22,'M&amp;E'!$D$5:$D$22,Projects!$A$11,'M&amp;E'!$E$5:$E$22,9))*Rates!$B$8),0))*Rates!$C$19+((SUMIFS(ODCs!$F$5:$F$22,ODCs!$D$5:$D$22,Projects!$A$11,ODCs!$E$5:$E$22,9))+IFERROR((SUMIFS(ODCs!$F$5:$F$22,ODCs!$D$5:$D$22,Projects!$A$11,ODCs!$E$5:$E$22,9))/((SUMPRODUCT((Labor!$G$6:$G$25=Projects!$A$11)*(Labor!$E$6:$E$25="Prime")*N(Labor!$AQ$6:$AQ$25))*(1+Rates!$B$6)*(1+Rates!$B$7)+SUMPRODUCT((Labor!$G$6:$G$25=Projects!$A$11)*(Labor!$E$6:$E$25="Sub")*N(Labor!$AQ$6:$AQ$25)))+SUMIFS(ODCs!$F$5:$F$22,ODCs!$D$5:$D$22,Projects!$A$11,ODCs!$E$5:$E$22,9)+SUMIFS(Travel!$F$5:$F$22,Travel!$D$5:$D$22,Projects!$A$11,Travel!$E$5:$E$22,9)+SUMIFS('M&amp;E'!$F$5:$F$22,'M&amp;E'!$D$5:$D$22,Projects!$A$11,'M&amp;E'!$E$5:$E$22,9))*(((SUMPRODUCT((Labor!$G$6:$G$25=Projects!$A$11)*(Labor!$E$6:$E$25="Prime")*N(Labor!$AQ$6:$AQ$25))*(1+Rates!$B$6)*(1+Rates!$B$7)+SUMPRODUCT((Labor!$G$6:$G$25=Projects!$A$11)*(Labor!$E$6:$E$25="Sub")*N(Labor!$AQ$6:$AQ$25)))+SUMIFS(ODCs!$F$5:$F$22,ODCs!$D$5:$D$22,Projects!$A$11,ODCs!$E$5:$E$22,9)+SUMIFS(Travel!$F$5:$F$22,Travel!$D$5:$D$22,Projects!$A$11,Travel!$E$5:$E$22,9)+SUMIFS('M&amp;E'!$F$5:$F$22,'M&amp;E'!$D$5:$D$22,Projects!$A$11,'M&amp;E'!$E$5:$E$22,9))*Rates!$B$8),0))*Rates!$C$20+((SUMIFS('M&amp;E'!$F$5:$F$22,'M&amp;E'!$D$5:$D$22,Projects!$A$11,'M&amp;E'!$E$5:$E$22,9))+IFERROR((SUMIFS('M&amp;E'!$F$5:$F$22,'M&amp;E'!$D$5:$D$22,Projects!$A$11,'M&amp;E'!$E$5:$E$22,9))/((SUMPRODUCT((Labor!$G$6:$G$25=Projects!$A$11)*(Labor!$E$6:$E$25="Prime")*N(Labor!$AQ$6:$AQ$25))*(1+Rates!$B$6)*(1+Rates!$B$7)+SUMPRODUCT((Labor!$G$6:$G$25=Projects!$A$11)*(Labor!$E$6:$E$25="Sub")*N(Labor!$AQ$6:$AQ$25)))+SUMIFS(ODCs!$F$5:$F$22,ODCs!$D$5:$D$22,Projects!$A$11,ODCs!$E$5:$E$22,9)+SUMIFS(Travel!$F$5:$F$22,Travel!$D$5:$D$22,Projects!$A$11,Travel!$E$5:$E$22,9)+SUMIFS('M&amp;E'!$F$5:$F$22,'M&amp;E'!$D$5:$D$22,Projects!$A$11,'M&amp;E'!$E$5:$E$22,9))*(((SUMPRODUCT((Labor!$G$6:$G$25=Projects!$A$11)*(Labor!$E$6:$E$25="Prime")*N(Labor!$AQ$6:$AQ$25))*(1+Rates!$B$6)*(1+Rates!$B$7)+SUMPRODUCT((Labor!$G$6:$G$25=Projects!$A$11)*(Labor!$E$6:$E$25="Sub")*N(Labor!$AQ$6:$AQ$25)))+SUMIFS(ODCs!$F$5:$F$22,ODCs!$D$5:$D$22,Projects!$A$11,ODCs!$E$5:$E$22,9)+SUMIFS(Travel!$F$5:$F$22,Travel!$D$5:$D$22,Projects!$A$11,Travel!$E$5:$E$22,9)+SUMIFS('M&amp;E'!$F$5:$F$22,'M&amp;E'!$D$5:$D$22,Projects!$A$11,'M&amp;E'!$E$5:$E$22,9))*Rates!$B$8),0))*Rates!$C$21))</f>
        <v/>
      </c>
      <c r="K47" s="132">
        <f>IF(Projects!$A$11="","",(((SUMPRODUCT((Labor!$G$6:$G$25=Projects!$A$11)*(Labor!$E$6:$E$25="Prime")*N(Labor!$AU$6:$AU$25))*(1+Rates!$B$6)*(1+Rates!$B$7)+SUMPRODUCT((Labor!$G$6:$G$25=Projects!$A$11)*(Labor!$E$6:$E$25="Sub")*N(Labor!$AU$6:$AU$25)))+SUMIFS(ODCs!$F$5:$F$22,ODCs!$D$5:$D$22,Projects!$A$11,ODCs!$E$5:$E$22,10)+SUMIFS(Travel!$F$5:$F$22,Travel!$D$5:$D$22,Projects!$A$11,Travel!$E$5:$E$22,10)+SUMIFS('M&amp;E'!$F$5:$F$22,'M&amp;E'!$D$5:$D$22,Projects!$A$11,'M&amp;E'!$E$5:$E$22,10))+(((SUMPRODUCT((Labor!$G$6:$G$25=Projects!$A$11)*(Labor!$E$6:$E$25="Prime")*N(Labor!$AU$6:$AU$25))*(1+Rates!$B$6)*(1+Rates!$B$7)+SUMPRODUCT((Labor!$G$6:$G$25=Projects!$A$11)*(Labor!$E$6:$E$25="Sub")*N(Labor!$AU$6:$AU$25)))+SUMIFS(ODCs!$F$5:$F$22,ODCs!$D$5:$D$22,Projects!$A$11,ODCs!$E$5:$E$22,10)+SUMIFS(Travel!$F$5:$F$22,Travel!$D$5:$D$22,Projects!$A$11,Travel!$E$5:$E$22,10)+SUMIFS('M&amp;E'!$F$5:$F$22,'M&amp;E'!$D$5:$D$22,Projects!$A$11,'M&amp;E'!$E$5:$E$22,10))*Rates!$B$8))+((((SUMPRODUCT((Labor!$G$6:$G$25=Projects!$A$11)*(Labor!$E$6:$E$25="Prime")*N(Labor!$AU$6:$AU$25))*(1+Rates!$B$6)*(1+Rates!$B$7)+SUMPRODUCT((Labor!$G$6:$G$25=Projects!$A$11)*(Labor!$E$6:$E$25="Sub")*N(Labor!$AU$6:$AU$25))))+IFERROR(((SUMPRODUCT((Labor!$G$6:$G$25=Projects!$A$11)*(Labor!$E$6:$E$25="Prime")*N(Labor!$AU$6:$AU$25))*(1+Rates!$B$6)*(1+Rates!$B$7)+SUMPRODUCT((Labor!$G$6:$G$25=Projects!$A$11)*(Labor!$E$6:$E$25="Sub")*N(Labor!$AU$6:$AU$25))))/((SUMPRODUCT((Labor!$G$6:$G$25=Projects!$A$11)*(Labor!$E$6:$E$25="Prime")*N(Labor!$AU$6:$AU$25))*(1+Rates!$B$6)*(1+Rates!$B$7)+SUMPRODUCT((Labor!$G$6:$G$25=Projects!$A$11)*(Labor!$E$6:$E$25="Sub")*N(Labor!$AU$6:$AU$25)))+SUMIFS(ODCs!$F$5:$F$22,ODCs!$D$5:$D$22,Projects!$A$11,ODCs!$E$5:$E$22,10)+SUMIFS(Travel!$F$5:$F$22,Travel!$D$5:$D$22,Projects!$A$11,Travel!$E$5:$E$22,10)+SUMIFS('M&amp;E'!$F$5:$F$22,'M&amp;E'!$D$5:$D$22,Projects!$A$11,'M&amp;E'!$E$5:$E$22,10))*(((SUMPRODUCT((Labor!$G$6:$G$25=Projects!$A$11)*(Labor!$E$6:$E$25="Prime")*N(Labor!$AU$6:$AU$25))*(1+Rates!$B$6)*(1+Rates!$B$7)+SUMPRODUCT((Labor!$G$6:$G$25=Projects!$A$11)*(Labor!$E$6:$E$25="Sub")*N(Labor!$AU$6:$AU$25)))+SUMIFS(ODCs!$F$5:$F$22,ODCs!$D$5:$D$22,Projects!$A$11,ODCs!$E$5:$E$22,10)+SUMIFS(Travel!$F$5:$F$22,Travel!$D$5:$D$22,Projects!$A$11,Travel!$E$5:$E$22,10)+SUMIFS('M&amp;E'!$F$5:$F$22,'M&amp;E'!$D$5:$D$22,Projects!$A$11,'M&amp;E'!$E$5:$E$22,10))*Rates!$B$8),0))*Rates!$C$18+((SUMIFS(Travel!$F$5:$F$22,Travel!$D$5:$D$22,Projects!$A$11,Travel!$E$5:$E$22,10))+IFERROR((SUMIFS(Travel!$F$5:$F$22,Travel!$D$5:$D$22,Projects!$A$11,Travel!$E$5:$E$22,10))/((SUMPRODUCT((Labor!$G$6:$G$25=Projects!$A$11)*(Labor!$E$6:$E$25="Prime")*N(Labor!$AU$6:$AU$25))*(1+Rates!$B$6)*(1+Rates!$B$7)+SUMPRODUCT((Labor!$G$6:$G$25=Projects!$A$11)*(Labor!$E$6:$E$25="Sub")*N(Labor!$AU$6:$AU$25)))+SUMIFS(ODCs!$F$5:$F$22,ODCs!$D$5:$D$22,Projects!$A$11,ODCs!$E$5:$E$22,10)+SUMIFS(Travel!$F$5:$F$22,Travel!$D$5:$D$22,Projects!$A$11,Travel!$E$5:$E$22,10)+SUMIFS('M&amp;E'!$F$5:$F$22,'M&amp;E'!$D$5:$D$22,Projects!$A$11,'M&amp;E'!$E$5:$E$22,10))*(((SUMPRODUCT((Labor!$G$6:$G$25=Projects!$A$11)*(Labor!$E$6:$E$25="Prime")*N(Labor!$AU$6:$AU$25))*(1+Rates!$B$6)*(1+Rates!$B$7)+SUMPRODUCT((Labor!$G$6:$G$25=Projects!$A$11)*(Labor!$E$6:$E$25="Sub")*N(Labor!$AU$6:$AU$25)))+SUMIFS(ODCs!$F$5:$F$22,ODCs!$D$5:$D$22,Projects!$A$11,ODCs!$E$5:$E$22,10)+SUMIFS(Travel!$F$5:$F$22,Travel!$D$5:$D$22,Projects!$A$11,Travel!$E$5:$E$22,10)+SUMIFS('M&amp;E'!$F$5:$F$22,'M&amp;E'!$D$5:$D$22,Projects!$A$11,'M&amp;E'!$E$5:$E$22,10))*Rates!$B$8),0))*Rates!$C$19+((SUMIFS(ODCs!$F$5:$F$22,ODCs!$D$5:$D$22,Projects!$A$11,ODCs!$E$5:$E$22,10))+IFERROR((SUMIFS(ODCs!$F$5:$F$22,ODCs!$D$5:$D$22,Projects!$A$11,ODCs!$E$5:$E$22,10))/((SUMPRODUCT((Labor!$G$6:$G$25=Projects!$A$11)*(Labor!$E$6:$E$25="Prime")*N(Labor!$AU$6:$AU$25))*(1+Rates!$B$6)*(1+Rates!$B$7)+SUMPRODUCT((Labor!$G$6:$G$25=Projects!$A$11)*(Labor!$E$6:$E$25="Sub")*N(Labor!$AU$6:$AU$25)))+SUMIFS(ODCs!$F$5:$F$22,ODCs!$D$5:$D$22,Projects!$A$11,ODCs!$E$5:$E$22,10)+SUMIFS(Travel!$F$5:$F$22,Travel!$D$5:$D$22,Projects!$A$11,Travel!$E$5:$E$22,10)+SUMIFS('M&amp;E'!$F$5:$F$22,'M&amp;E'!$D$5:$D$22,Projects!$A$11,'M&amp;E'!$E$5:$E$22,10))*(((SUMPRODUCT((Labor!$G$6:$G$25=Projects!$A$11)*(Labor!$E$6:$E$25="Prime")*N(Labor!$AU$6:$AU$25))*(1+Rates!$B$6)*(1+Rates!$B$7)+SUMPRODUCT((Labor!$G$6:$G$25=Projects!$A$11)*(Labor!$E$6:$E$25="Sub")*N(Labor!$AU$6:$AU$25)))+SUMIFS(ODCs!$F$5:$F$22,ODCs!$D$5:$D$22,Projects!$A$11,ODCs!$E$5:$E$22,10)+SUMIFS(Travel!$F$5:$F$22,Travel!$D$5:$D$22,Projects!$A$11,Travel!$E$5:$E$22,10)+SUMIFS('M&amp;E'!$F$5:$F$22,'M&amp;E'!$D$5:$D$22,Projects!$A$11,'M&amp;E'!$E$5:$E$22,10))*Rates!$B$8),0))*Rates!$C$20+((SUMIFS('M&amp;E'!$F$5:$F$22,'M&amp;E'!$D$5:$D$22,Projects!$A$11,'M&amp;E'!$E$5:$E$22,10))+IFERROR((SUMIFS('M&amp;E'!$F$5:$F$22,'M&amp;E'!$D$5:$D$22,Projects!$A$11,'M&amp;E'!$E$5:$E$22,10))/((SUMPRODUCT((Labor!$G$6:$G$25=Projects!$A$11)*(Labor!$E$6:$E$25="Prime")*N(Labor!$AU$6:$AU$25))*(1+Rates!$B$6)*(1+Rates!$B$7)+SUMPRODUCT((Labor!$G$6:$G$25=Projects!$A$11)*(Labor!$E$6:$E$25="Sub")*N(Labor!$AU$6:$AU$25)))+SUMIFS(ODCs!$F$5:$F$22,ODCs!$D$5:$D$22,Projects!$A$11,ODCs!$E$5:$E$22,10)+SUMIFS(Travel!$F$5:$F$22,Travel!$D$5:$D$22,Projects!$A$11,Travel!$E$5:$E$22,10)+SUMIFS('M&amp;E'!$F$5:$F$22,'M&amp;E'!$D$5:$D$22,Projects!$A$11,'M&amp;E'!$E$5:$E$22,10))*(((SUMPRODUCT((Labor!$G$6:$G$25=Projects!$A$11)*(Labor!$E$6:$E$25="Prime")*N(Labor!$AU$6:$AU$25))*(1+Rates!$B$6)*(1+Rates!$B$7)+SUMPRODUCT((Labor!$G$6:$G$25=Projects!$A$11)*(Labor!$E$6:$E$25="Sub")*N(Labor!$AU$6:$AU$25)))+SUMIFS(ODCs!$F$5:$F$22,ODCs!$D$5:$D$22,Projects!$A$11,ODCs!$E$5:$E$22,10)+SUMIFS(Travel!$F$5:$F$22,Travel!$D$5:$D$22,Projects!$A$11,Travel!$E$5:$E$22,10)+SUMIFS('M&amp;E'!$F$5:$F$22,'M&amp;E'!$D$5:$D$22,Projects!$A$11,'M&amp;E'!$E$5:$E$22,10))*Rates!$B$8),0))*Rates!$C$21))</f>
        <v/>
      </c>
      <c r="L47" s="132">
        <f>IF(Projects!$A$11="","",(((SUMPRODUCT((Labor!$G$6:$G$25=Projects!$A$11)*(Labor!$E$6:$E$25="Prime")*N(Labor!$AY$6:$AY$25))*(1+Rates!$B$6)*(1+Rates!$B$7)+SUMPRODUCT((Labor!$G$6:$G$25=Projects!$A$11)*(Labor!$E$6:$E$25="Sub")*N(Labor!$AY$6:$AY$25)))+SUMIFS(ODCs!$F$5:$F$22,ODCs!$D$5:$D$22,Projects!$A$11,ODCs!$E$5:$E$22,11)+SUMIFS(Travel!$F$5:$F$22,Travel!$D$5:$D$22,Projects!$A$11,Travel!$E$5:$E$22,11)+SUMIFS('M&amp;E'!$F$5:$F$22,'M&amp;E'!$D$5:$D$22,Projects!$A$11,'M&amp;E'!$E$5:$E$22,11))+(((SUMPRODUCT((Labor!$G$6:$G$25=Projects!$A$11)*(Labor!$E$6:$E$25="Prime")*N(Labor!$AY$6:$AY$25))*(1+Rates!$B$6)*(1+Rates!$B$7)+SUMPRODUCT((Labor!$G$6:$G$25=Projects!$A$11)*(Labor!$E$6:$E$25="Sub")*N(Labor!$AY$6:$AY$25)))+SUMIFS(ODCs!$F$5:$F$22,ODCs!$D$5:$D$22,Projects!$A$11,ODCs!$E$5:$E$22,11)+SUMIFS(Travel!$F$5:$F$22,Travel!$D$5:$D$22,Projects!$A$11,Travel!$E$5:$E$22,11)+SUMIFS('M&amp;E'!$F$5:$F$22,'M&amp;E'!$D$5:$D$22,Projects!$A$11,'M&amp;E'!$E$5:$E$22,11))*Rates!$B$8))+((((SUMPRODUCT((Labor!$G$6:$G$25=Projects!$A$11)*(Labor!$E$6:$E$25="Prime")*N(Labor!$AY$6:$AY$25))*(1+Rates!$B$6)*(1+Rates!$B$7)+SUMPRODUCT((Labor!$G$6:$G$25=Projects!$A$11)*(Labor!$E$6:$E$25="Sub")*N(Labor!$AY$6:$AY$25))))+IFERROR(((SUMPRODUCT((Labor!$G$6:$G$25=Projects!$A$11)*(Labor!$E$6:$E$25="Prime")*N(Labor!$AY$6:$AY$25))*(1+Rates!$B$6)*(1+Rates!$B$7)+SUMPRODUCT((Labor!$G$6:$G$25=Projects!$A$11)*(Labor!$E$6:$E$25="Sub")*N(Labor!$AY$6:$AY$25))))/((SUMPRODUCT((Labor!$G$6:$G$25=Projects!$A$11)*(Labor!$E$6:$E$25="Prime")*N(Labor!$AY$6:$AY$25))*(1+Rates!$B$6)*(1+Rates!$B$7)+SUMPRODUCT((Labor!$G$6:$G$25=Projects!$A$11)*(Labor!$E$6:$E$25="Sub")*N(Labor!$AY$6:$AY$25)))+SUMIFS(ODCs!$F$5:$F$22,ODCs!$D$5:$D$22,Projects!$A$11,ODCs!$E$5:$E$22,11)+SUMIFS(Travel!$F$5:$F$22,Travel!$D$5:$D$22,Projects!$A$11,Travel!$E$5:$E$22,11)+SUMIFS('M&amp;E'!$F$5:$F$22,'M&amp;E'!$D$5:$D$22,Projects!$A$11,'M&amp;E'!$E$5:$E$22,11))*(((SUMPRODUCT((Labor!$G$6:$G$25=Projects!$A$11)*(Labor!$E$6:$E$25="Prime")*N(Labor!$AY$6:$AY$25))*(1+Rates!$B$6)*(1+Rates!$B$7)+SUMPRODUCT((Labor!$G$6:$G$25=Projects!$A$11)*(Labor!$E$6:$E$25="Sub")*N(Labor!$AY$6:$AY$25)))+SUMIFS(ODCs!$F$5:$F$22,ODCs!$D$5:$D$22,Projects!$A$11,ODCs!$E$5:$E$22,11)+SUMIFS(Travel!$F$5:$F$22,Travel!$D$5:$D$22,Projects!$A$11,Travel!$E$5:$E$22,11)+SUMIFS('M&amp;E'!$F$5:$F$22,'M&amp;E'!$D$5:$D$22,Projects!$A$11,'M&amp;E'!$E$5:$E$22,11))*Rates!$B$8),0))*Rates!$C$18+((SUMIFS(Travel!$F$5:$F$22,Travel!$D$5:$D$22,Projects!$A$11,Travel!$E$5:$E$22,11))+IFERROR((SUMIFS(Travel!$F$5:$F$22,Travel!$D$5:$D$22,Projects!$A$11,Travel!$E$5:$E$22,11))/((SUMPRODUCT((Labor!$G$6:$G$25=Projects!$A$11)*(Labor!$E$6:$E$25="Prime")*N(Labor!$AY$6:$AY$25))*(1+Rates!$B$6)*(1+Rates!$B$7)+SUMPRODUCT((Labor!$G$6:$G$25=Projects!$A$11)*(Labor!$E$6:$E$25="Sub")*N(Labor!$AY$6:$AY$25)))+SUMIFS(ODCs!$F$5:$F$22,ODCs!$D$5:$D$22,Projects!$A$11,ODCs!$E$5:$E$22,11)+SUMIFS(Travel!$F$5:$F$22,Travel!$D$5:$D$22,Projects!$A$11,Travel!$E$5:$E$22,11)+SUMIFS('M&amp;E'!$F$5:$F$22,'M&amp;E'!$D$5:$D$22,Projects!$A$11,'M&amp;E'!$E$5:$E$22,11))*(((SUMPRODUCT((Labor!$G$6:$G$25=Projects!$A$11)*(Labor!$E$6:$E$25="Prime")*N(Labor!$AY$6:$AY$25))*(1+Rates!$B$6)*(1+Rates!$B$7)+SUMPRODUCT((Labor!$G$6:$G$25=Projects!$A$11)*(Labor!$E$6:$E$25="Sub")*N(Labor!$AY$6:$AY$25)))+SUMIFS(ODCs!$F$5:$F$22,ODCs!$D$5:$D$22,Projects!$A$11,ODCs!$E$5:$E$22,11)+SUMIFS(Travel!$F$5:$F$22,Travel!$D$5:$D$22,Projects!$A$11,Travel!$E$5:$E$22,11)+SUMIFS('M&amp;E'!$F$5:$F$22,'M&amp;E'!$D$5:$D$22,Projects!$A$11,'M&amp;E'!$E$5:$E$22,11))*Rates!$B$8),0))*Rates!$C$19+((SUMIFS(ODCs!$F$5:$F$22,ODCs!$D$5:$D$22,Projects!$A$11,ODCs!$E$5:$E$22,11))+IFERROR((SUMIFS(ODCs!$F$5:$F$22,ODCs!$D$5:$D$22,Projects!$A$11,ODCs!$E$5:$E$22,11))/((SUMPRODUCT((Labor!$G$6:$G$25=Projects!$A$11)*(Labor!$E$6:$E$25="Prime")*N(Labor!$AY$6:$AY$25))*(1+Rates!$B$6)*(1+Rates!$B$7)+SUMPRODUCT((Labor!$G$6:$G$25=Projects!$A$11)*(Labor!$E$6:$E$25="Sub")*N(Labor!$AY$6:$AY$25)))+SUMIFS(ODCs!$F$5:$F$22,ODCs!$D$5:$D$22,Projects!$A$11,ODCs!$E$5:$E$22,11)+SUMIFS(Travel!$F$5:$F$22,Travel!$D$5:$D$22,Projects!$A$11,Travel!$E$5:$E$22,11)+SUMIFS('M&amp;E'!$F$5:$F$22,'M&amp;E'!$D$5:$D$22,Projects!$A$11,'M&amp;E'!$E$5:$E$22,11))*(((SUMPRODUCT((Labor!$G$6:$G$25=Projects!$A$11)*(Labor!$E$6:$E$25="Prime")*N(Labor!$AY$6:$AY$25))*(1+Rates!$B$6)*(1+Rates!$B$7)+SUMPRODUCT((Labor!$G$6:$G$25=Projects!$A$11)*(Labor!$E$6:$E$25="Sub")*N(Labor!$AY$6:$AY$25)))+SUMIFS(ODCs!$F$5:$F$22,ODCs!$D$5:$D$22,Projects!$A$11,ODCs!$E$5:$E$22,11)+SUMIFS(Travel!$F$5:$F$22,Travel!$D$5:$D$22,Projects!$A$11,Travel!$E$5:$E$22,11)+SUMIFS('M&amp;E'!$F$5:$F$22,'M&amp;E'!$D$5:$D$22,Projects!$A$11,'M&amp;E'!$E$5:$E$22,11))*Rates!$B$8),0))*Rates!$C$20+((SUMIFS('M&amp;E'!$F$5:$F$22,'M&amp;E'!$D$5:$D$22,Projects!$A$11,'M&amp;E'!$E$5:$E$22,11))+IFERROR((SUMIFS('M&amp;E'!$F$5:$F$22,'M&amp;E'!$D$5:$D$22,Projects!$A$11,'M&amp;E'!$E$5:$E$22,11))/((SUMPRODUCT((Labor!$G$6:$G$25=Projects!$A$11)*(Labor!$E$6:$E$25="Prime")*N(Labor!$AY$6:$AY$25))*(1+Rates!$B$6)*(1+Rates!$B$7)+SUMPRODUCT((Labor!$G$6:$G$25=Projects!$A$11)*(Labor!$E$6:$E$25="Sub")*N(Labor!$AY$6:$AY$25)))+SUMIFS(ODCs!$F$5:$F$22,ODCs!$D$5:$D$22,Projects!$A$11,ODCs!$E$5:$E$22,11)+SUMIFS(Travel!$F$5:$F$22,Travel!$D$5:$D$22,Projects!$A$11,Travel!$E$5:$E$22,11)+SUMIFS('M&amp;E'!$F$5:$F$22,'M&amp;E'!$D$5:$D$22,Projects!$A$11,'M&amp;E'!$E$5:$E$22,11))*(((SUMPRODUCT((Labor!$G$6:$G$25=Projects!$A$11)*(Labor!$E$6:$E$25="Prime")*N(Labor!$AY$6:$AY$25))*(1+Rates!$B$6)*(1+Rates!$B$7)+SUMPRODUCT((Labor!$G$6:$G$25=Projects!$A$11)*(Labor!$E$6:$E$25="Sub")*N(Labor!$AY$6:$AY$25)))+SUMIFS(ODCs!$F$5:$F$22,ODCs!$D$5:$D$22,Projects!$A$11,ODCs!$E$5:$E$22,11)+SUMIFS(Travel!$F$5:$F$22,Travel!$D$5:$D$22,Projects!$A$11,Travel!$E$5:$E$22,11)+SUMIFS('M&amp;E'!$F$5:$F$22,'M&amp;E'!$D$5:$D$22,Projects!$A$11,'M&amp;E'!$E$5:$E$22,11))*Rates!$B$8),0))*Rates!$C$21))</f>
        <v/>
      </c>
      <c r="M47" s="132">
        <f>IF(Projects!$A$11="","",(((SUMPRODUCT((Labor!$G$6:$G$25=Projects!$A$11)*(Labor!$E$6:$E$25="Prime")*N(Labor!$BC$6:$BC$25))*(1+Rates!$B$6)*(1+Rates!$B$7)+SUMPRODUCT((Labor!$G$6:$G$25=Projects!$A$11)*(Labor!$E$6:$E$25="Sub")*N(Labor!$BC$6:$BC$25)))+SUMIFS(ODCs!$F$5:$F$22,ODCs!$D$5:$D$22,Projects!$A$11,ODCs!$E$5:$E$22,12)+SUMIFS(Travel!$F$5:$F$22,Travel!$D$5:$D$22,Projects!$A$11,Travel!$E$5:$E$22,12)+SUMIFS('M&amp;E'!$F$5:$F$22,'M&amp;E'!$D$5:$D$22,Projects!$A$11,'M&amp;E'!$E$5:$E$22,12))+(((SUMPRODUCT((Labor!$G$6:$G$25=Projects!$A$11)*(Labor!$E$6:$E$25="Prime")*N(Labor!$BC$6:$BC$25))*(1+Rates!$B$6)*(1+Rates!$B$7)+SUMPRODUCT((Labor!$G$6:$G$25=Projects!$A$11)*(Labor!$E$6:$E$25="Sub")*N(Labor!$BC$6:$BC$25)))+SUMIFS(ODCs!$F$5:$F$22,ODCs!$D$5:$D$22,Projects!$A$11,ODCs!$E$5:$E$22,12)+SUMIFS(Travel!$F$5:$F$22,Travel!$D$5:$D$22,Projects!$A$11,Travel!$E$5:$E$22,12)+SUMIFS('M&amp;E'!$F$5:$F$22,'M&amp;E'!$D$5:$D$22,Projects!$A$11,'M&amp;E'!$E$5:$E$22,12))*Rates!$B$8))+((((SUMPRODUCT((Labor!$G$6:$G$25=Projects!$A$11)*(Labor!$E$6:$E$25="Prime")*N(Labor!$BC$6:$BC$25))*(1+Rates!$B$6)*(1+Rates!$B$7)+SUMPRODUCT((Labor!$G$6:$G$25=Projects!$A$11)*(Labor!$E$6:$E$25="Sub")*N(Labor!$BC$6:$BC$25))))+IFERROR(((SUMPRODUCT((Labor!$G$6:$G$25=Projects!$A$11)*(Labor!$E$6:$E$25="Prime")*N(Labor!$BC$6:$BC$25))*(1+Rates!$B$6)*(1+Rates!$B$7)+SUMPRODUCT((Labor!$G$6:$G$25=Projects!$A$11)*(Labor!$E$6:$E$25="Sub")*N(Labor!$BC$6:$BC$25))))/((SUMPRODUCT((Labor!$G$6:$G$25=Projects!$A$11)*(Labor!$E$6:$E$25="Prime")*N(Labor!$BC$6:$BC$25))*(1+Rates!$B$6)*(1+Rates!$B$7)+SUMPRODUCT((Labor!$G$6:$G$25=Projects!$A$11)*(Labor!$E$6:$E$25="Sub")*N(Labor!$BC$6:$BC$25)))+SUMIFS(ODCs!$F$5:$F$22,ODCs!$D$5:$D$22,Projects!$A$11,ODCs!$E$5:$E$22,12)+SUMIFS(Travel!$F$5:$F$22,Travel!$D$5:$D$22,Projects!$A$11,Travel!$E$5:$E$22,12)+SUMIFS('M&amp;E'!$F$5:$F$22,'M&amp;E'!$D$5:$D$22,Projects!$A$11,'M&amp;E'!$E$5:$E$22,12))*(((SUMPRODUCT((Labor!$G$6:$G$25=Projects!$A$11)*(Labor!$E$6:$E$25="Prime")*N(Labor!$BC$6:$BC$25))*(1+Rates!$B$6)*(1+Rates!$B$7)+SUMPRODUCT((Labor!$G$6:$G$25=Projects!$A$11)*(Labor!$E$6:$E$25="Sub")*N(Labor!$BC$6:$BC$25)))+SUMIFS(ODCs!$F$5:$F$22,ODCs!$D$5:$D$22,Projects!$A$11,ODCs!$E$5:$E$22,12)+SUMIFS(Travel!$F$5:$F$22,Travel!$D$5:$D$22,Projects!$A$11,Travel!$E$5:$E$22,12)+SUMIFS('M&amp;E'!$F$5:$F$22,'M&amp;E'!$D$5:$D$22,Projects!$A$11,'M&amp;E'!$E$5:$E$22,12))*Rates!$B$8),0))*Rates!$C$18+((SUMIFS(Travel!$F$5:$F$22,Travel!$D$5:$D$22,Projects!$A$11,Travel!$E$5:$E$22,12))+IFERROR((SUMIFS(Travel!$F$5:$F$22,Travel!$D$5:$D$22,Projects!$A$11,Travel!$E$5:$E$22,12))/((SUMPRODUCT((Labor!$G$6:$G$25=Projects!$A$11)*(Labor!$E$6:$E$25="Prime")*N(Labor!$BC$6:$BC$25))*(1+Rates!$B$6)*(1+Rates!$B$7)+SUMPRODUCT((Labor!$G$6:$G$25=Projects!$A$11)*(Labor!$E$6:$E$25="Sub")*N(Labor!$BC$6:$BC$25)))+SUMIFS(ODCs!$F$5:$F$22,ODCs!$D$5:$D$22,Projects!$A$11,ODCs!$E$5:$E$22,12)+SUMIFS(Travel!$F$5:$F$22,Travel!$D$5:$D$22,Projects!$A$11,Travel!$E$5:$E$22,12)+SUMIFS('M&amp;E'!$F$5:$F$22,'M&amp;E'!$D$5:$D$22,Projects!$A$11,'M&amp;E'!$E$5:$E$22,12))*(((SUMPRODUCT((Labor!$G$6:$G$25=Projects!$A$11)*(Labor!$E$6:$E$25="Prime")*N(Labor!$BC$6:$BC$25))*(1+Rates!$B$6)*(1+Rates!$B$7)+SUMPRODUCT((Labor!$G$6:$G$25=Projects!$A$11)*(Labor!$E$6:$E$25="Sub")*N(Labor!$BC$6:$BC$25)))+SUMIFS(ODCs!$F$5:$F$22,ODCs!$D$5:$D$22,Projects!$A$11,ODCs!$E$5:$E$22,12)+SUMIFS(Travel!$F$5:$F$22,Travel!$D$5:$D$22,Projects!$A$11,Travel!$E$5:$E$22,12)+SUMIFS('M&amp;E'!$F$5:$F$22,'M&amp;E'!$D$5:$D$22,Projects!$A$11,'M&amp;E'!$E$5:$E$22,12))*Rates!$B$8),0))*Rates!$C$19+((SUMIFS(ODCs!$F$5:$F$22,ODCs!$D$5:$D$22,Projects!$A$11,ODCs!$E$5:$E$22,12))+IFERROR((SUMIFS(ODCs!$F$5:$F$22,ODCs!$D$5:$D$22,Projects!$A$11,ODCs!$E$5:$E$22,12))/((SUMPRODUCT((Labor!$G$6:$G$25=Projects!$A$11)*(Labor!$E$6:$E$25="Prime")*N(Labor!$BC$6:$BC$25))*(1+Rates!$B$6)*(1+Rates!$B$7)+SUMPRODUCT((Labor!$G$6:$G$25=Projects!$A$11)*(Labor!$E$6:$E$25="Sub")*N(Labor!$BC$6:$BC$25)))+SUMIFS(ODCs!$F$5:$F$22,ODCs!$D$5:$D$22,Projects!$A$11,ODCs!$E$5:$E$22,12)+SUMIFS(Travel!$F$5:$F$22,Travel!$D$5:$D$22,Projects!$A$11,Travel!$E$5:$E$22,12)+SUMIFS('M&amp;E'!$F$5:$F$22,'M&amp;E'!$D$5:$D$22,Projects!$A$11,'M&amp;E'!$E$5:$E$22,12))*(((SUMPRODUCT((Labor!$G$6:$G$25=Projects!$A$11)*(Labor!$E$6:$E$25="Prime")*N(Labor!$BC$6:$BC$25))*(1+Rates!$B$6)*(1+Rates!$B$7)+SUMPRODUCT((Labor!$G$6:$G$25=Projects!$A$11)*(Labor!$E$6:$E$25="Sub")*N(Labor!$BC$6:$BC$25)))+SUMIFS(ODCs!$F$5:$F$22,ODCs!$D$5:$D$22,Projects!$A$11,ODCs!$E$5:$E$22,12)+SUMIFS(Travel!$F$5:$F$22,Travel!$D$5:$D$22,Projects!$A$11,Travel!$E$5:$E$22,12)+SUMIFS('M&amp;E'!$F$5:$F$22,'M&amp;E'!$D$5:$D$22,Projects!$A$11,'M&amp;E'!$E$5:$E$22,12))*Rates!$B$8),0))*Rates!$C$20+((SUMIFS('M&amp;E'!$F$5:$F$22,'M&amp;E'!$D$5:$D$22,Projects!$A$11,'M&amp;E'!$E$5:$E$22,12))+IFERROR((SUMIFS('M&amp;E'!$F$5:$F$22,'M&amp;E'!$D$5:$D$22,Projects!$A$11,'M&amp;E'!$E$5:$E$22,12))/((SUMPRODUCT((Labor!$G$6:$G$25=Projects!$A$11)*(Labor!$E$6:$E$25="Prime")*N(Labor!$BC$6:$BC$25))*(1+Rates!$B$6)*(1+Rates!$B$7)+SUMPRODUCT((Labor!$G$6:$G$25=Projects!$A$11)*(Labor!$E$6:$E$25="Sub")*N(Labor!$BC$6:$BC$25)))+SUMIFS(ODCs!$F$5:$F$22,ODCs!$D$5:$D$22,Projects!$A$11,ODCs!$E$5:$E$22,12)+SUMIFS(Travel!$F$5:$F$22,Travel!$D$5:$D$22,Projects!$A$11,Travel!$E$5:$E$22,12)+SUMIFS('M&amp;E'!$F$5:$F$22,'M&amp;E'!$D$5:$D$22,Projects!$A$11,'M&amp;E'!$E$5:$E$22,12))*(((SUMPRODUCT((Labor!$G$6:$G$25=Projects!$A$11)*(Labor!$E$6:$E$25="Prime")*N(Labor!$BC$6:$BC$25))*(1+Rates!$B$6)*(1+Rates!$B$7)+SUMPRODUCT((Labor!$G$6:$G$25=Projects!$A$11)*(Labor!$E$6:$E$25="Sub")*N(Labor!$BC$6:$BC$25)))+SUMIFS(ODCs!$F$5:$F$22,ODCs!$D$5:$D$22,Projects!$A$11,ODCs!$E$5:$E$22,12)+SUMIFS(Travel!$F$5:$F$22,Travel!$D$5:$D$22,Projects!$A$11,Travel!$E$5:$E$22,12)+SUMIFS('M&amp;E'!$F$5:$F$22,'M&amp;E'!$D$5:$D$22,Projects!$A$11,'M&amp;E'!$E$5:$E$22,12))*Rates!$B$8),0))*Rates!$C$21))</f>
        <v/>
      </c>
      <c r="N47" s="135">
        <f>SUM(B47,C47,D47)</f>
        <v/>
      </c>
      <c r="O47" s="135">
        <f>SUM(E47,F47,G47)</f>
        <v/>
      </c>
      <c r="P47" s="135">
        <f>SUM(H47,I47,J47)</f>
        <v/>
      </c>
      <c r="Q47" s="135">
        <f>SUM(K47,L47,M47)</f>
        <v/>
      </c>
      <c r="R47" s="135">
        <f>SUM(N47,O47,P47,Q47)</f>
        <v/>
      </c>
    </row>
    <row r="48">
      <c r="A48" s="117" t="inlineStr">
        <is>
          <t>Variance $</t>
        </is>
      </c>
      <c r="B48" s="204">
        <f>IFERROR(IF(B47="","",B47-B46),0)</f>
        <v/>
      </c>
      <c r="C48" s="204">
        <f>IFERROR(IF(C47="","",C47-C46),0)</f>
        <v/>
      </c>
      <c r="D48" s="204">
        <f>IFERROR(IF(D47="","",D47-D46),0)</f>
        <v/>
      </c>
      <c r="E48" s="204">
        <f>IFERROR(IF(E47="","",E47-E46),0)</f>
        <v/>
      </c>
      <c r="F48" s="204">
        <f>IFERROR(IF(F47="","",F47-F46),0)</f>
        <v/>
      </c>
      <c r="G48" s="204">
        <f>IFERROR(IF(G47="","",G47-G46),0)</f>
        <v/>
      </c>
      <c r="H48" s="204">
        <f>IFERROR(IF(H47="","",H47-H46),0)</f>
        <v/>
      </c>
      <c r="I48" s="204">
        <f>IFERROR(IF(I47="","",I47-I46),0)</f>
        <v/>
      </c>
      <c r="J48" s="204">
        <f>IFERROR(IF(J47="","",J47-J46),0)</f>
        <v/>
      </c>
      <c r="K48" s="204">
        <f>IFERROR(IF(K47="","",K47-K46),0)</f>
        <v/>
      </c>
      <c r="L48" s="204">
        <f>IFERROR(IF(L47="","",L47-L46),0)</f>
        <v/>
      </c>
      <c r="M48" s="204">
        <f>IFERROR(IF(M47="","",M47-M46),0)</f>
        <v/>
      </c>
      <c r="N48" s="135">
        <f>SUM(B48,C48,D48)</f>
        <v/>
      </c>
      <c r="O48" s="135">
        <f>SUM(E48,F48,G48)</f>
        <v/>
      </c>
      <c r="P48" s="135">
        <f>SUM(H48,I48,J48)</f>
        <v/>
      </c>
      <c r="Q48" s="135">
        <f>SUM(K48,L48,M48)</f>
        <v/>
      </c>
      <c r="R48" s="135">
        <f>SUM(N48,O48,P48,Q48)</f>
        <v/>
      </c>
    </row>
    <row r="49">
      <c r="A49" s="117" t="inlineStr">
        <is>
          <t>Variance %</t>
        </is>
      </c>
      <c r="B49" s="205">
        <f>IFERROR(B48/B46,0)</f>
        <v/>
      </c>
      <c r="C49" s="205">
        <f>IFERROR(C48/C46,0)</f>
        <v/>
      </c>
      <c r="D49" s="205">
        <f>IFERROR(D48/D46,0)</f>
        <v/>
      </c>
      <c r="E49" s="205">
        <f>IFERROR(E48/E46,0)</f>
        <v/>
      </c>
      <c r="F49" s="205">
        <f>IFERROR(F48/F46,0)</f>
        <v/>
      </c>
      <c r="G49" s="205">
        <f>IFERROR(G48/G46,0)</f>
        <v/>
      </c>
      <c r="H49" s="205">
        <f>IFERROR(H48/H46,0)</f>
        <v/>
      </c>
      <c r="I49" s="205">
        <f>IFERROR(I48/I46,0)</f>
        <v/>
      </c>
      <c r="J49" s="205">
        <f>IFERROR(J48/J46,0)</f>
        <v/>
      </c>
      <c r="K49" s="205">
        <f>IFERROR(K48/K46,0)</f>
        <v/>
      </c>
      <c r="L49" s="205">
        <f>IFERROR(L48/L46,0)</f>
        <v/>
      </c>
      <c r="M49" s="205">
        <f>IFERROR(M48/M46,0)</f>
        <v/>
      </c>
      <c r="N49" s="140">
        <f>IFERROR(N48/N46,0)</f>
        <v/>
      </c>
      <c r="O49" s="140">
        <f>IFERROR(O48/O46,0)</f>
        <v/>
      </c>
      <c r="P49" s="140">
        <f>IFERROR(P48/P46,0)</f>
        <v/>
      </c>
      <c r="Q49" s="140">
        <f>IFERROR(Q48/Q46,0)</f>
        <v/>
      </c>
      <c r="R49" s="140">
        <f>IFERROR(R48/R46,0)</f>
        <v/>
      </c>
    </row>
    <row r="51">
      <c r="A51" s="136">
        <f>IF(Projects!$A$12="","",Projects!$A$12&amp;" — "&amp;Projects!$B$12)</f>
        <v/>
      </c>
    </row>
    <row r="52">
      <c r="A52" s="124" t="inlineStr">
        <is>
          <t>Forecasted Revenue $</t>
        </is>
      </c>
      <c r="B52" s="131" t="n">
        <v>0</v>
      </c>
      <c r="C52" s="131" t="n">
        <v>0</v>
      </c>
      <c r="D52" s="131" t="n">
        <v>0</v>
      </c>
      <c r="E52" s="131" t="n">
        <v>0</v>
      </c>
      <c r="F52" s="131" t="n">
        <v>0</v>
      </c>
      <c r="G52" s="131" t="n">
        <v>0</v>
      </c>
      <c r="H52" s="131" t="n">
        <v>0</v>
      </c>
      <c r="I52" s="131" t="n">
        <v>0</v>
      </c>
      <c r="J52" s="131" t="n">
        <v>0</v>
      </c>
      <c r="K52" s="131" t="n">
        <v>0</v>
      </c>
      <c r="L52" s="131" t="n">
        <v>0</v>
      </c>
      <c r="M52" s="131" t="n">
        <v>0</v>
      </c>
      <c r="N52" s="135">
        <f>SUM(B52,C52,D52)</f>
        <v/>
      </c>
      <c r="O52" s="135">
        <f>SUM(E52,F52,G52)</f>
        <v/>
      </c>
      <c r="P52" s="135">
        <f>SUM(H52,I52,J52)</f>
        <v/>
      </c>
      <c r="Q52" s="135">
        <f>SUM(K52,L52,M52)</f>
        <v/>
      </c>
      <c r="R52" s="135">
        <f>SUM(N52,O52,P52,Q52)</f>
        <v/>
      </c>
    </row>
    <row r="53">
      <c r="A53" s="124" t="inlineStr">
        <is>
          <t>Actual Revenue $</t>
        </is>
      </c>
      <c r="B53" s="132">
        <f>IF(Projects!$A$12="","",(((SUMPRODUCT((Labor!$G$6:$G$25=Projects!$A$12)*(Labor!$E$6:$E$25="Prime")*N(Labor!$K$6:$K$25))*(1+Rates!$B$6)*(1+Rates!$B$7)+SUMPRODUCT((Labor!$G$6:$G$25=Projects!$A$12)*(Labor!$E$6:$E$25="Sub")*N(Labor!$K$6:$K$25)))+SUMIFS(ODCs!$F$5:$F$22,ODCs!$D$5:$D$22,Projects!$A$12,ODCs!$E$5:$E$22,1)+SUMIFS(Travel!$F$5:$F$22,Travel!$D$5:$D$22,Projects!$A$12,Travel!$E$5:$E$22,1)+SUMIFS('M&amp;E'!$F$5:$F$22,'M&amp;E'!$D$5:$D$22,Projects!$A$12,'M&amp;E'!$E$5:$E$22,1))+(((SUMPRODUCT((Labor!$G$6:$G$25=Projects!$A$12)*(Labor!$E$6:$E$25="Prime")*N(Labor!$K$6:$K$25))*(1+Rates!$B$6)*(1+Rates!$B$7)+SUMPRODUCT((Labor!$G$6:$G$25=Projects!$A$12)*(Labor!$E$6:$E$25="Sub")*N(Labor!$K$6:$K$25)))+SUMIFS(ODCs!$F$5:$F$22,ODCs!$D$5:$D$22,Projects!$A$12,ODCs!$E$5:$E$22,1)+SUMIFS(Travel!$F$5:$F$22,Travel!$D$5:$D$22,Projects!$A$12,Travel!$E$5:$E$22,1)+SUMIFS('M&amp;E'!$F$5:$F$22,'M&amp;E'!$D$5:$D$22,Projects!$A$12,'M&amp;E'!$E$5:$E$22,1))*Rates!$B$8))+((((SUMPRODUCT((Labor!$G$6:$G$25=Projects!$A$12)*(Labor!$E$6:$E$25="Prime")*N(Labor!$K$6:$K$25))*(1+Rates!$B$6)*(1+Rates!$B$7)+SUMPRODUCT((Labor!$G$6:$G$25=Projects!$A$12)*(Labor!$E$6:$E$25="Sub")*N(Labor!$K$6:$K$25))))+IFERROR(((SUMPRODUCT((Labor!$G$6:$G$25=Projects!$A$12)*(Labor!$E$6:$E$25="Prime")*N(Labor!$K$6:$K$25))*(1+Rates!$B$6)*(1+Rates!$B$7)+SUMPRODUCT((Labor!$G$6:$G$25=Projects!$A$12)*(Labor!$E$6:$E$25="Sub")*N(Labor!$K$6:$K$25))))/((SUMPRODUCT((Labor!$G$6:$G$25=Projects!$A$12)*(Labor!$E$6:$E$25="Prime")*N(Labor!$K$6:$K$25))*(1+Rates!$B$6)*(1+Rates!$B$7)+SUMPRODUCT((Labor!$G$6:$G$25=Projects!$A$12)*(Labor!$E$6:$E$25="Sub")*N(Labor!$K$6:$K$25)))+SUMIFS(ODCs!$F$5:$F$22,ODCs!$D$5:$D$22,Projects!$A$12,ODCs!$E$5:$E$22,1)+SUMIFS(Travel!$F$5:$F$22,Travel!$D$5:$D$22,Projects!$A$12,Travel!$E$5:$E$22,1)+SUMIFS('M&amp;E'!$F$5:$F$22,'M&amp;E'!$D$5:$D$22,Projects!$A$12,'M&amp;E'!$E$5:$E$22,1))*(((SUMPRODUCT((Labor!$G$6:$G$25=Projects!$A$12)*(Labor!$E$6:$E$25="Prime")*N(Labor!$K$6:$K$25))*(1+Rates!$B$6)*(1+Rates!$B$7)+SUMPRODUCT((Labor!$G$6:$G$25=Projects!$A$12)*(Labor!$E$6:$E$25="Sub")*N(Labor!$K$6:$K$25)))+SUMIFS(ODCs!$F$5:$F$22,ODCs!$D$5:$D$22,Projects!$A$12,ODCs!$E$5:$E$22,1)+SUMIFS(Travel!$F$5:$F$22,Travel!$D$5:$D$22,Projects!$A$12,Travel!$E$5:$E$22,1)+SUMIFS('M&amp;E'!$F$5:$F$22,'M&amp;E'!$D$5:$D$22,Projects!$A$12,'M&amp;E'!$E$5:$E$22,1))*Rates!$B$8),0))*Rates!$C$18+((SUMIFS(Travel!$F$5:$F$22,Travel!$D$5:$D$22,Projects!$A$12,Travel!$E$5:$E$22,1))+IFERROR((SUMIFS(Travel!$F$5:$F$22,Travel!$D$5:$D$22,Projects!$A$12,Travel!$E$5:$E$22,1))/((SUMPRODUCT((Labor!$G$6:$G$25=Projects!$A$12)*(Labor!$E$6:$E$25="Prime")*N(Labor!$K$6:$K$25))*(1+Rates!$B$6)*(1+Rates!$B$7)+SUMPRODUCT((Labor!$G$6:$G$25=Projects!$A$12)*(Labor!$E$6:$E$25="Sub")*N(Labor!$K$6:$K$25)))+SUMIFS(ODCs!$F$5:$F$22,ODCs!$D$5:$D$22,Projects!$A$12,ODCs!$E$5:$E$22,1)+SUMIFS(Travel!$F$5:$F$22,Travel!$D$5:$D$22,Projects!$A$12,Travel!$E$5:$E$22,1)+SUMIFS('M&amp;E'!$F$5:$F$22,'M&amp;E'!$D$5:$D$22,Projects!$A$12,'M&amp;E'!$E$5:$E$22,1))*(((SUMPRODUCT((Labor!$G$6:$G$25=Projects!$A$12)*(Labor!$E$6:$E$25="Prime")*N(Labor!$K$6:$K$25))*(1+Rates!$B$6)*(1+Rates!$B$7)+SUMPRODUCT((Labor!$G$6:$G$25=Projects!$A$12)*(Labor!$E$6:$E$25="Sub")*N(Labor!$K$6:$K$25)))+SUMIFS(ODCs!$F$5:$F$22,ODCs!$D$5:$D$22,Projects!$A$12,ODCs!$E$5:$E$22,1)+SUMIFS(Travel!$F$5:$F$22,Travel!$D$5:$D$22,Projects!$A$12,Travel!$E$5:$E$22,1)+SUMIFS('M&amp;E'!$F$5:$F$22,'M&amp;E'!$D$5:$D$22,Projects!$A$12,'M&amp;E'!$E$5:$E$22,1))*Rates!$B$8),0))*Rates!$C$19+((SUMIFS(ODCs!$F$5:$F$22,ODCs!$D$5:$D$22,Projects!$A$12,ODCs!$E$5:$E$22,1))+IFERROR((SUMIFS(ODCs!$F$5:$F$22,ODCs!$D$5:$D$22,Projects!$A$12,ODCs!$E$5:$E$22,1))/((SUMPRODUCT((Labor!$G$6:$G$25=Projects!$A$12)*(Labor!$E$6:$E$25="Prime")*N(Labor!$K$6:$K$25))*(1+Rates!$B$6)*(1+Rates!$B$7)+SUMPRODUCT((Labor!$G$6:$G$25=Projects!$A$12)*(Labor!$E$6:$E$25="Sub")*N(Labor!$K$6:$K$25)))+SUMIFS(ODCs!$F$5:$F$22,ODCs!$D$5:$D$22,Projects!$A$12,ODCs!$E$5:$E$22,1)+SUMIFS(Travel!$F$5:$F$22,Travel!$D$5:$D$22,Projects!$A$12,Travel!$E$5:$E$22,1)+SUMIFS('M&amp;E'!$F$5:$F$22,'M&amp;E'!$D$5:$D$22,Projects!$A$12,'M&amp;E'!$E$5:$E$22,1))*(((SUMPRODUCT((Labor!$G$6:$G$25=Projects!$A$12)*(Labor!$E$6:$E$25="Prime")*N(Labor!$K$6:$K$25))*(1+Rates!$B$6)*(1+Rates!$B$7)+SUMPRODUCT((Labor!$G$6:$G$25=Projects!$A$12)*(Labor!$E$6:$E$25="Sub")*N(Labor!$K$6:$K$25)))+SUMIFS(ODCs!$F$5:$F$22,ODCs!$D$5:$D$22,Projects!$A$12,ODCs!$E$5:$E$22,1)+SUMIFS(Travel!$F$5:$F$22,Travel!$D$5:$D$22,Projects!$A$12,Travel!$E$5:$E$22,1)+SUMIFS('M&amp;E'!$F$5:$F$22,'M&amp;E'!$D$5:$D$22,Projects!$A$12,'M&amp;E'!$E$5:$E$22,1))*Rates!$B$8),0))*Rates!$C$20+((SUMIFS('M&amp;E'!$F$5:$F$22,'M&amp;E'!$D$5:$D$22,Projects!$A$12,'M&amp;E'!$E$5:$E$22,1))+IFERROR((SUMIFS('M&amp;E'!$F$5:$F$22,'M&amp;E'!$D$5:$D$22,Projects!$A$12,'M&amp;E'!$E$5:$E$22,1))/((SUMPRODUCT((Labor!$G$6:$G$25=Projects!$A$12)*(Labor!$E$6:$E$25="Prime")*N(Labor!$K$6:$K$25))*(1+Rates!$B$6)*(1+Rates!$B$7)+SUMPRODUCT((Labor!$G$6:$G$25=Projects!$A$12)*(Labor!$E$6:$E$25="Sub")*N(Labor!$K$6:$K$25)))+SUMIFS(ODCs!$F$5:$F$22,ODCs!$D$5:$D$22,Projects!$A$12,ODCs!$E$5:$E$22,1)+SUMIFS(Travel!$F$5:$F$22,Travel!$D$5:$D$22,Projects!$A$12,Travel!$E$5:$E$22,1)+SUMIFS('M&amp;E'!$F$5:$F$22,'M&amp;E'!$D$5:$D$22,Projects!$A$12,'M&amp;E'!$E$5:$E$22,1))*(((SUMPRODUCT((Labor!$G$6:$G$25=Projects!$A$12)*(Labor!$E$6:$E$25="Prime")*N(Labor!$K$6:$K$25))*(1+Rates!$B$6)*(1+Rates!$B$7)+SUMPRODUCT((Labor!$G$6:$G$25=Projects!$A$12)*(Labor!$E$6:$E$25="Sub")*N(Labor!$K$6:$K$25)))+SUMIFS(ODCs!$F$5:$F$22,ODCs!$D$5:$D$22,Projects!$A$12,ODCs!$E$5:$E$22,1)+SUMIFS(Travel!$F$5:$F$22,Travel!$D$5:$D$22,Projects!$A$12,Travel!$E$5:$E$22,1)+SUMIFS('M&amp;E'!$F$5:$F$22,'M&amp;E'!$D$5:$D$22,Projects!$A$12,'M&amp;E'!$E$5:$E$22,1))*Rates!$B$8),0))*Rates!$C$21))</f>
        <v/>
      </c>
      <c r="C53" s="132">
        <f>IF(Projects!$A$12="","",(((SUMPRODUCT((Labor!$G$6:$G$25=Projects!$A$12)*(Labor!$E$6:$E$25="Prime")*N(Labor!$O$6:$O$25))*(1+Rates!$B$6)*(1+Rates!$B$7)+SUMPRODUCT((Labor!$G$6:$G$25=Projects!$A$12)*(Labor!$E$6:$E$25="Sub")*N(Labor!$O$6:$O$25)))+SUMIFS(ODCs!$F$5:$F$22,ODCs!$D$5:$D$22,Projects!$A$12,ODCs!$E$5:$E$22,2)+SUMIFS(Travel!$F$5:$F$22,Travel!$D$5:$D$22,Projects!$A$12,Travel!$E$5:$E$22,2)+SUMIFS('M&amp;E'!$F$5:$F$22,'M&amp;E'!$D$5:$D$22,Projects!$A$12,'M&amp;E'!$E$5:$E$22,2))+(((SUMPRODUCT((Labor!$G$6:$G$25=Projects!$A$12)*(Labor!$E$6:$E$25="Prime")*N(Labor!$O$6:$O$25))*(1+Rates!$B$6)*(1+Rates!$B$7)+SUMPRODUCT((Labor!$G$6:$G$25=Projects!$A$12)*(Labor!$E$6:$E$25="Sub")*N(Labor!$O$6:$O$25)))+SUMIFS(ODCs!$F$5:$F$22,ODCs!$D$5:$D$22,Projects!$A$12,ODCs!$E$5:$E$22,2)+SUMIFS(Travel!$F$5:$F$22,Travel!$D$5:$D$22,Projects!$A$12,Travel!$E$5:$E$22,2)+SUMIFS('M&amp;E'!$F$5:$F$22,'M&amp;E'!$D$5:$D$22,Projects!$A$12,'M&amp;E'!$E$5:$E$22,2))*Rates!$B$8))+((((SUMPRODUCT((Labor!$G$6:$G$25=Projects!$A$12)*(Labor!$E$6:$E$25="Prime")*N(Labor!$O$6:$O$25))*(1+Rates!$B$6)*(1+Rates!$B$7)+SUMPRODUCT((Labor!$G$6:$G$25=Projects!$A$12)*(Labor!$E$6:$E$25="Sub")*N(Labor!$O$6:$O$25))))+IFERROR(((SUMPRODUCT((Labor!$G$6:$G$25=Projects!$A$12)*(Labor!$E$6:$E$25="Prime")*N(Labor!$O$6:$O$25))*(1+Rates!$B$6)*(1+Rates!$B$7)+SUMPRODUCT((Labor!$G$6:$G$25=Projects!$A$12)*(Labor!$E$6:$E$25="Sub")*N(Labor!$O$6:$O$25))))/((SUMPRODUCT((Labor!$G$6:$G$25=Projects!$A$12)*(Labor!$E$6:$E$25="Prime")*N(Labor!$O$6:$O$25))*(1+Rates!$B$6)*(1+Rates!$B$7)+SUMPRODUCT((Labor!$G$6:$G$25=Projects!$A$12)*(Labor!$E$6:$E$25="Sub")*N(Labor!$O$6:$O$25)))+SUMIFS(ODCs!$F$5:$F$22,ODCs!$D$5:$D$22,Projects!$A$12,ODCs!$E$5:$E$22,2)+SUMIFS(Travel!$F$5:$F$22,Travel!$D$5:$D$22,Projects!$A$12,Travel!$E$5:$E$22,2)+SUMIFS('M&amp;E'!$F$5:$F$22,'M&amp;E'!$D$5:$D$22,Projects!$A$12,'M&amp;E'!$E$5:$E$22,2))*(((SUMPRODUCT((Labor!$G$6:$G$25=Projects!$A$12)*(Labor!$E$6:$E$25="Prime")*N(Labor!$O$6:$O$25))*(1+Rates!$B$6)*(1+Rates!$B$7)+SUMPRODUCT((Labor!$G$6:$G$25=Projects!$A$12)*(Labor!$E$6:$E$25="Sub")*N(Labor!$O$6:$O$25)))+SUMIFS(ODCs!$F$5:$F$22,ODCs!$D$5:$D$22,Projects!$A$12,ODCs!$E$5:$E$22,2)+SUMIFS(Travel!$F$5:$F$22,Travel!$D$5:$D$22,Projects!$A$12,Travel!$E$5:$E$22,2)+SUMIFS('M&amp;E'!$F$5:$F$22,'M&amp;E'!$D$5:$D$22,Projects!$A$12,'M&amp;E'!$E$5:$E$22,2))*Rates!$B$8),0))*Rates!$C$18+((SUMIFS(Travel!$F$5:$F$22,Travel!$D$5:$D$22,Projects!$A$12,Travel!$E$5:$E$22,2))+IFERROR((SUMIFS(Travel!$F$5:$F$22,Travel!$D$5:$D$22,Projects!$A$12,Travel!$E$5:$E$22,2))/((SUMPRODUCT((Labor!$G$6:$G$25=Projects!$A$12)*(Labor!$E$6:$E$25="Prime")*N(Labor!$O$6:$O$25))*(1+Rates!$B$6)*(1+Rates!$B$7)+SUMPRODUCT((Labor!$G$6:$G$25=Projects!$A$12)*(Labor!$E$6:$E$25="Sub")*N(Labor!$O$6:$O$25)))+SUMIFS(ODCs!$F$5:$F$22,ODCs!$D$5:$D$22,Projects!$A$12,ODCs!$E$5:$E$22,2)+SUMIFS(Travel!$F$5:$F$22,Travel!$D$5:$D$22,Projects!$A$12,Travel!$E$5:$E$22,2)+SUMIFS('M&amp;E'!$F$5:$F$22,'M&amp;E'!$D$5:$D$22,Projects!$A$12,'M&amp;E'!$E$5:$E$22,2))*(((SUMPRODUCT((Labor!$G$6:$G$25=Projects!$A$12)*(Labor!$E$6:$E$25="Prime")*N(Labor!$O$6:$O$25))*(1+Rates!$B$6)*(1+Rates!$B$7)+SUMPRODUCT((Labor!$G$6:$G$25=Projects!$A$12)*(Labor!$E$6:$E$25="Sub")*N(Labor!$O$6:$O$25)))+SUMIFS(ODCs!$F$5:$F$22,ODCs!$D$5:$D$22,Projects!$A$12,ODCs!$E$5:$E$22,2)+SUMIFS(Travel!$F$5:$F$22,Travel!$D$5:$D$22,Projects!$A$12,Travel!$E$5:$E$22,2)+SUMIFS('M&amp;E'!$F$5:$F$22,'M&amp;E'!$D$5:$D$22,Projects!$A$12,'M&amp;E'!$E$5:$E$22,2))*Rates!$B$8),0))*Rates!$C$19+((SUMIFS(ODCs!$F$5:$F$22,ODCs!$D$5:$D$22,Projects!$A$12,ODCs!$E$5:$E$22,2))+IFERROR((SUMIFS(ODCs!$F$5:$F$22,ODCs!$D$5:$D$22,Projects!$A$12,ODCs!$E$5:$E$22,2))/((SUMPRODUCT((Labor!$G$6:$G$25=Projects!$A$12)*(Labor!$E$6:$E$25="Prime")*N(Labor!$O$6:$O$25))*(1+Rates!$B$6)*(1+Rates!$B$7)+SUMPRODUCT((Labor!$G$6:$G$25=Projects!$A$12)*(Labor!$E$6:$E$25="Sub")*N(Labor!$O$6:$O$25)))+SUMIFS(ODCs!$F$5:$F$22,ODCs!$D$5:$D$22,Projects!$A$12,ODCs!$E$5:$E$22,2)+SUMIFS(Travel!$F$5:$F$22,Travel!$D$5:$D$22,Projects!$A$12,Travel!$E$5:$E$22,2)+SUMIFS('M&amp;E'!$F$5:$F$22,'M&amp;E'!$D$5:$D$22,Projects!$A$12,'M&amp;E'!$E$5:$E$22,2))*(((SUMPRODUCT((Labor!$G$6:$G$25=Projects!$A$12)*(Labor!$E$6:$E$25="Prime")*N(Labor!$O$6:$O$25))*(1+Rates!$B$6)*(1+Rates!$B$7)+SUMPRODUCT((Labor!$G$6:$G$25=Projects!$A$12)*(Labor!$E$6:$E$25="Sub")*N(Labor!$O$6:$O$25)))+SUMIFS(ODCs!$F$5:$F$22,ODCs!$D$5:$D$22,Projects!$A$12,ODCs!$E$5:$E$22,2)+SUMIFS(Travel!$F$5:$F$22,Travel!$D$5:$D$22,Projects!$A$12,Travel!$E$5:$E$22,2)+SUMIFS('M&amp;E'!$F$5:$F$22,'M&amp;E'!$D$5:$D$22,Projects!$A$12,'M&amp;E'!$E$5:$E$22,2))*Rates!$B$8),0))*Rates!$C$20+((SUMIFS('M&amp;E'!$F$5:$F$22,'M&amp;E'!$D$5:$D$22,Projects!$A$12,'M&amp;E'!$E$5:$E$22,2))+IFERROR((SUMIFS('M&amp;E'!$F$5:$F$22,'M&amp;E'!$D$5:$D$22,Projects!$A$12,'M&amp;E'!$E$5:$E$22,2))/((SUMPRODUCT((Labor!$G$6:$G$25=Projects!$A$12)*(Labor!$E$6:$E$25="Prime")*N(Labor!$O$6:$O$25))*(1+Rates!$B$6)*(1+Rates!$B$7)+SUMPRODUCT((Labor!$G$6:$G$25=Projects!$A$12)*(Labor!$E$6:$E$25="Sub")*N(Labor!$O$6:$O$25)))+SUMIFS(ODCs!$F$5:$F$22,ODCs!$D$5:$D$22,Projects!$A$12,ODCs!$E$5:$E$22,2)+SUMIFS(Travel!$F$5:$F$22,Travel!$D$5:$D$22,Projects!$A$12,Travel!$E$5:$E$22,2)+SUMIFS('M&amp;E'!$F$5:$F$22,'M&amp;E'!$D$5:$D$22,Projects!$A$12,'M&amp;E'!$E$5:$E$22,2))*(((SUMPRODUCT((Labor!$G$6:$G$25=Projects!$A$12)*(Labor!$E$6:$E$25="Prime")*N(Labor!$O$6:$O$25))*(1+Rates!$B$6)*(1+Rates!$B$7)+SUMPRODUCT((Labor!$G$6:$G$25=Projects!$A$12)*(Labor!$E$6:$E$25="Sub")*N(Labor!$O$6:$O$25)))+SUMIFS(ODCs!$F$5:$F$22,ODCs!$D$5:$D$22,Projects!$A$12,ODCs!$E$5:$E$22,2)+SUMIFS(Travel!$F$5:$F$22,Travel!$D$5:$D$22,Projects!$A$12,Travel!$E$5:$E$22,2)+SUMIFS('M&amp;E'!$F$5:$F$22,'M&amp;E'!$D$5:$D$22,Projects!$A$12,'M&amp;E'!$E$5:$E$22,2))*Rates!$B$8),0))*Rates!$C$21))</f>
        <v/>
      </c>
      <c r="D53" s="132">
        <f>IF(Projects!$A$12="","",(((SUMPRODUCT((Labor!$G$6:$G$25=Projects!$A$12)*(Labor!$E$6:$E$25="Prime")*N(Labor!$S$6:$S$25))*(1+Rates!$B$6)*(1+Rates!$B$7)+SUMPRODUCT((Labor!$G$6:$G$25=Projects!$A$12)*(Labor!$E$6:$E$25="Sub")*N(Labor!$S$6:$S$25)))+SUMIFS(ODCs!$F$5:$F$22,ODCs!$D$5:$D$22,Projects!$A$12,ODCs!$E$5:$E$22,3)+SUMIFS(Travel!$F$5:$F$22,Travel!$D$5:$D$22,Projects!$A$12,Travel!$E$5:$E$22,3)+SUMIFS('M&amp;E'!$F$5:$F$22,'M&amp;E'!$D$5:$D$22,Projects!$A$12,'M&amp;E'!$E$5:$E$22,3))+(((SUMPRODUCT((Labor!$G$6:$G$25=Projects!$A$12)*(Labor!$E$6:$E$25="Prime")*N(Labor!$S$6:$S$25))*(1+Rates!$B$6)*(1+Rates!$B$7)+SUMPRODUCT((Labor!$G$6:$G$25=Projects!$A$12)*(Labor!$E$6:$E$25="Sub")*N(Labor!$S$6:$S$25)))+SUMIFS(ODCs!$F$5:$F$22,ODCs!$D$5:$D$22,Projects!$A$12,ODCs!$E$5:$E$22,3)+SUMIFS(Travel!$F$5:$F$22,Travel!$D$5:$D$22,Projects!$A$12,Travel!$E$5:$E$22,3)+SUMIFS('M&amp;E'!$F$5:$F$22,'M&amp;E'!$D$5:$D$22,Projects!$A$12,'M&amp;E'!$E$5:$E$22,3))*Rates!$B$8))+((((SUMPRODUCT((Labor!$G$6:$G$25=Projects!$A$12)*(Labor!$E$6:$E$25="Prime")*N(Labor!$S$6:$S$25))*(1+Rates!$B$6)*(1+Rates!$B$7)+SUMPRODUCT((Labor!$G$6:$G$25=Projects!$A$12)*(Labor!$E$6:$E$25="Sub")*N(Labor!$S$6:$S$25))))+IFERROR(((SUMPRODUCT((Labor!$G$6:$G$25=Projects!$A$12)*(Labor!$E$6:$E$25="Prime")*N(Labor!$S$6:$S$25))*(1+Rates!$B$6)*(1+Rates!$B$7)+SUMPRODUCT((Labor!$G$6:$G$25=Projects!$A$12)*(Labor!$E$6:$E$25="Sub")*N(Labor!$S$6:$S$25))))/((SUMPRODUCT((Labor!$G$6:$G$25=Projects!$A$12)*(Labor!$E$6:$E$25="Prime")*N(Labor!$S$6:$S$25))*(1+Rates!$B$6)*(1+Rates!$B$7)+SUMPRODUCT((Labor!$G$6:$G$25=Projects!$A$12)*(Labor!$E$6:$E$25="Sub")*N(Labor!$S$6:$S$25)))+SUMIFS(ODCs!$F$5:$F$22,ODCs!$D$5:$D$22,Projects!$A$12,ODCs!$E$5:$E$22,3)+SUMIFS(Travel!$F$5:$F$22,Travel!$D$5:$D$22,Projects!$A$12,Travel!$E$5:$E$22,3)+SUMIFS('M&amp;E'!$F$5:$F$22,'M&amp;E'!$D$5:$D$22,Projects!$A$12,'M&amp;E'!$E$5:$E$22,3))*(((SUMPRODUCT((Labor!$G$6:$G$25=Projects!$A$12)*(Labor!$E$6:$E$25="Prime")*N(Labor!$S$6:$S$25))*(1+Rates!$B$6)*(1+Rates!$B$7)+SUMPRODUCT((Labor!$G$6:$G$25=Projects!$A$12)*(Labor!$E$6:$E$25="Sub")*N(Labor!$S$6:$S$25)))+SUMIFS(ODCs!$F$5:$F$22,ODCs!$D$5:$D$22,Projects!$A$12,ODCs!$E$5:$E$22,3)+SUMIFS(Travel!$F$5:$F$22,Travel!$D$5:$D$22,Projects!$A$12,Travel!$E$5:$E$22,3)+SUMIFS('M&amp;E'!$F$5:$F$22,'M&amp;E'!$D$5:$D$22,Projects!$A$12,'M&amp;E'!$E$5:$E$22,3))*Rates!$B$8),0))*Rates!$C$18+((SUMIFS(Travel!$F$5:$F$22,Travel!$D$5:$D$22,Projects!$A$12,Travel!$E$5:$E$22,3))+IFERROR((SUMIFS(Travel!$F$5:$F$22,Travel!$D$5:$D$22,Projects!$A$12,Travel!$E$5:$E$22,3))/((SUMPRODUCT((Labor!$G$6:$G$25=Projects!$A$12)*(Labor!$E$6:$E$25="Prime")*N(Labor!$S$6:$S$25))*(1+Rates!$B$6)*(1+Rates!$B$7)+SUMPRODUCT((Labor!$G$6:$G$25=Projects!$A$12)*(Labor!$E$6:$E$25="Sub")*N(Labor!$S$6:$S$25)))+SUMIFS(ODCs!$F$5:$F$22,ODCs!$D$5:$D$22,Projects!$A$12,ODCs!$E$5:$E$22,3)+SUMIFS(Travel!$F$5:$F$22,Travel!$D$5:$D$22,Projects!$A$12,Travel!$E$5:$E$22,3)+SUMIFS('M&amp;E'!$F$5:$F$22,'M&amp;E'!$D$5:$D$22,Projects!$A$12,'M&amp;E'!$E$5:$E$22,3))*(((SUMPRODUCT((Labor!$G$6:$G$25=Projects!$A$12)*(Labor!$E$6:$E$25="Prime")*N(Labor!$S$6:$S$25))*(1+Rates!$B$6)*(1+Rates!$B$7)+SUMPRODUCT((Labor!$G$6:$G$25=Projects!$A$12)*(Labor!$E$6:$E$25="Sub")*N(Labor!$S$6:$S$25)))+SUMIFS(ODCs!$F$5:$F$22,ODCs!$D$5:$D$22,Projects!$A$12,ODCs!$E$5:$E$22,3)+SUMIFS(Travel!$F$5:$F$22,Travel!$D$5:$D$22,Projects!$A$12,Travel!$E$5:$E$22,3)+SUMIFS('M&amp;E'!$F$5:$F$22,'M&amp;E'!$D$5:$D$22,Projects!$A$12,'M&amp;E'!$E$5:$E$22,3))*Rates!$B$8),0))*Rates!$C$19+((SUMIFS(ODCs!$F$5:$F$22,ODCs!$D$5:$D$22,Projects!$A$12,ODCs!$E$5:$E$22,3))+IFERROR((SUMIFS(ODCs!$F$5:$F$22,ODCs!$D$5:$D$22,Projects!$A$12,ODCs!$E$5:$E$22,3))/((SUMPRODUCT((Labor!$G$6:$G$25=Projects!$A$12)*(Labor!$E$6:$E$25="Prime")*N(Labor!$S$6:$S$25))*(1+Rates!$B$6)*(1+Rates!$B$7)+SUMPRODUCT((Labor!$G$6:$G$25=Projects!$A$12)*(Labor!$E$6:$E$25="Sub")*N(Labor!$S$6:$S$25)))+SUMIFS(ODCs!$F$5:$F$22,ODCs!$D$5:$D$22,Projects!$A$12,ODCs!$E$5:$E$22,3)+SUMIFS(Travel!$F$5:$F$22,Travel!$D$5:$D$22,Projects!$A$12,Travel!$E$5:$E$22,3)+SUMIFS('M&amp;E'!$F$5:$F$22,'M&amp;E'!$D$5:$D$22,Projects!$A$12,'M&amp;E'!$E$5:$E$22,3))*(((SUMPRODUCT((Labor!$G$6:$G$25=Projects!$A$12)*(Labor!$E$6:$E$25="Prime")*N(Labor!$S$6:$S$25))*(1+Rates!$B$6)*(1+Rates!$B$7)+SUMPRODUCT((Labor!$G$6:$G$25=Projects!$A$12)*(Labor!$E$6:$E$25="Sub")*N(Labor!$S$6:$S$25)))+SUMIFS(ODCs!$F$5:$F$22,ODCs!$D$5:$D$22,Projects!$A$12,ODCs!$E$5:$E$22,3)+SUMIFS(Travel!$F$5:$F$22,Travel!$D$5:$D$22,Projects!$A$12,Travel!$E$5:$E$22,3)+SUMIFS('M&amp;E'!$F$5:$F$22,'M&amp;E'!$D$5:$D$22,Projects!$A$12,'M&amp;E'!$E$5:$E$22,3))*Rates!$B$8),0))*Rates!$C$20+((SUMIFS('M&amp;E'!$F$5:$F$22,'M&amp;E'!$D$5:$D$22,Projects!$A$12,'M&amp;E'!$E$5:$E$22,3))+IFERROR((SUMIFS('M&amp;E'!$F$5:$F$22,'M&amp;E'!$D$5:$D$22,Projects!$A$12,'M&amp;E'!$E$5:$E$22,3))/((SUMPRODUCT((Labor!$G$6:$G$25=Projects!$A$12)*(Labor!$E$6:$E$25="Prime")*N(Labor!$S$6:$S$25))*(1+Rates!$B$6)*(1+Rates!$B$7)+SUMPRODUCT((Labor!$G$6:$G$25=Projects!$A$12)*(Labor!$E$6:$E$25="Sub")*N(Labor!$S$6:$S$25)))+SUMIFS(ODCs!$F$5:$F$22,ODCs!$D$5:$D$22,Projects!$A$12,ODCs!$E$5:$E$22,3)+SUMIFS(Travel!$F$5:$F$22,Travel!$D$5:$D$22,Projects!$A$12,Travel!$E$5:$E$22,3)+SUMIFS('M&amp;E'!$F$5:$F$22,'M&amp;E'!$D$5:$D$22,Projects!$A$12,'M&amp;E'!$E$5:$E$22,3))*(((SUMPRODUCT((Labor!$G$6:$G$25=Projects!$A$12)*(Labor!$E$6:$E$25="Prime")*N(Labor!$S$6:$S$25))*(1+Rates!$B$6)*(1+Rates!$B$7)+SUMPRODUCT((Labor!$G$6:$G$25=Projects!$A$12)*(Labor!$E$6:$E$25="Sub")*N(Labor!$S$6:$S$25)))+SUMIFS(ODCs!$F$5:$F$22,ODCs!$D$5:$D$22,Projects!$A$12,ODCs!$E$5:$E$22,3)+SUMIFS(Travel!$F$5:$F$22,Travel!$D$5:$D$22,Projects!$A$12,Travel!$E$5:$E$22,3)+SUMIFS('M&amp;E'!$F$5:$F$22,'M&amp;E'!$D$5:$D$22,Projects!$A$12,'M&amp;E'!$E$5:$E$22,3))*Rates!$B$8),0))*Rates!$C$21))</f>
        <v/>
      </c>
      <c r="E53" s="132">
        <f>IF(Projects!$A$12="","",(((SUMPRODUCT((Labor!$G$6:$G$25=Projects!$A$12)*(Labor!$E$6:$E$25="Prime")*N(Labor!$W$6:$W$25))*(1+Rates!$B$6)*(1+Rates!$B$7)+SUMPRODUCT((Labor!$G$6:$G$25=Projects!$A$12)*(Labor!$E$6:$E$25="Sub")*N(Labor!$W$6:$W$25)))+SUMIFS(ODCs!$F$5:$F$22,ODCs!$D$5:$D$22,Projects!$A$12,ODCs!$E$5:$E$22,4)+SUMIFS(Travel!$F$5:$F$22,Travel!$D$5:$D$22,Projects!$A$12,Travel!$E$5:$E$22,4)+SUMIFS('M&amp;E'!$F$5:$F$22,'M&amp;E'!$D$5:$D$22,Projects!$A$12,'M&amp;E'!$E$5:$E$22,4))+(((SUMPRODUCT((Labor!$G$6:$G$25=Projects!$A$12)*(Labor!$E$6:$E$25="Prime")*N(Labor!$W$6:$W$25))*(1+Rates!$B$6)*(1+Rates!$B$7)+SUMPRODUCT((Labor!$G$6:$G$25=Projects!$A$12)*(Labor!$E$6:$E$25="Sub")*N(Labor!$W$6:$W$25)))+SUMIFS(ODCs!$F$5:$F$22,ODCs!$D$5:$D$22,Projects!$A$12,ODCs!$E$5:$E$22,4)+SUMIFS(Travel!$F$5:$F$22,Travel!$D$5:$D$22,Projects!$A$12,Travel!$E$5:$E$22,4)+SUMIFS('M&amp;E'!$F$5:$F$22,'M&amp;E'!$D$5:$D$22,Projects!$A$12,'M&amp;E'!$E$5:$E$22,4))*Rates!$B$8))+((((SUMPRODUCT((Labor!$G$6:$G$25=Projects!$A$12)*(Labor!$E$6:$E$25="Prime")*N(Labor!$W$6:$W$25))*(1+Rates!$B$6)*(1+Rates!$B$7)+SUMPRODUCT((Labor!$G$6:$G$25=Projects!$A$12)*(Labor!$E$6:$E$25="Sub")*N(Labor!$W$6:$W$25))))+IFERROR(((SUMPRODUCT((Labor!$G$6:$G$25=Projects!$A$12)*(Labor!$E$6:$E$25="Prime")*N(Labor!$W$6:$W$25))*(1+Rates!$B$6)*(1+Rates!$B$7)+SUMPRODUCT((Labor!$G$6:$G$25=Projects!$A$12)*(Labor!$E$6:$E$25="Sub")*N(Labor!$W$6:$W$25))))/((SUMPRODUCT((Labor!$G$6:$G$25=Projects!$A$12)*(Labor!$E$6:$E$25="Prime")*N(Labor!$W$6:$W$25))*(1+Rates!$B$6)*(1+Rates!$B$7)+SUMPRODUCT((Labor!$G$6:$G$25=Projects!$A$12)*(Labor!$E$6:$E$25="Sub")*N(Labor!$W$6:$W$25)))+SUMIFS(ODCs!$F$5:$F$22,ODCs!$D$5:$D$22,Projects!$A$12,ODCs!$E$5:$E$22,4)+SUMIFS(Travel!$F$5:$F$22,Travel!$D$5:$D$22,Projects!$A$12,Travel!$E$5:$E$22,4)+SUMIFS('M&amp;E'!$F$5:$F$22,'M&amp;E'!$D$5:$D$22,Projects!$A$12,'M&amp;E'!$E$5:$E$22,4))*(((SUMPRODUCT((Labor!$G$6:$G$25=Projects!$A$12)*(Labor!$E$6:$E$25="Prime")*N(Labor!$W$6:$W$25))*(1+Rates!$B$6)*(1+Rates!$B$7)+SUMPRODUCT((Labor!$G$6:$G$25=Projects!$A$12)*(Labor!$E$6:$E$25="Sub")*N(Labor!$W$6:$W$25)))+SUMIFS(ODCs!$F$5:$F$22,ODCs!$D$5:$D$22,Projects!$A$12,ODCs!$E$5:$E$22,4)+SUMIFS(Travel!$F$5:$F$22,Travel!$D$5:$D$22,Projects!$A$12,Travel!$E$5:$E$22,4)+SUMIFS('M&amp;E'!$F$5:$F$22,'M&amp;E'!$D$5:$D$22,Projects!$A$12,'M&amp;E'!$E$5:$E$22,4))*Rates!$B$8),0))*Rates!$C$18+((SUMIFS(Travel!$F$5:$F$22,Travel!$D$5:$D$22,Projects!$A$12,Travel!$E$5:$E$22,4))+IFERROR((SUMIFS(Travel!$F$5:$F$22,Travel!$D$5:$D$22,Projects!$A$12,Travel!$E$5:$E$22,4))/((SUMPRODUCT((Labor!$G$6:$G$25=Projects!$A$12)*(Labor!$E$6:$E$25="Prime")*N(Labor!$W$6:$W$25))*(1+Rates!$B$6)*(1+Rates!$B$7)+SUMPRODUCT((Labor!$G$6:$G$25=Projects!$A$12)*(Labor!$E$6:$E$25="Sub")*N(Labor!$W$6:$W$25)))+SUMIFS(ODCs!$F$5:$F$22,ODCs!$D$5:$D$22,Projects!$A$12,ODCs!$E$5:$E$22,4)+SUMIFS(Travel!$F$5:$F$22,Travel!$D$5:$D$22,Projects!$A$12,Travel!$E$5:$E$22,4)+SUMIFS('M&amp;E'!$F$5:$F$22,'M&amp;E'!$D$5:$D$22,Projects!$A$12,'M&amp;E'!$E$5:$E$22,4))*(((SUMPRODUCT((Labor!$G$6:$G$25=Projects!$A$12)*(Labor!$E$6:$E$25="Prime")*N(Labor!$W$6:$W$25))*(1+Rates!$B$6)*(1+Rates!$B$7)+SUMPRODUCT((Labor!$G$6:$G$25=Projects!$A$12)*(Labor!$E$6:$E$25="Sub")*N(Labor!$W$6:$W$25)))+SUMIFS(ODCs!$F$5:$F$22,ODCs!$D$5:$D$22,Projects!$A$12,ODCs!$E$5:$E$22,4)+SUMIFS(Travel!$F$5:$F$22,Travel!$D$5:$D$22,Projects!$A$12,Travel!$E$5:$E$22,4)+SUMIFS('M&amp;E'!$F$5:$F$22,'M&amp;E'!$D$5:$D$22,Projects!$A$12,'M&amp;E'!$E$5:$E$22,4))*Rates!$B$8),0))*Rates!$C$19+((SUMIFS(ODCs!$F$5:$F$22,ODCs!$D$5:$D$22,Projects!$A$12,ODCs!$E$5:$E$22,4))+IFERROR((SUMIFS(ODCs!$F$5:$F$22,ODCs!$D$5:$D$22,Projects!$A$12,ODCs!$E$5:$E$22,4))/((SUMPRODUCT((Labor!$G$6:$G$25=Projects!$A$12)*(Labor!$E$6:$E$25="Prime")*N(Labor!$W$6:$W$25))*(1+Rates!$B$6)*(1+Rates!$B$7)+SUMPRODUCT((Labor!$G$6:$G$25=Projects!$A$12)*(Labor!$E$6:$E$25="Sub")*N(Labor!$W$6:$W$25)))+SUMIFS(ODCs!$F$5:$F$22,ODCs!$D$5:$D$22,Projects!$A$12,ODCs!$E$5:$E$22,4)+SUMIFS(Travel!$F$5:$F$22,Travel!$D$5:$D$22,Projects!$A$12,Travel!$E$5:$E$22,4)+SUMIFS('M&amp;E'!$F$5:$F$22,'M&amp;E'!$D$5:$D$22,Projects!$A$12,'M&amp;E'!$E$5:$E$22,4))*(((SUMPRODUCT((Labor!$G$6:$G$25=Projects!$A$12)*(Labor!$E$6:$E$25="Prime")*N(Labor!$W$6:$W$25))*(1+Rates!$B$6)*(1+Rates!$B$7)+SUMPRODUCT((Labor!$G$6:$G$25=Projects!$A$12)*(Labor!$E$6:$E$25="Sub")*N(Labor!$W$6:$W$25)))+SUMIFS(ODCs!$F$5:$F$22,ODCs!$D$5:$D$22,Projects!$A$12,ODCs!$E$5:$E$22,4)+SUMIFS(Travel!$F$5:$F$22,Travel!$D$5:$D$22,Projects!$A$12,Travel!$E$5:$E$22,4)+SUMIFS('M&amp;E'!$F$5:$F$22,'M&amp;E'!$D$5:$D$22,Projects!$A$12,'M&amp;E'!$E$5:$E$22,4))*Rates!$B$8),0))*Rates!$C$20+((SUMIFS('M&amp;E'!$F$5:$F$22,'M&amp;E'!$D$5:$D$22,Projects!$A$12,'M&amp;E'!$E$5:$E$22,4))+IFERROR((SUMIFS('M&amp;E'!$F$5:$F$22,'M&amp;E'!$D$5:$D$22,Projects!$A$12,'M&amp;E'!$E$5:$E$22,4))/((SUMPRODUCT((Labor!$G$6:$G$25=Projects!$A$12)*(Labor!$E$6:$E$25="Prime")*N(Labor!$W$6:$W$25))*(1+Rates!$B$6)*(1+Rates!$B$7)+SUMPRODUCT((Labor!$G$6:$G$25=Projects!$A$12)*(Labor!$E$6:$E$25="Sub")*N(Labor!$W$6:$W$25)))+SUMIFS(ODCs!$F$5:$F$22,ODCs!$D$5:$D$22,Projects!$A$12,ODCs!$E$5:$E$22,4)+SUMIFS(Travel!$F$5:$F$22,Travel!$D$5:$D$22,Projects!$A$12,Travel!$E$5:$E$22,4)+SUMIFS('M&amp;E'!$F$5:$F$22,'M&amp;E'!$D$5:$D$22,Projects!$A$12,'M&amp;E'!$E$5:$E$22,4))*(((SUMPRODUCT((Labor!$G$6:$G$25=Projects!$A$12)*(Labor!$E$6:$E$25="Prime")*N(Labor!$W$6:$W$25))*(1+Rates!$B$6)*(1+Rates!$B$7)+SUMPRODUCT((Labor!$G$6:$G$25=Projects!$A$12)*(Labor!$E$6:$E$25="Sub")*N(Labor!$W$6:$W$25)))+SUMIFS(ODCs!$F$5:$F$22,ODCs!$D$5:$D$22,Projects!$A$12,ODCs!$E$5:$E$22,4)+SUMIFS(Travel!$F$5:$F$22,Travel!$D$5:$D$22,Projects!$A$12,Travel!$E$5:$E$22,4)+SUMIFS('M&amp;E'!$F$5:$F$22,'M&amp;E'!$D$5:$D$22,Projects!$A$12,'M&amp;E'!$E$5:$E$22,4))*Rates!$B$8),0))*Rates!$C$21))</f>
        <v/>
      </c>
      <c r="F53" s="132">
        <f>IF(Projects!$A$12="","",(((SUMPRODUCT((Labor!$G$6:$G$25=Projects!$A$12)*(Labor!$E$6:$E$25="Prime")*N(Labor!$AA$6:$AA$25))*(1+Rates!$B$6)*(1+Rates!$B$7)+SUMPRODUCT((Labor!$G$6:$G$25=Projects!$A$12)*(Labor!$E$6:$E$25="Sub")*N(Labor!$AA$6:$AA$25)))+SUMIFS(ODCs!$F$5:$F$22,ODCs!$D$5:$D$22,Projects!$A$12,ODCs!$E$5:$E$22,5)+SUMIFS(Travel!$F$5:$F$22,Travel!$D$5:$D$22,Projects!$A$12,Travel!$E$5:$E$22,5)+SUMIFS('M&amp;E'!$F$5:$F$22,'M&amp;E'!$D$5:$D$22,Projects!$A$12,'M&amp;E'!$E$5:$E$22,5))+(((SUMPRODUCT((Labor!$G$6:$G$25=Projects!$A$12)*(Labor!$E$6:$E$25="Prime")*N(Labor!$AA$6:$AA$25))*(1+Rates!$B$6)*(1+Rates!$B$7)+SUMPRODUCT((Labor!$G$6:$G$25=Projects!$A$12)*(Labor!$E$6:$E$25="Sub")*N(Labor!$AA$6:$AA$25)))+SUMIFS(ODCs!$F$5:$F$22,ODCs!$D$5:$D$22,Projects!$A$12,ODCs!$E$5:$E$22,5)+SUMIFS(Travel!$F$5:$F$22,Travel!$D$5:$D$22,Projects!$A$12,Travel!$E$5:$E$22,5)+SUMIFS('M&amp;E'!$F$5:$F$22,'M&amp;E'!$D$5:$D$22,Projects!$A$12,'M&amp;E'!$E$5:$E$22,5))*Rates!$B$8))+((((SUMPRODUCT((Labor!$G$6:$G$25=Projects!$A$12)*(Labor!$E$6:$E$25="Prime")*N(Labor!$AA$6:$AA$25))*(1+Rates!$B$6)*(1+Rates!$B$7)+SUMPRODUCT((Labor!$G$6:$G$25=Projects!$A$12)*(Labor!$E$6:$E$25="Sub")*N(Labor!$AA$6:$AA$25))))+IFERROR(((SUMPRODUCT((Labor!$G$6:$G$25=Projects!$A$12)*(Labor!$E$6:$E$25="Prime")*N(Labor!$AA$6:$AA$25))*(1+Rates!$B$6)*(1+Rates!$B$7)+SUMPRODUCT((Labor!$G$6:$G$25=Projects!$A$12)*(Labor!$E$6:$E$25="Sub")*N(Labor!$AA$6:$AA$25))))/((SUMPRODUCT((Labor!$G$6:$G$25=Projects!$A$12)*(Labor!$E$6:$E$25="Prime")*N(Labor!$AA$6:$AA$25))*(1+Rates!$B$6)*(1+Rates!$B$7)+SUMPRODUCT((Labor!$G$6:$G$25=Projects!$A$12)*(Labor!$E$6:$E$25="Sub")*N(Labor!$AA$6:$AA$25)))+SUMIFS(ODCs!$F$5:$F$22,ODCs!$D$5:$D$22,Projects!$A$12,ODCs!$E$5:$E$22,5)+SUMIFS(Travel!$F$5:$F$22,Travel!$D$5:$D$22,Projects!$A$12,Travel!$E$5:$E$22,5)+SUMIFS('M&amp;E'!$F$5:$F$22,'M&amp;E'!$D$5:$D$22,Projects!$A$12,'M&amp;E'!$E$5:$E$22,5))*(((SUMPRODUCT((Labor!$G$6:$G$25=Projects!$A$12)*(Labor!$E$6:$E$25="Prime")*N(Labor!$AA$6:$AA$25))*(1+Rates!$B$6)*(1+Rates!$B$7)+SUMPRODUCT((Labor!$G$6:$G$25=Projects!$A$12)*(Labor!$E$6:$E$25="Sub")*N(Labor!$AA$6:$AA$25)))+SUMIFS(ODCs!$F$5:$F$22,ODCs!$D$5:$D$22,Projects!$A$12,ODCs!$E$5:$E$22,5)+SUMIFS(Travel!$F$5:$F$22,Travel!$D$5:$D$22,Projects!$A$12,Travel!$E$5:$E$22,5)+SUMIFS('M&amp;E'!$F$5:$F$22,'M&amp;E'!$D$5:$D$22,Projects!$A$12,'M&amp;E'!$E$5:$E$22,5))*Rates!$B$8),0))*Rates!$C$18+((SUMIFS(Travel!$F$5:$F$22,Travel!$D$5:$D$22,Projects!$A$12,Travel!$E$5:$E$22,5))+IFERROR((SUMIFS(Travel!$F$5:$F$22,Travel!$D$5:$D$22,Projects!$A$12,Travel!$E$5:$E$22,5))/((SUMPRODUCT((Labor!$G$6:$G$25=Projects!$A$12)*(Labor!$E$6:$E$25="Prime")*N(Labor!$AA$6:$AA$25))*(1+Rates!$B$6)*(1+Rates!$B$7)+SUMPRODUCT((Labor!$G$6:$G$25=Projects!$A$12)*(Labor!$E$6:$E$25="Sub")*N(Labor!$AA$6:$AA$25)))+SUMIFS(ODCs!$F$5:$F$22,ODCs!$D$5:$D$22,Projects!$A$12,ODCs!$E$5:$E$22,5)+SUMIFS(Travel!$F$5:$F$22,Travel!$D$5:$D$22,Projects!$A$12,Travel!$E$5:$E$22,5)+SUMIFS('M&amp;E'!$F$5:$F$22,'M&amp;E'!$D$5:$D$22,Projects!$A$12,'M&amp;E'!$E$5:$E$22,5))*(((SUMPRODUCT((Labor!$G$6:$G$25=Projects!$A$12)*(Labor!$E$6:$E$25="Prime")*N(Labor!$AA$6:$AA$25))*(1+Rates!$B$6)*(1+Rates!$B$7)+SUMPRODUCT((Labor!$G$6:$G$25=Projects!$A$12)*(Labor!$E$6:$E$25="Sub")*N(Labor!$AA$6:$AA$25)))+SUMIFS(ODCs!$F$5:$F$22,ODCs!$D$5:$D$22,Projects!$A$12,ODCs!$E$5:$E$22,5)+SUMIFS(Travel!$F$5:$F$22,Travel!$D$5:$D$22,Projects!$A$12,Travel!$E$5:$E$22,5)+SUMIFS('M&amp;E'!$F$5:$F$22,'M&amp;E'!$D$5:$D$22,Projects!$A$12,'M&amp;E'!$E$5:$E$22,5))*Rates!$B$8),0))*Rates!$C$19+((SUMIFS(ODCs!$F$5:$F$22,ODCs!$D$5:$D$22,Projects!$A$12,ODCs!$E$5:$E$22,5))+IFERROR((SUMIFS(ODCs!$F$5:$F$22,ODCs!$D$5:$D$22,Projects!$A$12,ODCs!$E$5:$E$22,5))/((SUMPRODUCT((Labor!$G$6:$G$25=Projects!$A$12)*(Labor!$E$6:$E$25="Prime")*N(Labor!$AA$6:$AA$25))*(1+Rates!$B$6)*(1+Rates!$B$7)+SUMPRODUCT((Labor!$G$6:$G$25=Projects!$A$12)*(Labor!$E$6:$E$25="Sub")*N(Labor!$AA$6:$AA$25)))+SUMIFS(ODCs!$F$5:$F$22,ODCs!$D$5:$D$22,Projects!$A$12,ODCs!$E$5:$E$22,5)+SUMIFS(Travel!$F$5:$F$22,Travel!$D$5:$D$22,Projects!$A$12,Travel!$E$5:$E$22,5)+SUMIFS('M&amp;E'!$F$5:$F$22,'M&amp;E'!$D$5:$D$22,Projects!$A$12,'M&amp;E'!$E$5:$E$22,5))*(((SUMPRODUCT((Labor!$G$6:$G$25=Projects!$A$12)*(Labor!$E$6:$E$25="Prime")*N(Labor!$AA$6:$AA$25))*(1+Rates!$B$6)*(1+Rates!$B$7)+SUMPRODUCT((Labor!$G$6:$G$25=Projects!$A$12)*(Labor!$E$6:$E$25="Sub")*N(Labor!$AA$6:$AA$25)))+SUMIFS(ODCs!$F$5:$F$22,ODCs!$D$5:$D$22,Projects!$A$12,ODCs!$E$5:$E$22,5)+SUMIFS(Travel!$F$5:$F$22,Travel!$D$5:$D$22,Projects!$A$12,Travel!$E$5:$E$22,5)+SUMIFS('M&amp;E'!$F$5:$F$22,'M&amp;E'!$D$5:$D$22,Projects!$A$12,'M&amp;E'!$E$5:$E$22,5))*Rates!$B$8),0))*Rates!$C$20+((SUMIFS('M&amp;E'!$F$5:$F$22,'M&amp;E'!$D$5:$D$22,Projects!$A$12,'M&amp;E'!$E$5:$E$22,5))+IFERROR((SUMIFS('M&amp;E'!$F$5:$F$22,'M&amp;E'!$D$5:$D$22,Projects!$A$12,'M&amp;E'!$E$5:$E$22,5))/((SUMPRODUCT((Labor!$G$6:$G$25=Projects!$A$12)*(Labor!$E$6:$E$25="Prime")*N(Labor!$AA$6:$AA$25))*(1+Rates!$B$6)*(1+Rates!$B$7)+SUMPRODUCT((Labor!$G$6:$G$25=Projects!$A$12)*(Labor!$E$6:$E$25="Sub")*N(Labor!$AA$6:$AA$25)))+SUMIFS(ODCs!$F$5:$F$22,ODCs!$D$5:$D$22,Projects!$A$12,ODCs!$E$5:$E$22,5)+SUMIFS(Travel!$F$5:$F$22,Travel!$D$5:$D$22,Projects!$A$12,Travel!$E$5:$E$22,5)+SUMIFS('M&amp;E'!$F$5:$F$22,'M&amp;E'!$D$5:$D$22,Projects!$A$12,'M&amp;E'!$E$5:$E$22,5))*(((SUMPRODUCT((Labor!$G$6:$G$25=Projects!$A$12)*(Labor!$E$6:$E$25="Prime")*N(Labor!$AA$6:$AA$25))*(1+Rates!$B$6)*(1+Rates!$B$7)+SUMPRODUCT((Labor!$G$6:$G$25=Projects!$A$12)*(Labor!$E$6:$E$25="Sub")*N(Labor!$AA$6:$AA$25)))+SUMIFS(ODCs!$F$5:$F$22,ODCs!$D$5:$D$22,Projects!$A$12,ODCs!$E$5:$E$22,5)+SUMIFS(Travel!$F$5:$F$22,Travel!$D$5:$D$22,Projects!$A$12,Travel!$E$5:$E$22,5)+SUMIFS('M&amp;E'!$F$5:$F$22,'M&amp;E'!$D$5:$D$22,Projects!$A$12,'M&amp;E'!$E$5:$E$22,5))*Rates!$B$8),0))*Rates!$C$21))</f>
        <v/>
      </c>
      <c r="G53" s="132">
        <f>IF(Projects!$A$12="","",(((SUMPRODUCT((Labor!$G$6:$G$25=Projects!$A$12)*(Labor!$E$6:$E$25="Prime")*N(Labor!$AE$6:$AE$25))*(1+Rates!$B$6)*(1+Rates!$B$7)+SUMPRODUCT((Labor!$G$6:$G$25=Projects!$A$12)*(Labor!$E$6:$E$25="Sub")*N(Labor!$AE$6:$AE$25)))+SUMIFS(ODCs!$F$5:$F$22,ODCs!$D$5:$D$22,Projects!$A$12,ODCs!$E$5:$E$22,6)+SUMIFS(Travel!$F$5:$F$22,Travel!$D$5:$D$22,Projects!$A$12,Travel!$E$5:$E$22,6)+SUMIFS('M&amp;E'!$F$5:$F$22,'M&amp;E'!$D$5:$D$22,Projects!$A$12,'M&amp;E'!$E$5:$E$22,6))+(((SUMPRODUCT((Labor!$G$6:$G$25=Projects!$A$12)*(Labor!$E$6:$E$25="Prime")*N(Labor!$AE$6:$AE$25))*(1+Rates!$B$6)*(1+Rates!$B$7)+SUMPRODUCT((Labor!$G$6:$G$25=Projects!$A$12)*(Labor!$E$6:$E$25="Sub")*N(Labor!$AE$6:$AE$25)))+SUMIFS(ODCs!$F$5:$F$22,ODCs!$D$5:$D$22,Projects!$A$12,ODCs!$E$5:$E$22,6)+SUMIFS(Travel!$F$5:$F$22,Travel!$D$5:$D$22,Projects!$A$12,Travel!$E$5:$E$22,6)+SUMIFS('M&amp;E'!$F$5:$F$22,'M&amp;E'!$D$5:$D$22,Projects!$A$12,'M&amp;E'!$E$5:$E$22,6))*Rates!$B$8))+((((SUMPRODUCT((Labor!$G$6:$G$25=Projects!$A$12)*(Labor!$E$6:$E$25="Prime")*N(Labor!$AE$6:$AE$25))*(1+Rates!$B$6)*(1+Rates!$B$7)+SUMPRODUCT((Labor!$G$6:$G$25=Projects!$A$12)*(Labor!$E$6:$E$25="Sub")*N(Labor!$AE$6:$AE$25))))+IFERROR(((SUMPRODUCT((Labor!$G$6:$G$25=Projects!$A$12)*(Labor!$E$6:$E$25="Prime")*N(Labor!$AE$6:$AE$25))*(1+Rates!$B$6)*(1+Rates!$B$7)+SUMPRODUCT((Labor!$G$6:$G$25=Projects!$A$12)*(Labor!$E$6:$E$25="Sub")*N(Labor!$AE$6:$AE$25))))/((SUMPRODUCT((Labor!$G$6:$G$25=Projects!$A$12)*(Labor!$E$6:$E$25="Prime")*N(Labor!$AE$6:$AE$25))*(1+Rates!$B$6)*(1+Rates!$B$7)+SUMPRODUCT((Labor!$G$6:$G$25=Projects!$A$12)*(Labor!$E$6:$E$25="Sub")*N(Labor!$AE$6:$AE$25)))+SUMIFS(ODCs!$F$5:$F$22,ODCs!$D$5:$D$22,Projects!$A$12,ODCs!$E$5:$E$22,6)+SUMIFS(Travel!$F$5:$F$22,Travel!$D$5:$D$22,Projects!$A$12,Travel!$E$5:$E$22,6)+SUMIFS('M&amp;E'!$F$5:$F$22,'M&amp;E'!$D$5:$D$22,Projects!$A$12,'M&amp;E'!$E$5:$E$22,6))*(((SUMPRODUCT((Labor!$G$6:$G$25=Projects!$A$12)*(Labor!$E$6:$E$25="Prime")*N(Labor!$AE$6:$AE$25))*(1+Rates!$B$6)*(1+Rates!$B$7)+SUMPRODUCT((Labor!$G$6:$G$25=Projects!$A$12)*(Labor!$E$6:$E$25="Sub")*N(Labor!$AE$6:$AE$25)))+SUMIFS(ODCs!$F$5:$F$22,ODCs!$D$5:$D$22,Projects!$A$12,ODCs!$E$5:$E$22,6)+SUMIFS(Travel!$F$5:$F$22,Travel!$D$5:$D$22,Projects!$A$12,Travel!$E$5:$E$22,6)+SUMIFS('M&amp;E'!$F$5:$F$22,'M&amp;E'!$D$5:$D$22,Projects!$A$12,'M&amp;E'!$E$5:$E$22,6))*Rates!$B$8),0))*Rates!$C$18+((SUMIFS(Travel!$F$5:$F$22,Travel!$D$5:$D$22,Projects!$A$12,Travel!$E$5:$E$22,6))+IFERROR((SUMIFS(Travel!$F$5:$F$22,Travel!$D$5:$D$22,Projects!$A$12,Travel!$E$5:$E$22,6))/((SUMPRODUCT((Labor!$G$6:$G$25=Projects!$A$12)*(Labor!$E$6:$E$25="Prime")*N(Labor!$AE$6:$AE$25))*(1+Rates!$B$6)*(1+Rates!$B$7)+SUMPRODUCT((Labor!$G$6:$G$25=Projects!$A$12)*(Labor!$E$6:$E$25="Sub")*N(Labor!$AE$6:$AE$25)))+SUMIFS(ODCs!$F$5:$F$22,ODCs!$D$5:$D$22,Projects!$A$12,ODCs!$E$5:$E$22,6)+SUMIFS(Travel!$F$5:$F$22,Travel!$D$5:$D$22,Projects!$A$12,Travel!$E$5:$E$22,6)+SUMIFS('M&amp;E'!$F$5:$F$22,'M&amp;E'!$D$5:$D$22,Projects!$A$12,'M&amp;E'!$E$5:$E$22,6))*(((SUMPRODUCT((Labor!$G$6:$G$25=Projects!$A$12)*(Labor!$E$6:$E$25="Prime")*N(Labor!$AE$6:$AE$25))*(1+Rates!$B$6)*(1+Rates!$B$7)+SUMPRODUCT((Labor!$G$6:$G$25=Projects!$A$12)*(Labor!$E$6:$E$25="Sub")*N(Labor!$AE$6:$AE$25)))+SUMIFS(ODCs!$F$5:$F$22,ODCs!$D$5:$D$22,Projects!$A$12,ODCs!$E$5:$E$22,6)+SUMIFS(Travel!$F$5:$F$22,Travel!$D$5:$D$22,Projects!$A$12,Travel!$E$5:$E$22,6)+SUMIFS('M&amp;E'!$F$5:$F$22,'M&amp;E'!$D$5:$D$22,Projects!$A$12,'M&amp;E'!$E$5:$E$22,6))*Rates!$B$8),0))*Rates!$C$19+((SUMIFS(ODCs!$F$5:$F$22,ODCs!$D$5:$D$22,Projects!$A$12,ODCs!$E$5:$E$22,6))+IFERROR((SUMIFS(ODCs!$F$5:$F$22,ODCs!$D$5:$D$22,Projects!$A$12,ODCs!$E$5:$E$22,6))/((SUMPRODUCT((Labor!$G$6:$G$25=Projects!$A$12)*(Labor!$E$6:$E$25="Prime")*N(Labor!$AE$6:$AE$25))*(1+Rates!$B$6)*(1+Rates!$B$7)+SUMPRODUCT((Labor!$G$6:$G$25=Projects!$A$12)*(Labor!$E$6:$E$25="Sub")*N(Labor!$AE$6:$AE$25)))+SUMIFS(ODCs!$F$5:$F$22,ODCs!$D$5:$D$22,Projects!$A$12,ODCs!$E$5:$E$22,6)+SUMIFS(Travel!$F$5:$F$22,Travel!$D$5:$D$22,Projects!$A$12,Travel!$E$5:$E$22,6)+SUMIFS('M&amp;E'!$F$5:$F$22,'M&amp;E'!$D$5:$D$22,Projects!$A$12,'M&amp;E'!$E$5:$E$22,6))*(((SUMPRODUCT((Labor!$G$6:$G$25=Projects!$A$12)*(Labor!$E$6:$E$25="Prime")*N(Labor!$AE$6:$AE$25))*(1+Rates!$B$6)*(1+Rates!$B$7)+SUMPRODUCT((Labor!$G$6:$G$25=Projects!$A$12)*(Labor!$E$6:$E$25="Sub")*N(Labor!$AE$6:$AE$25)))+SUMIFS(ODCs!$F$5:$F$22,ODCs!$D$5:$D$22,Projects!$A$12,ODCs!$E$5:$E$22,6)+SUMIFS(Travel!$F$5:$F$22,Travel!$D$5:$D$22,Projects!$A$12,Travel!$E$5:$E$22,6)+SUMIFS('M&amp;E'!$F$5:$F$22,'M&amp;E'!$D$5:$D$22,Projects!$A$12,'M&amp;E'!$E$5:$E$22,6))*Rates!$B$8),0))*Rates!$C$20+((SUMIFS('M&amp;E'!$F$5:$F$22,'M&amp;E'!$D$5:$D$22,Projects!$A$12,'M&amp;E'!$E$5:$E$22,6))+IFERROR((SUMIFS('M&amp;E'!$F$5:$F$22,'M&amp;E'!$D$5:$D$22,Projects!$A$12,'M&amp;E'!$E$5:$E$22,6))/((SUMPRODUCT((Labor!$G$6:$G$25=Projects!$A$12)*(Labor!$E$6:$E$25="Prime")*N(Labor!$AE$6:$AE$25))*(1+Rates!$B$6)*(1+Rates!$B$7)+SUMPRODUCT((Labor!$G$6:$G$25=Projects!$A$12)*(Labor!$E$6:$E$25="Sub")*N(Labor!$AE$6:$AE$25)))+SUMIFS(ODCs!$F$5:$F$22,ODCs!$D$5:$D$22,Projects!$A$12,ODCs!$E$5:$E$22,6)+SUMIFS(Travel!$F$5:$F$22,Travel!$D$5:$D$22,Projects!$A$12,Travel!$E$5:$E$22,6)+SUMIFS('M&amp;E'!$F$5:$F$22,'M&amp;E'!$D$5:$D$22,Projects!$A$12,'M&amp;E'!$E$5:$E$22,6))*(((SUMPRODUCT((Labor!$G$6:$G$25=Projects!$A$12)*(Labor!$E$6:$E$25="Prime")*N(Labor!$AE$6:$AE$25))*(1+Rates!$B$6)*(1+Rates!$B$7)+SUMPRODUCT((Labor!$G$6:$G$25=Projects!$A$12)*(Labor!$E$6:$E$25="Sub")*N(Labor!$AE$6:$AE$25)))+SUMIFS(ODCs!$F$5:$F$22,ODCs!$D$5:$D$22,Projects!$A$12,ODCs!$E$5:$E$22,6)+SUMIFS(Travel!$F$5:$F$22,Travel!$D$5:$D$22,Projects!$A$12,Travel!$E$5:$E$22,6)+SUMIFS('M&amp;E'!$F$5:$F$22,'M&amp;E'!$D$5:$D$22,Projects!$A$12,'M&amp;E'!$E$5:$E$22,6))*Rates!$B$8),0))*Rates!$C$21))</f>
        <v/>
      </c>
      <c r="H53" s="132">
        <f>IF(Projects!$A$12="","",(((SUMPRODUCT((Labor!$G$6:$G$25=Projects!$A$12)*(Labor!$E$6:$E$25="Prime")*N(Labor!$AI$6:$AI$25))*(1+Rates!$B$6)*(1+Rates!$B$7)+SUMPRODUCT((Labor!$G$6:$G$25=Projects!$A$12)*(Labor!$E$6:$E$25="Sub")*N(Labor!$AI$6:$AI$25)))+SUMIFS(ODCs!$F$5:$F$22,ODCs!$D$5:$D$22,Projects!$A$12,ODCs!$E$5:$E$22,7)+SUMIFS(Travel!$F$5:$F$22,Travel!$D$5:$D$22,Projects!$A$12,Travel!$E$5:$E$22,7)+SUMIFS('M&amp;E'!$F$5:$F$22,'M&amp;E'!$D$5:$D$22,Projects!$A$12,'M&amp;E'!$E$5:$E$22,7))+(((SUMPRODUCT((Labor!$G$6:$G$25=Projects!$A$12)*(Labor!$E$6:$E$25="Prime")*N(Labor!$AI$6:$AI$25))*(1+Rates!$B$6)*(1+Rates!$B$7)+SUMPRODUCT((Labor!$G$6:$G$25=Projects!$A$12)*(Labor!$E$6:$E$25="Sub")*N(Labor!$AI$6:$AI$25)))+SUMIFS(ODCs!$F$5:$F$22,ODCs!$D$5:$D$22,Projects!$A$12,ODCs!$E$5:$E$22,7)+SUMIFS(Travel!$F$5:$F$22,Travel!$D$5:$D$22,Projects!$A$12,Travel!$E$5:$E$22,7)+SUMIFS('M&amp;E'!$F$5:$F$22,'M&amp;E'!$D$5:$D$22,Projects!$A$12,'M&amp;E'!$E$5:$E$22,7))*Rates!$B$8))+((((SUMPRODUCT((Labor!$G$6:$G$25=Projects!$A$12)*(Labor!$E$6:$E$25="Prime")*N(Labor!$AI$6:$AI$25))*(1+Rates!$B$6)*(1+Rates!$B$7)+SUMPRODUCT((Labor!$G$6:$G$25=Projects!$A$12)*(Labor!$E$6:$E$25="Sub")*N(Labor!$AI$6:$AI$25))))+IFERROR(((SUMPRODUCT((Labor!$G$6:$G$25=Projects!$A$12)*(Labor!$E$6:$E$25="Prime")*N(Labor!$AI$6:$AI$25))*(1+Rates!$B$6)*(1+Rates!$B$7)+SUMPRODUCT((Labor!$G$6:$G$25=Projects!$A$12)*(Labor!$E$6:$E$25="Sub")*N(Labor!$AI$6:$AI$25))))/((SUMPRODUCT((Labor!$G$6:$G$25=Projects!$A$12)*(Labor!$E$6:$E$25="Prime")*N(Labor!$AI$6:$AI$25))*(1+Rates!$B$6)*(1+Rates!$B$7)+SUMPRODUCT((Labor!$G$6:$G$25=Projects!$A$12)*(Labor!$E$6:$E$25="Sub")*N(Labor!$AI$6:$AI$25)))+SUMIFS(ODCs!$F$5:$F$22,ODCs!$D$5:$D$22,Projects!$A$12,ODCs!$E$5:$E$22,7)+SUMIFS(Travel!$F$5:$F$22,Travel!$D$5:$D$22,Projects!$A$12,Travel!$E$5:$E$22,7)+SUMIFS('M&amp;E'!$F$5:$F$22,'M&amp;E'!$D$5:$D$22,Projects!$A$12,'M&amp;E'!$E$5:$E$22,7))*(((SUMPRODUCT((Labor!$G$6:$G$25=Projects!$A$12)*(Labor!$E$6:$E$25="Prime")*N(Labor!$AI$6:$AI$25))*(1+Rates!$B$6)*(1+Rates!$B$7)+SUMPRODUCT((Labor!$G$6:$G$25=Projects!$A$12)*(Labor!$E$6:$E$25="Sub")*N(Labor!$AI$6:$AI$25)))+SUMIFS(ODCs!$F$5:$F$22,ODCs!$D$5:$D$22,Projects!$A$12,ODCs!$E$5:$E$22,7)+SUMIFS(Travel!$F$5:$F$22,Travel!$D$5:$D$22,Projects!$A$12,Travel!$E$5:$E$22,7)+SUMIFS('M&amp;E'!$F$5:$F$22,'M&amp;E'!$D$5:$D$22,Projects!$A$12,'M&amp;E'!$E$5:$E$22,7))*Rates!$B$8),0))*Rates!$C$18+((SUMIFS(Travel!$F$5:$F$22,Travel!$D$5:$D$22,Projects!$A$12,Travel!$E$5:$E$22,7))+IFERROR((SUMIFS(Travel!$F$5:$F$22,Travel!$D$5:$D$22,Projects!$A$12,Travel!$E$5:$E$22,7))/((SUMPRODUCT((Labor!$G$6:$G$25=Projects!$A$12)*(Labor!$E$6:$E$25="Prime")*N(Labor!$AI$6:$AI$25))*(1+Rates!$B$6)*(1+Rates!$B$7)+SUMPRODUCT((Labor!$G$6:$G$25=Projects!$A$12)*(Labor!$E$6:$E$25="Sub")*N(Labor!$AI$6:$AI$25)))+SUMIFS(ODCs!$F$5:$F$22,ODCs!$D$5:$D$22,Projects!$A$12,ODCs!$E$5:$E$22,7)+SUMIFS(Travel!$F$5:$F$22,Travel!$D$5:$D$22,Projects!$A$12,Travel!$E$5:$E$22,7)+SUMIFS('M&amp;E'!$F$5:$F$22,'M&amp;E'!$D$5:$D$22,Projects!$A$12,'M&amp;E'!$E$5:$E$22,7))*(((SUMPRODUCT((Labor!$G$6:$G$25=Projects!$A$12)*(Labor!$E$6:$E$25="Prime")*N(Labor!$AI$6:$AI$25))*(1+Rates!$B$6)*(1+Rates!$B$7)+SUMPRODUCT((Labor!$G$6:$G$25=Projects!$A$12)*(Labor!$E$6:$E$25="Sub")*N(Labor!$AI$6:$AI$25)))+SUMIFS(ODCs!$F$5:$F$22,ODCs!$D$5:$D$22,Projects!$A$12,ODCs!$E$5:$E$22,7)+SUMIFS(Travel!$F$5:$F$22,Travel!$D$5:$D$22,Projects!$A$12,Travel!$E$5:$E$22,7)+SUMIFS('M&amp;E'!$F$5:$F$22,'M&amp;E'!$D$5:$D$22,Projects!$A$12,'M&amp;E'!$E$5:$E$22,7))*Rates!$B$8),0))*Rates!$C$19+((SUMIFS(ODCs!$F$5:$F$22,ODCs!$D$5:$D$22,Projects!$A$12,ODCs!$E$5:$E$22,7))+IFERROR((SUMIFS(ODCs!$F$5:$F$22,ODCs!$D$5:$D$22,Projects!$A$12,ODCs!$E$5:$E$22,7))/((SUMPRODUCT((Labor!$G$6:$G$25=Projects!$A$12)*(Labor!$E$6:$E$25="Prime")*N(Labor!$AI$6:$AI$25))*(1+Rates!$B$6)*(1+Rates!$B$7)+SUMPRODUCT((Labor!$G$6:$G$25=Projects!$A$12)*(Labor!$E$6:$E$25="Sub")*N(Labor!$AI$6:$AI$25)))+SUMIFS(ODCs!$F$5:$F$22,ODCs!$D$5:$D$22,Projects!$A$12,ODCs!$E$5:$E$22,7)+SUMIFS(Travel!$F$5:$F$22,Travel!$D$5:$D$22,Projects!$A$12,Travel!$E$5:$E$22,7)+SUMIFS('M&amp;E'!$F$5:$F$22,'M&amp;E'!$D$5:$D$22,Projects!$A$12,'M&amp;E'!$E$5:$E$22,7))*(((SUMPRODUCT((Labor!$G$6:$G$25=Projects!$A$12)*(Labor!$E$6:$E$25="Prime")*N(Labor!$AI$6:$AI$25))*(1+Rates!$B$6)*(1+Rates!$B$7)+SUMPRODUCT((Labor!$G$6:$G$25=Projects!$A$12)*(Labor!$E$6:$E$25="Sub")*N(Labor!$AI$6:$AI$25)))+SUMIFS(ODCs!$F$5:$F$22,ODCs!$D$5:$D$22,Projects!$A$12,ODCs!$E$5:$E$22,7)+SUMIFS(Travel!$F$5:$F$22,Travel!$D$5:$D$22,Projects!$A$12,Travel!$E$5:$E$22,7)+SUMIFS('M&amp;E'!$F$5:$F$22,'M&amp;E'!$D$5:$D$22,Projects!$A$12,'M&amp;E'!$E$5:$E$22,7))*Rates!$B$8),0))*Rates!$C$20+((SUMIFS('M&amp;E'!$F$5:$F$22,'M&amp;E'!$D$5:$D$22,Projects!$A$12,'M&amp;E'!$E$5:$E$22,7))+IFERROR((SUMIFS('M&amp;E'!$F$5:$F$22,'M&amp;E'!$D$5:$D$22,Projects!$A$12,'M&amp;E'!$E$5:$E$22,7))/((SUMPRODUCT((Labor!$G$6:$G$25=Projects!$A$12)*(Labor!$E$6:$E$25="Prime")*N(Labor!$AI$6:$AI$25))*(1+Rates!$B$6)*(1+Rates!$B$7)+SUMPRODUCT((Labor!$G$6:$G$25=Projects!$A$12)*(Labor!$E$6:$E$25="Sub")*N(Labor!$AI$6:$AI$25)))+SUMIFS(ODCs!$F$5:$F$22,ODCs!$D$5:$D$22,Projects!$A$12,ODCs!$E$5:$E$22,7)+SUMIFS(Travel!$F$5:$F$22,Travel!$D$5:$D$22,Projects!$A$12,Travel!$E$5:$E$22,7)+SUMIFS('M&amp;E'!$F$5:$F$22,'M&amp;E'!$D$5:$D$22,Projects!$A$12,'M&amp;E'!$E$5:$E$22,7))*(((SUMPRODUCT((Labor!$G$6:$G$25=Projects!$A$12)*(Labor!$E$6:$E$25="Prime")*N(Labor!$AI$6:$AI$25))*(1+Rates!$B$6)*(1+Rates!$B$7)+SUMPRODUCT((Labor!$G$6:$G$25=Projects!$A$12)*(Labor!$E$6:$E$25="Sub")*N(Labor!$AI$6:$AI$25)))+SUMIFS(ODCs!$F$5:$F$22,ODCs!$D$5:$D$22,Projects!$A$12,ODCs!$E$5:$E$22,7)+SUMIFS(Travel!$F$5:$F$22,Travel!$D$5:$D$22,Projects!$A$12,Travel!$E$5:$E$22,7)+SUMIFS('M&amp;E'!$F$5:$F$22,'M&amp;E'!$D$5:$D$22,Projects!$A$12,'M&amp;E'!$E$5:$E$22,7))*Rates!$B$8),0))*Rates!$C$21))</f>
        <v/>
      </c>
      <c r="I53" s="132">
        <f>IF(Projects!$A$12="","",(((SUMPRODUCT((Labor!$G$6:$G$25=Projects!$A$12)*(Labor!$E$6:$E$25="Prime")*N(Labor!$AM$6:$AM$25))*(1+Rates!$B$6)*(1+Rates!$B$7)+SUMPRODUCT((Labor!$G$6:$G$25=Projects!$A$12)*(Labor!$E$6:$E$25="Sub")*N(Labor!$AM$6:$AM$25)))+SUMIFS(ODCs!$F$5:$F$22,ODCs!$D$5:$D$22,Projects!$A$12,ODCs!$E$5:$E$22,8)+SUMIFS(Travel!$F$5:$F$22,Travel!$D$5:$D$22,Projects!$A$12,Travel!$E$5:$E$22,8)+SUMIFS('M&amp;E'!$F$5:$F$22,'M&amp;E'!$D$5:$D$22,Projects!$A$12,'M&amp;E'!$E$5:$E$22,8))+(((SUMPRODUCT((Labor!$G$6:$G$25=Projects!$A$12)*(Labor!$E$6:$E$25="Prime")*N(Labor!$AM$6:$AM$25))*(1+Rates!$B$6)*(1+Rates!$B$7)+SUMPRODUCT((Labor!$G$6:$G$25=Projects!$A$12)*(Labor!$E$6:$E$25="Sub")*N(Labor!$AM$6:$AM$25)))+SUMIFS(ODCs!$F$5:$F$22,ODCs!$D$5:$D$22,Projects!$A$12,ODCs!$E$5:$E$22,8)+SUMIFS(Travel!$F$5:$F$22,Travel!$D$5:$D$22,Projects!$A$12,Travel!$E$5:$E$22,8)+SUMIFS('M&amp;E'!$F$5:$F$22,'M&amp;E'!$D$5:$D$22,Projects!$A$12,'M&amp;E'!$E$5:$E$22,8))*Rates!$B$8))+((((SUMPRODUCT((Labor!$G$6:$G$25=Projects!$A$12)*(Labor!$E$6:$E$25="Prime")*N(Labor!$AM$6:$AM$25))*(1+Rates!$B$6)*(1+Rates!$B$7)+SUMPRODUCT((Labor!$G$6:$G$25=Projects!$A$12)*(Labor!$E$6:$E$25="Sub")*N(Labor!$AM$6:$AM$25))))+IFERROR(((SUMPRODUCT((Labor!$G$6:$G$25=Projects!$A$12)*(Labor!$E$6:$E$25="Prime")*N(Labor!$AM$6:$AM$25))*(1+Rates!$B$6)*(1+Rates!$B$7)+SUMPRODUCT((Labor!$G$6:$G$25=Projects!$A$12)*(Labor!$E$6:$E$25="Sub")*N(Labor!$AM$6:$AM$25))))/((SUMPRODUCT((Labor!$G$6:$G$25=Projects!$A$12)*(Labor!$E$6:$E$25="Prime")*N(Labor!$AM$6:$AM$25))*(1+Rates!$B$6)*(1+Rates!$B$7)+SUMPRODUCT((Labor!$G$6:$G$25=Projects!$A$12)*(Labor!$E$6:$E$25="Sub")*N(Labor!$AM$6:$AM$25)))+SUMIFS(ODCs!$F$5:$F$22,ODCs!$D$5:$D$22,Projects!$A$12,ODCs!$E$5:$E$22,8)+SUMIFS(Travel!$F$5:$F$22,Travel!$D$5:$D$22,Projects!$A$12,Travel!$E$5:$E$22,8)+SUMIFS('M&amp;E'!$F$5:$F$22,'M&amp;E'!$D$5:$D$22,Projects!$A$12,'M&amp;E'!$E$5:$E$22,8))*(((SUMPRODUCT((Labor!$G$6:$G$25=Projects!$A$12)*(Labor!$E$6:$E$25="Prime")*N(Labor!$AM$6:$AM$25))*(1+Rates!$B$6)*(1+Rates!$B$7)+SUMPRODUCT((Labor!$G$6:$G$25=Projects!$A$12)*(Labor!$E$6:$E$25="Sub")*N(Labor!$AM$6:$AM$25)))+SUMIFS(ODCs!$F$5:$F$22,ODCs!$D$5:$D$22,Projects!$A$12,ODCs!$E$5:$E$22,8)+SUMIFS(Travel!$F$5:$F$22,Travel!$D$5:$D$22,Projects!$A$12,Travel!$E$5:$E$22,8)+SUMIFS('M&amp;E'!$F$5:$F$22,'M&amp;E'!$D$5:$D$22,Projects!$A$12,'M&amp;E'!$E$5:$E$22,8))*Rates!$B$8),0))*Rates!$C$18+((SUMIFS(Travel!$F$5:$F$22,Travel!$D$5:$D$22,Projects!$A$12,Travel!$E$5:$E$22,8))+IFERROR((SUMIFS(Travel!$F$5:$F$22,Travel!$D$5:$D$22,Projects!$A$12,Travel!$E$5:$E$22,8))/((SUMPRODUCT((Labor!$G$6:$G$25=Projects!$A$12)*(Labor!$E$6:$E$25="Prime")*N(Labor!$AM$6:$AM$25))*(1+Rates!$B$6)*(1+Rates!$B$7)+SUMPRODUCT((Labor!$G$6:$G$25=Projects!$A$12)*(Labor!$E$6:$E$25="Sub")*N(Labor!$AM$6:$AM$25)))+SUMIFS(ODCs!$F$5:$F$22,ODCs!$D$5:$D$22,Projects!$A$12,ODCs!$E$5:$E$22,8)+SUMIFS(Travel!$F$5:$F$22,Travel!$D$5:$D$22,Projects!$A$12,Travel!$E$5:$E$22,8)+SUMIFS('M&amp;E'!$F$5:$F$22,'M&amp;E'!$D$5:$D$22,Projects!$A$12,'M&amp;E'!$E$5:$E$22,8))*(((SUMPRODUCT((Labor!$G$6:$G$25=Projects!$A$12)*(Labor!$E$6:$E$25="Prime")*N(Labor!$AM$6:$AM$25))*(1+Rates!$B$6)*(1+Rates!$B$7)+SUMPRODUCT((Labor!$G$6:$G$25=Projects!$A$12)*(Labor!$E$6:$E$25="Sub")*N(Labor!$AM$6:$AM$25)))+SUMIFS(ODCs!$F$5:$F$22,ODCs!$D$5:$D$22,Projects!$A$12,ODCs!$E$5:$E$22,8)+SUMIFS(Travel!$F$5:$F$22,Travel!$D$5:$D$22,Projects!$A$12,Travel!$E$5:$E$22,8)+SUMIFS('M&amp;E'!$F$5:$F$22,'M&amp;E'!$D$5:$D$22,Projects!$A$12,'M&amp;E'!$E$5:$E$22,8))*Rates!$B$8),0))*Rates!$C$19+((SUMIFS(ODCs!$F$5:$F$22,ODCs!$D$5:$D$22,Projects!$A$12,ODCs!$E$5:$E$22,8))+IFERROR((SUMIFS(ODCs!$F$5:$F$22,ODCs!$D$5:$D$22,Projects!$A$12,ODCs!$E$5:$E$22,8))/((SUMPRODUCT((Labor!$G$6:$G$25=Projects!$A$12)*(Labor!$E$6:$E$25="Prime")*N(Labor!$AM$6:$AM$25))*(1+Rates!$B$6)*(1+Rates!$B$7)+SUMPRODUCT((Labor!$G$6:$G$25=Projects!$A$12)*(Labor!$E$6:$E$25="Sub")*N(Labor!$AM$6:$AM$25)))+SUMIFS(ODCs!$F$5:$F$22,ODCs!$D$5:$D$22,Projects!$A$12,ODCs!$E$5:$E$22,8)+SUMIFS(Travel!$F$5:$F$22,Travel!$D$5:$D$22,Projects!$A$12,Travel!$E$5:$E$22,8)+SUMIFS('M&amp;E'!$F$5:$F$22,'M&amp;E'!$D$5:$D$22,Projects!$A$12,'M&amp;E'!$E$5:$E$22,8))*(((SUMPRODUCT((Labor!$G$6:$G$25=Projects!$A$12)*(Labor!$E$6:$E$25="Prime")*N(Labor!$AM$6:$AM$25))*(1+Rates!$B$6)*(1+Rates!$B$7)+SUMPRODUCT((Labor!$G$6:$G$25=Projects!$A$12)*(Labor!$E$6:$E$25="Sub")*N(Labor!$AM$6:$AM$25)))+SUMIFS(ODCs!$F$5:$F$22,ODCs!$D$5:$D$22,Projects!$A$12,ODCs!$E$5:$E$22,8)+SUMIFS(Travel!$F$5:$F$22,Travel!$D$5:$D$22,Projects!$A$12,Travel!$E$5:$E$22,8)+SUMIFS('M&amp;E'!$F$5:$F$22,'M&amp;E'!$D$5:$D$22,Projects!$A$12,'M&amp;E'!$E$5:$E$22,8))*Rates!$B$8),0))*Rates!$C$20+((SUMIFS('M&amp;E'!$F$5:$F$22,'M&amp;E'!$D$5:$D$22,Projects!$A$12,'M&amp;E'!$E$5:$E$22,8))+IFERROR((SUMIFS('M&amp;E'!$F$5:$F$22,'M&amp;E'!$D$5:$D$22,Projects!$A$12,'M&amp;E'!$E$5:$E$22,8))/((SUMPRODUCT((Labor!$G$6:$G$25=Projects!$A$12)*(Labor!$E$6:$E$25="Prime")*N(Labor!$AM$6:$AM$25))*(1+Rates!$B$6)*(1+Rates!$B$7)+SUMPRODUCT((Labor!$G$6:$G$25=Projects!$A$12)*(Labor!$E$6:$E$25="Sub")*N(Labor!$AM$6:$AM$25)))+SUMIFS(ODCs!$F$5:$F$22,ODCs!$D$5:$D$22,Projects!$A$12,ODCs!$E$5:$E$22,8)+SUMIFS(Travel!$F$5:$F$22,Travel!$D$5:$D$22,Projects!$A$12,Travel!$E$5:$E$22,8)+SUMIFS('M&amp;E'!$F$5:$F$22,'M&amp;E'!$D$5:$D$22,Projects!$A$12,'M&amp;E'!$E$5:$E$22,8))*(((SUMPRODUCT((Labor!$G$6:$G$25=Projects!$A$12)*(Labor!$E$6:$E$25="Prime")*N(Labor!$AM$6:$AM$25))*(1+Rates!$B$6)*(1+Rates!$B$7)+SUMPRODUCT((Labor!$G$6:$G$25=Projects!$A$12)*(Labor!$E$6:$E$25="Sub")*N(Labor!$AM$6:$AM$25)))+SUMIFS(ODCs!$F$5:$F$22,ODCs!$D$5:$D$22,Projects!$A$12,ODCs!$E$5:$E$22,8)+SUMIFS(Travel!$F$5:$F$22,Travel!$D$5:$D$22,Projects!$A$12,Travel!$E$5:$E$22,8)+SUMIFS('M&amp;E'!$F$5:$F$22,'M&amp;E'!$D$5:$D$22,Projects!$A$12,'M&amp;E'!$E$5:$E$22,8))*Rates!$B$8),0))*Rates!$C$21))</f>
        <v/>
      </c>
      <c r="J53" s="132">
        <f>IF(Projects!$A$12="","",(((SUMPRODUCT((Labor!$G$6:$G$25=Projects!$A$12)*(Labor!$E$6:$E$25="Prime")*N(Labor!$AQ$6:$AQ$25))*(1+Rates!$B$6)*(1+Rates!$B$7)+SUMPRODUCT((Labor!$G$6:$G$25=Projects!$A$12)*(Labor!$E$6:$E$25="Sub")*N(Labor!$AQ$6:$AQ$25)))+SUMIFS(ODCs!$F$5:$F$22,ODCs!$D$5:$D$22,Projects!$A$12,ODCs!$E$5:$E$22,9)+SUMIFS(Travel!$F$5:$F$22,Travel!$D$5:$D$22,Projects!$A$12,Travel!$E$5:$E$22,9)+SUMIFS('M&amp;E'!$F$5:$F$22,'M&amp;E'!$D$5:$D$22,Projects!$A$12,'M&amp;E'!$E$5:$E$22,9))+(((SUMPRODUCT((Labor!$G$6:$G$25=Projects!$A$12)*(Labor!$E$6:$E$25="Prime")*N(Labor!$AQ$6:$AQ$25))*(1+Rates!$B$6)*(1+Rates!$B$7)+SUMPRODUCT((Labor!$G$6:$G$25=Projects!$A$12)*(Labor!$E$6:$E$25="Sub")*N(Labor!$AQ$6:$AQ$25)))+SUMIFS(ODCs!$F$5:$F$22,ODCs!$D$5:$D$22,Projects!$A$12,ODCs!$E$5:$E$22,9)+SUMIFS(Travel!$F$5:$F$22,Travel!$D$5:$D$22,Projects!$A$12,Travel!$E$5:$E$22,9)+SUMIFS('M&amp;E'!$F$5:$F$22,'M&amp;E'!$D$5:$D$22,Projects!$A$12,'M&amp;E'!$E$5:$E$22,9))*Rates!$B$8))+((((SUMPRODUCT((Labor!$G$6:$G$25=Projects!$A$12)*(Labor!$E$6:$E$25="Prime")*N(Labor!$AQ$6:$AQ$25))*(1+Rates!$B$6)*(1+Rates!$B$7)+SUMPRODUCT((Labor!$G$6:$G$25=Projects!$A$12)*(Labor!$E$6:$E$25="Sub")*N(Labor!$AQ$6:$AQ$25))))+IFERROR(((SUMPRODUCT((Labor!$G$6:$G$25=Projects!$A$12)*(Labor!$E$6:$E$25="Prime")*N(Labor!$AQ$6:$AQ$25))*(1+Rates!$B$6)*(1+Rates!$B$7)+SUMPRODUCT((Labor!$G$6:$G$25=Projects!$A$12)*(Labor!$E$6:$E$25="Sub")*N(Labor!$AQ$6:$AQ$25))))/((SUMPRODUCT((Labor!$G$6:$G$25=Projects!$A$12)*(Labor!$E$6:$E$25="Prime")*N(Labor!$AQ$6:$AQ$25))*(1+Rates!$B$6)*(1+Rates!$B$7)+SUMPRODUCT((Labor!$G$6:$G$25=Projects!$A$12)*(Labor!$E$6:$E$25="Sub")*N(Labor!$AQ$6:$AQ$25)))+SUMIFS(ODCs!$F$5:$F$22,ODCs!$D$5:$D$22,Projects!$A$12,ODCs!$E$5:$E$22,9)+SUMIFS(Travel!$F$5:$F$22,Travel!$D$5:$D$22,Projects!$A$12,Travel!$E$5:$E$22,9)+SUMIFS('M&amp;E'!$F$5:$F$22,'M&amp;E'!$D$5:$D$22,Projects!$A$12,'M&amp;E'!$E$5:$E$22,9))*(((SUMPRODUCT((Labor!$G$6:$G$25=Projects!$A$12)*(Labor!$E$6:$E$25="Prime")*N(Labor!$AQ$6:$AQ$25))*(1+Rates!$B$6)*(1+Rates!$B$7)+SUMPRODUCT((Labor!$G$6:$G$25=Projects!$A$12)*(Labor!$E$6:$E$25="Sub")*N(Labor!$AQ$6:$AQ$25)))+SUMIFS(ODCs!$F$5:$F$22,ODCs!$D$5:$D$22,Projects!$A$12,ODCs!$E$5:$E$22,9)+SUMIFS(Travel!$F$5:$F$22,Travel!$D$5:$D$22,Projects!$A$12,Travel!$E$5:$E$22,9)+SUMIFS('M&amp;E'!$F$5:$F$22,'M&amp;E'!$D$5:$D$22,Projects!$A$12,'M&amp;E'!$E$5:$E$22,9))*Rates!$B$8),0))*Rates!$C$18+((SUMIFS(Travel!$F$5:$F$22,Travel!$D$5:$D$22,Projects!$A$12,Travel!$E$5:$E$22,9))+IFERROR((SUMIFS(Travel!$F$5:$F$22,Travel!$D$5:$D$22,Projects!$A$12,Travel!$E$5:$E$22,9))/((SUMPRODUCT((Labor!$G$6:$G$25=Projects!$A$12)*(Labor!$E$6:$E$25="Prime")*N(Labor!$AQ$6:$AQ$25))*(1+Rates!$B$6)*(1+Rates!$B$7)+SUMPRODUCT((Labor!$G$6:$G$25=Projects!$A$12)*(Labor!$E$6:$E$25="Sub")*N(Labor!$AQ$6:$AQ$25)))+SUMIFS(ODCs!$F$5:$F$22,ODCs!$D$5:$D$22,Projects!$A$12,ODCs!$E$5:$E$22,9)+SUMIFS(Travel!$F$5:$F$22,Travel!$D$5:$D$22,Projects!$A$12,Travel!$E$5:$E$22,9)+SUMIFS('M&amp;E'!$F$5:$F$22,'M&amp;E'!$D$5:$D$22,Projects!$A$12,'M&amp;E'!$E$5:$E$22,9))*(((SUMPRODUCT((Labor!$G$6:$G$25=Projects!$A$12)*(Labor!$E$6:$E$25="Prime")*N(Labor!$AQ$6:$AQ$25))*(1+Rates!$B$6)*(1+Rates!$B$7)+SUMPRODUCT((Labor!$G$6:$G$25=Projects!$A$12)*(Labor!$E$6:$E$25="Sub")*N(Labor!$AQ$6:$AQ$25)))+SUMIFS(ODCs!$F$5:$F$22,ODCs!$D$5:$D$22,Projects!$A$12,ODCs!$E$5:$E$22,9)+SUMIFS(Travel!$F$5:$F$22,Travel!$D$5:$D$22,Projects!$A$12,Travel!$E$5:$E$22,9)+SUMIFS('M&amp;E'!$F$5:$F$22,'M&amp;E'!$D$5:$D$22,Projects!$A$12,'M&amp;E'!$E$5:$E$22,9))*Rates!$B$8),0))*Rates!$C$19+((SUMIFS(ODCs!$F$5:$F$22,ODCs!$D$5:$D$22,Projects!$A$12,ODCs!$E$5:$E$22,9))+IFERROR((SUMIFS(ODCs!$F$5:$F$22,ODCs!$D$5:$D$22,Projects!$A$12,ODCs!$E$5:$E$22,9))/((SUMPRODUCT((Labor!$G$6:$G$25=Projects!$A$12)*(Labor!$E$6:$E$25="Prime")*N(Labor!$AQ$6:$AQ$25))*(1+Rates!$B$6)*(1+Rates!$B$7)+SUMPRODUCT((Labor!$G$6:$G$25=Projects!$A$12)*(Labor!$E$6:$E$25="Sub")*N(Labor!$AQ$6:$AQ$25)))+SUMIFS(ODCs!$F$5:$F$22,ODCs!$D$5:$D$22,Projects!$A$12,ODCs!$E$5:$E$22,9)+SUMIFS(Travel!$F$5:$F$22,Travel!$D$5:$D$22,Projects!$A$12,Travel!$E$5:$E$22,9)+SUMIFS('M&amp;E'!$F$5:$F$22,'M&amp;E'!$D$5:$D$22,Projects!$A$12,'M&amp;E'!$E$5:$E$22,9))*(((SUMPRODUCT((Labor!$G$6:$G$25=Projects!$A$12)*(Labor!$E$6:$E$25="Prime")*N(Labor!$AQ$6:$AQ$25))*(1+Rates!$B$6)*(1+Rates!$B$7)+SUMPRODUCT((Labor!$G$6:$G$25=Projects!$A$12)*(Labor!$E$6:$E$25="Sub")*N(Labor!$AQ$6:$AQ$25)))+SUMIFS(ODCs!$F$5:$F$22,ODCs!$D$5:$D$22,Projects!$A$12,ODCs!$E$5:$E$22,9)+SUMIFS(Travel!$F$5:$F$22,Travel!$D$5:$D$22,Projects!$A$12,Travel!$E$5:$E$22,9)+SUMIFS('M&amp;E'!$F$5:$F$22,'M&amp;E'!$D$5:$D$22,Projects!$A$12,'M&amp;E'!$E$5:$E$22,9))*Rates!$B$8),0))*Rates!$C$20+((SUMIFS('M&amp;E'!$F$5:$F$22,'M&amp;E'!$D$5:$D$22,Projects!$A$12,'M&amp;E'!$E$5:$E$22,9))+IFERROR((SUMIFS('M&amp;E'!$F$5:$F$22,'M&amp;E'!$D$5:$D$22,Projects!$A$12,'M&amp;E'!$E$5:$E$22,9))/((SUMPRODUCT((Labor!$G$6:$G$25=Projects!$A$12)*(Labor!$E$6:$E$25="Prime")*N(Labor!$AQ$6:$AQ$25))*(1+Rates!$B$6)*(1+Rates!$B$7)+SUMPRODUCT((Labor!$G$6:$G$25=Projects!$A$12)*(Labor!$E$6:$E$25="Sub")*N(Labor!$AQ$6:$AQ$25)))+SUMIFS(ODCs!$F$5:$F$22,ODCs!$D$5:$D$22,Projects!$A$12,ODCs!$E$5:$E$22,9)+SUMIFS(Travel!$F$5:$F$22,Travel!$D$5:$D$22,Projects!$A$12,Travel!$E$5:$E$22,9)+SUMIFS('M&amp;E'!$F$5:$F$22,'M&amp;E'!$D$5:$D$22,Projects!$A$12,'M&amp;E'!$E$5:$E$22,9))*(((SUMPRODUCT((Labor!$G$6:$G$25=Projects!$A$12)*(Labor!$E$6:$E$25="Prime")*N(Labor!$AQ$6:$AQ$25))*(1+Rates!$B$6)*(1+Rates!$B$7)+SUMPRODUCT((Labor!$G$6:$G$25=Projects!$A$12)*(Labor!$E$6:$E$25="Sub")*N(Labor!$AQ$6:$AQ$25)))+SUMIFS(ODCs!$F$5:$F$22,ODCs!$D$5:$D$22,Projects!$A$12,ODCs!$E$5:$E$22,9)+SUMIFS(Travel!$F$5:$F$22,Travel!$D$5:$D$22,Projects!$A$12,Travel!$E$5:$E$22,9)+SUMIFS('M&amp;E'!$F$5:$F$22,'M&amp;E'!$D$5:$D$22,Projects!$A$12,'M&amp;E'!$E$5:$E$22,9))*Rates!$B$8),0))*Rates!$C$21))</f>
        <v/>
      </c>
      <c r="K53" s="132">
        <f>IF(Projects!$A$12="","",(((SUMPRODUCT((Labor!$G$6:$G$25=Projects!$A$12)*(Labor!$E$6:$E$25="Prime")*N(Labor!$AU$6:$AU$25))*(1+Rates!$B$6)*(1+Rates!$B$7)+SUMPRODUCT((Labor!$G$6:$G$25=Projects!$A$12)*(Labor!$E$6:$E$25="Sub")*N(Labor!$AU$6:$AU$25)))+SUMIFS(ODCs!$F$5:$F$22,ODCs!$D$5:$D$22,Projects!$A$12,ODCs!$E$5:$E$22,10)+SUMIFS(Travel!$F$5:$F$22,Travel!$D$5:$D$22,Projects!$A$12,Travel!$E$5:$E$22,10)+SUMIFS('M&amp;E'!$F$5:$F$22,'M&amp;E'!$D$5:$D$22,Projects!$A$12,'M&amp;E'!$E$5:$E$22,10))+(((SUMPRODUCT((Labor!$G$6:$G$25=Projects!$A$12)*(Labor!$E$6:$E$25="Prime")*N(Labor!$AU$6:$AU$25))*(1+Rates!$B$6)*(1+Rates!$B$7)+SUMPRODUCT((Labor!$G$6:$G$25=Projects!$A$12)*(Labor!$E$6:$E$25="Sub")*N(Labor!$AU$6:$AU$25)))+SUMIFS(ODCs!$F$5:$F$22,ODCs!$D$5:$D$22,Projects!$A$12,ODCs!$E$5:$E$22,10)+SUMIFS(Travel!$F$5:$F$22,Travel!$D$5:$D$22,Projects!$A$12,Travel!$E$5:$E$22,10)+SUMIFS('M&amp;E'!$F$5:$F$22,'M&amp;E'!$D$5:$D$22,Projects!$A$12,'M&amp;E'!$E$5:$E$22,10))*Rates!$B$8))+((((SUMPRODUCT((Labor!$G$6:$G$25=Projects!$A$12)*(Labor!$E$6:$E$25="Prime")*N(Labor!$AU$6:$AU$25))*(1+Rates!$B$6)*(1+Rates!$B$7)+SUMPRODUCT((Labor!$G$6:$G$25=Projects!$A$12)*(Labor!$E$6:$E$25="Sub")*N(Labor!$AU$6:$AU$25))))+IFERROR(((SUMPRODUCT((Labor!$G$6:$G$25=Projects!$A$12)*(Labor!$E$6:$E$25="Prime")*N(Labor!$AU$6:$AU$25))*(1+Rates!$B$6)*(1+Rates!$B$7)+SUMPRODUCT((Labor!$G$6:$G$25=Projects!$A$12)*(Labor!$E$6:$E$25="Sub")*N(Labor!$AU$6:$AU$25))))/((SUMPRODUCT((Labor!$G$6:$G$25=Projects!$A$12)*(Labor!$E$6:$E$25="Prime")*N(Labor!$AU$6:$AU$25))*(1+Rates!$B$6)*(1+Rates!$B$7)+SUMPRODUCT((Labor!$G$6:$G$25=Projects!$A$12)*(Labor!$E$6:$E$25="Sub")*N(Labor!$AU$6:$AU$25)))+SUMIFS(ODCs!$F$5:$F$22,ODCs!$D$5:$D$22,Projects!$A$12,ODCs!$E$5:$E$22,10)+SUMIFS(Travel!$F$5:$F$22,Travel!$D$5:$D$22,Projects!$A$12,Travel!$E$5:$E$22,10)+SUMIFS('M&amp;E'!$F$5:$F$22,'M&amp;E'!$D$5:$D$22,Projects!$A$12,'M&amp;E'!$E$5:$E$22,10))*(((SUMPRODUCT((Labor!$G$6:$G$25=Projects!$A$12)*(Labor!$E$6:$E$25="Prime")*N(Labor!$AU$6:$AU$25))*(1+Rates!$B$6)*(1+Rates!$B$7)+SUMPRODUCT((Labor!$G$6:$G$25=Projects!$A$12)*(Labor!$E$6:$E$25="Sub")*N(Labor!$AU$6:$AU$25)))+SUMIFS(ODCs!$F$5:$F$22,ODCs!$D$5:$D$22,Projects!$A$12,ODCs!$E$5:$E$22,10)+SUMIFS(Travel!$F$5:$F$22,Travel!$D$5:$D$22,Projects!$A$12,Travel!$E$5:$E$22,10)+SUMIFS('M&amp;E'!$F$5:$F$22,'M&amp;E'!$D$5:$D$22,Projects!$A$12,'M&amp;E'!$E$5:$E$22,10))*Rates!$B$8),0))*Rates!$C$18+((SUMIFS(Travel!$F$5:$F$22,Travel!$D$5:$D$22,Projects!$A$12,Travel!$E$5:$E$22,10))+IFERROR((SUMIFS(Travel!$F$5:$F$22,Travel!$D$5:$D$22,Projects!$A$12,Travel!$E$5:$E$22,10))/((SUMPRODUCT((Labor!$G$6:$G$25=Projects!$A$12)*(Labor!$E$6:$E$25="Prime")*N(Labor!$AU$6:$AU$25))*(1+Rates!$B$6)*(1+Rates!$B$7)+SUMPRODUCT((Labor!$G$6:$G$25=Projects!$A$12)*(Labor!$E$6:$E$25="Sub")*N(Labor!$AU$6:$AU$25)))+SUMIFS(ODCs!$F$5:$F$22,ODCs!$D$5:$D$22,Projects!$A$12,ODCs!$E$5:$E$22,10)+SUMIFS(Travel!$F$5:$F$22,Travel!$D$5:$D$22,Projects!$A$12,Travel!$E$5:$E$22,10)+SUMIFS('M&amp;E'!$F$5:$F$22,'M&amp;E'!$D$5:$D$22,Projects!$A$12,'M&amp;E'!$E$5:$E$22,10))*(((SUMPRODUCT((Labor!$G$6:$G$25=Projects!$A$12)*(Labor!$E$6:$E$25="Prime")*N(Labor!$AU$6:$AU$25))*(1+Rates!$B$6)*(1+Rates!$B$7)+SUMPRODUCT((Labor!$G$6:$G$25=Projects!$A$12)*(Labor!$E$6:$E$25="Sub")*N(Labor!$AU$6:$AU$25)))+SUMIFS(ODCs!$F$5:$F$22,ODCs!$D$5:$D$22,Projects!$A$12,ODCs!$E$5:$E$22,10)+SUMIFS(Travel!$F$5:$F$22,Travel!$D$5:$D$22,Projects!$A$12,Travel!$E$5:$E$22,10)+SUMIFS('M&amp;E'!$F$5:$F$22,'M&amp;E'!$D$5:$D$22,Projects!$A$12,'M&amp;E'!$E$5:$E$22,10))*Rates!$B$8),0))*Rates!$C$19+((SUMIFS(ODCs!$F$5:$F$22,ODCs!$D$5:$D$22,Projects!$A$12,ODCs!$E$5:$E$22,10))+IFERROR((SUMIFS(ODCs!$F$5:$F$22,ODCs!$D$5:$D$22,Projects!$A$12,ODCs!$E$5:$E$22,10))/((SUMPRODUCT((Labor!$G$6:$G$25=Projects!$A$12)*(Labor!$E$6:$E$25="Prime")*N(Labor!$AU$6:$AU$25))*(1+Rates!$B$6)*(1+Rates!$B$7)+SUMPRODUCT((Labor!$G$6:$G$25=Projects!$A$12)*(Labor!$E$6:$E$25="Sub")*N(Labor!$AU$6:$AU$25)))+SUMIFS(ODCs!$F$5:$F$22,ODCs!$D$5:$D$22,Projects!$A$12,ODCs!$E$5:$E$22,10)+SUMIFS(Travel!$F$5:$F$22,Travel!$D$5:$D$22,Projects!$A$12,Travel!$E$5:$E$22,10)+SUMIFS('M&amp;E'!$F$5:$F$22,'M&amp;E'!$D$5:$D$22,Projects!$A$12,'M&amp;E'!$E$5:$E$22,10))*(((SUMPRODUCT((Labor!$G$6:$G$25=Projects!$A$12)*(Labor!$E$6:$E$25="Prime")*N(Labor!$AU$6:$AU$25))*(1+Rates!$B$6)*(1+Rates!$B$7)+SUMPRODUCT((Labor!$G$6:$G$25=Projects!$A$12)*(Labor!$E$6:$E$25="Sub")*N(Labor!$AU$6:$AU$25)))+SUMIFS(ODCs!$F$5:$F$22,ODCs!$D$5:$D$22,Projects!$A$12,ODCs!$E$5:$E$22,10)+SUMIFS(Travel!$F$5:$F$22,Travel!$D$5:$D$22,Projects!$A$12,Travel!$E$5:$E$22,10)+SUMIFS('M&amp;E'!$F$5:$F$22,'M&amp;E'!$D$5:$D$22,Projects!$A$12,'M&amp;E'!$E$5:$E$22,10))*Rates!$B$8),0))*Rates!$C$20+((SUMIFS('M&amp;E'!$F$5:$F$22,'M&amp;E'!$D$5:$D$22,Projects!$A$12,'M&amp;E'!$E$5:$E$22,10))+IFERROR((SUMIFS('M&amp;E'!$F$5:$F$22,'M&amp;E'!$D$5:$D$22,Projects!$A$12,'M&amp;E'!$E$5:$E$22,10))/((SUMPRODUCT((Labor!$G$6:$G$25=Projects!$A$12)*(Labor!$E$6:$E$25="Prime")*N(Labor!$AU$6:$AU$25))*(1+Rates!$B$6)*(1+Rates!$B$7)+SUMPRODUCT((Labor!$G$6:$G$25=Projects!$A$12)*(Labor!$E$6:$E$25="Sub")*N(Labor!$AU$6:$AU$25)))+SUMIFS(ODCs!$F$5:$F$22,ODCs!$D$5:$D$22,Projects!$A$12,ODCs!$E$5:$E$22,10)+SUMIFS(Travel!$F$5:$F$22,Travel!$D$5:$D$22,Projects!$A$12,Travel!$E$5:$E$22,10)+SUMIFS('M&amp;E'!$F$5:$F$22,'M&amp;E'!$D$5:$D$22,Projects!$A$12,'M&amp;E'!$E$5:$E$22,10))*(((SUMPRODUCT((Labor!$G$6:$G$25=Projects!$A$12)*(Labor!$E$6:$E$25="Prime")*N(Labor!$AU$6:$AU$25))*(1+Rates!$B$6)*(1+Rates!$B$7)+SUMPRODUCT((Labor!$G$6:$G$25=Projects!$A$12)*(Labor!$E$6:$E$25="Sub")*N(Labor!$AU$6:$AU$25)))+SUMIFS(ODCs!$F$5:$F$22,ODCs!$D$5:$D$22,Projects!$A$12,ODCs!$E$5:$E$22,10)+SUMIFS(Travel!$F$5:$F$22,Travel!$D$5:$D$22,Projects!$A$12,Travel!$E$5:$E$22,10)+SUMIFS('M&amp;E'!$F$5:$F$22,'M&amp;E'!$D$5:$D$22,Projects!$A$12,'M&amp;E'!$E$5:$E$22,10))*Rates!$B$8),0))*Rates!$C$21))</f>
        <v/>
      </c>
      <c r="L53" s="132">
        <f>IF(Projects!$A$12="","",(((SUMPRODUCT((Labor!$G$6:$G$25=Projects!$A$12)*(Labor!$E$6:$E$25="Prime")*N(Labor!$AY$6:$AY$25))*(1+Rates!$B$6)*(1+Rates!$B$7)+SUMPRODUCT((Labor!$G$6:$G$25=Projects!$A$12)*(Labor!$E$6:$E$25="Sub")*N(Labor!$AY$6:$AY$25)))+SUMIFS(ODCs!$F$5:$F$22,ODCs!$D$5:$D$22,Projects!$A$12,ODCs!$E$5:$E$22,11)+SUMIFS(Travel!$F$5:$F$22,Travel!$D$5:$D$22,Projects!$A$12,Travel!$E$5:$E$22,11)+SUMIFS('M&amp;E'!$F$5:$F$22,'M&amp;E'!$D$5:$D$22,Projects!$A$12,'M&amp;E'!$E$5:$E$22,11))+(((SUMPRODUCT((Labor!$G$6:$G$25=Projects!$A$12)*(Labor!$E$6:$E$25="Prime")*N(Labor!$AY$6:$AY$25))*(1+Rates!$B$6)*(1+Rates!$B$7)+SUMPRODUCT((Labor!$G$6:$G$25=Projects!$A$12)*(Labor!$E$6:$E$25="Sub")*N(Labor!$AY$6:$AY$25)))+SUMIFS(ODCs!$F$5:$F$22,ODCs!$D$5:$D$22,Projects!$A$12,ODCs!$E$5:$E$22,11)+SUMIFS(Travel!$F$5:$F$22,Travel!$D$5:$D$22,Projects!$A$12,Travel!$E$5:$E$22,11)+SUMIFS('M&amp;E'!$F$5:$F$22,'M&amp;E'!$D$5:$D$22,Projects!$A$12,'M&amp;E'!$E$5:$E$22,11))*Rates!$B$8))+((((SUMPRODUCT((Labor!$G$6:$G$25=Projects!$A$12)*(Labor!$E$6:$E$25="Prime")*N(Labor!$AY$6:$AY$25))*(1+Rates!$B$6)*(1+Rates!$B$7)+SUMPRODUCT((Labor!$G$6:$G$25=Projects!$A$12)*(Labor!$E$6:$E$25="Sub")*N(Labor!$AY$6:$AY$25))))+IFERROR(((SUMPRODUCT((Labor!$G$6:$G$25=Projects!$A$12)*(Labor!$E$6:$E$25="Prime")*N(Labor!$AY$6:$AY$25))*(1+Rates!$B$6)*(1+Rates!$B$7)+SUMPRODUCT((Labor!$G$6:$G$25=Projects!$A$12)*(Labor!$E$6:$E$25="Sub")*N(Labor!$AY$6:$AY$25))))/((SUMPRODUCT((Labor!$G$6:$G$25=Projects!$A$12)*(Labor!$E$6:$E$25="Prime")*N(Labor!$AY$6:$AY$25))*(1+Rates!$B$6)*(1+Rates!$B$7)+SUMPRODUCT((Labor!$G$6:$G$25=Projects!$A$12)*(Labor!$E$6:$E$25="Sub")*N(Labor!$AY$6:$AY$25)))+SUMIFS(ODCs!$F$5:$F$22,ODCs!$D$5:$D$22,Projects!$A$12,ODCs!$E$5:$E$22,11)+SUMIFS(Travel!$F$5:$F$22,Travel!$D$5:$D$22,Projects!$A$12,Travel!$E$5:$E$22,11)+SUMIFS('M&amp;E'!$F$5:$F$22,'M&amp;E'!$D$5:$D$22,Projects!$A$12,'M&amp;E'!$E$5:$E$22,11))*(((SUMPRODUCT((Labor!$G$6:$G$25=Projects!$A$12)*(Labor!$E$6:$E$25="Prime")*N(Labor!$AY$6:$AY$25))*(1+Rates!$B$6)*(1+Rates!$B$7)+SUMPRODUCT((Labor!$G$6:$G$25=Projects!$A$12)*(Labor!$E$6:$E$25="Sub")*N(Labor!$AY$6:$AY$25)))+SUMIFS(ODCs!$F$5:$F$22,ODCs!$D$5:$D$22,Projects!$A$12,ODCs!$E$5:$E$22,11)+SUMIFS(Travel!$F$5:$F$22,Travel!$D$5:$D$22,Projects!$A$12,Travel!$E$5:$E$22,11)+SUMIFS('M&amp;E'!$F$5:$F$22,'M&amp;E'!$D$5:$D$22,Projects!$A$12,'M&amp;E'!$E$5:$E$22,11))*Rates!$B$8),0))*Rates!$C$18+((SUMIFS(Travel!$F$5:$F$22,Travel!$D$5:$D$22,Projects!$A$12,Travel!$E$5:$E$22,11))+IFERROR((SUMIFS(Travel!$F$5:$F$22,Travel!$D$5:$D$22,Projects!$A$12,Travel!$E$5:$E$22,11))/((SUMPRODUCT((Labor!$G$6:$G$25=Projects!$A$12)*(Labor!$E$6:$E$25="Prime")*N(Labor!$AY$6:$AY$25))*(1+Rates!$B$6)*(1+Rates!$B$7)+SUMPRODUCT((Labor!$G$6:$G$25=Projects!$A$12)*(Labor!$E$6:$E$25="Sub")*N(Labor!$AY$6:$AY$25)))+SUMIFS(ODCs!$F$5:$F$22,ODCs!$D$5:$D$22,Projects!$A$12,ODCs!$E$5:$E$22,11)+SUMIFS(Travel!$F$5:$F$22,Travel!$D$5:$D$22,Projects!$A$12,Travel!$E$5:$E$22,11)+SUMIFS('M&amp;E'!$F$5:$F$22,'M&amp;E'!$D$5:$D$22,Projects!$A$12,'M&amp;E'!$E$5:$E$22,11))*(((SUMPRODUCT((Labor!$G$6:$G$25=Projects!$A$12)*(Labor!$E$6:$E$25="Prime")*N(Labor!$AY$6:$AY$25))*(1+Rates!$B$6)*(1+Rates!$B$7)+SUMPRODUCT((Labor!$G$6:$G$25=Projects!$A$12)*(Labor!$E$6:$E$25="Sub")*N(Labor!$AY$6:$AY$25)))+SUMIFS(ODCs!$F$5:$F$22,ODCs!$D$5:$D$22,Projects!$A$12,ODCs!$E$5:$E$22,11)+SUMIFS(Travel!$F$5:$F$22,Travel!$D$5:$D$22,Projects!$A$12,Travel!$E$5:$E$22,11)+SUMIFS('M&amp;E'!$F$5:$F$22,'M&amp;E'!$D$5:$D$22,Projects!$A$12,'M&amp;E'!$E$5:$E$22,11))*Rates!$B$8),0))*Rates!$C$19+((SUMIFS(ODCs!$F$5:$F$22,ODCs!$D$5:$D$22,Projects!$A$12,ODCs!$E$5:$E$22,11))+IFERROR((SUMIFS(ODCs!$F$5:$F$22,ODCs!$D$5:$D$22,Projects!$A$12,ODCs!$E$5:$E$22,11))/((SUMPRODUCT((Labor!$G$6:$G$25=Projects!$A$12)*(Labor!$E$6:$E$25="Prime")*N(Labor!$AY$6:$AY$25))*(1+Rates!$B$6)*(1+Rates!$B$7)+SUMPRODUCT((Labor!$G$6:$G$25=Projects!$A$12)*(Labor!$E$6:$E$25="Sub")*N(Labor!$AY$6:$AY$25)))+SUMIFS(ODCs!$F$5:$F$22,ODCs!$D$5:$D$22,Projects!$A$12,ODCs!$E$5:$E$22,11)+SUMIFS(Travel!$F$5:$F$22,Travel!$D$5:$D$22,Projects!$A$12,Travel!$E$5:$E$22,11)+SUMIFS('M&amp;E'!$F$5:$F$22,'M&amp;E'!$D$5:$D$22,Projects!$A$12,'M&amp;E'!$E$5:$E$22,11))*(((SUMPRODUCT((Labor!$G$6:$G$25=Projects!$A$12)*(Labor!$E$6:$E$25="Prime")*N(Labor!$AY$6:$AY$25))*(1+Rates!$B$6)*(1+Rates!$B$7)+SUMPRODUCT((Labor!$G$6:$G$25=Projects!$A$12)*(Labor!$E$6:$E$25="Sub")*N(Labor!$AY$6:$AY$25)))+SUMIFS(ODCs!$F$5:$F$22,ODCs!$D$5:$D$22,Projects!$A$12,ODCs!$E$5:$E$22,11)+SUMIFS(Travel!$F$5:$F$22,Travel!$D$5:$D$22,Projects!$A$12,Travel!$E$5:$E$22,11)+SUMIFS('M&amp;E'!$F$5:$F$22,'M&amp;E'!$D$5:$D$22,Projects!$A$12,'M&amp;E'!$E$5:$E$22,11))*Rates!$B$8),0))*Rates!$C$20+((SUMIFS('M&amp;E'!$F$5:$F$22,'M&amp;E'!$D$5:$D$22,Projects!$A$12,'M&amp;E'!$E$5:$E$22,11))+IFERROR((SUMIFS('M&amp;E'!$F$5:$F$22,'M&amp;E'!$D$5:$D$22,Projects!$A$12,'M&amp;E'!$E$5:$E$22,11))/((SUMPRODUCT((Labor!$G$6:$G$25=Projects!$A$12)*(Labor!$E$6:$E$25="Prime")*N(Labor!$AY$6:$AY$25))*(1+Rates!$B$6)*(1+Rates!$B$7)+SUMPRODUCT((Labor!$G$6:$G$25=Projects!$A$12)*(Labor!$E$6:$E$25="Sub")*N(Labor!$AY$6:$AY$25)))+SUMIFS(ODCs!$F$5:$F$22,ODCs!$D$5:$D$22,Projects!$A$12,ODCs!$E$5:$E$22,11)+SUMIFS(Travel!$F$5:$F$22,Travel!$D$5:$D$22,Projects!$A$12,Travel!$E$5:$E$22,11)+SUMIFS('M&amp;E'!$F$5:$F$22,'M&amp;E'!$D$5:$D$22,Projects!$A$12,'M&amp;E'!$E$5:$E$22,11))*(((SUMPRODUCT((Labor!$G$6:$G$25=Projects!$A$12)*(Labor!$E$6:$E$25="Prime")*N(Labor!$AY$6:$AY$25))*(1+Rates!$B$6)*(1+Rates!$B$7)+SUMPRODUCT((Labor!$G$6:$G$25=Projects!$A$12)*(Labor!$E$6:$E$25="Sub")*N(Labor!$AY$6:$AY$25)))+SUMIFS(ODCs!$F$5:$F$22,ODCs!$D$5:$D$22,Projects!$A$12,ODCs!$E$5:$E$22,11)+SUMIFS(Travel!$F$5:$F$22,Travel!$D$5:$D$22,Projects!$A$12,Travel!$E$5:$E$22,11)+SUMIFS('M&amp;E'!$F$5:$F$22,'M&amp;E'!$D$5:$D$22,Projects!$A$12,'M&amp;E'!$E$5:$E$22,11))*Rates!$B$8),0))*Rates!$C$21))</f>
        <v/>
      </c>
      <c r="M53" s="132">
        <f>IF(Projects!$A$12="","",(((SUMPRODUCT((Labor!$G$6:$G$25=Projects!$A$12)*(Labor!$E$6:$E$25="Prime")*N(Labor!$BC$6:$BC$25))*(1+Rates!$B$6)*(1+Rates!$B$7)+SUMPRODUCT((Labor!$G$6:$G$25=Projects!$A$12)*(Labor!$E$6:$E$25="Sub")*N(Labor!$BC$6:$BC$25)))+SUMIFS(ODCs!$F$5:$F$22,ODCs!$D$5:$D$22,Projects!$A$12,ODCs!$E$5:$E$22,12)+SUMIFS(Travel!$F$5:$F$22,Travel!$D$5:$D$22,Projects!$A$12,Travel!$E$5:$E$22,12)+SUMIFS('M&amp;E'!$F$5:$F$22,'M&amp;E'!$D$5:$D$22,Projects!$A$12,'M&amp;E'!$E$5:$E$22,12))+(((SUMPRODUCT((Labor!$G$6:$G$25=Projects!$A$12)*(Labor!$E$6:$E$25="Prime")*N(Labor!$BC$6:$BC$25))*(1+Rates!$B$6)*(1+Rates!$B$7)+SUMPRODUCT((Labor!$G$6:$G$25=Projects!$A$12)*(Labor!$E$6:$E$25="Sub")*N(Labor!$BC$6:$BC$25)))+SUMIFS(ODCs!$F$5:$F$22,ODCs!$D$5:$D$22,Projects!$A$12,ODCs!$E$5:$E$22,12)+SUMIFS(Travel!$F$5:$F$22,Travel!$D$5:$D$22,Projects!$A$12,Travel!$E$5:$E$22,12)+SUMIFS('M&amp;E'!$F$5:$F$22,'M&amp;E'!$D$5:$D$22,Projects!$A$12,'M&amp;E'!$E$5:$E$22,12))*Rates!$B$8))+((((SUMPRODUCT((Labor!$G$6:$G$25=Projects!$A$12)*(Labor!$E$6:$E$25="Prime")*N(Labor!$BC$6:$BC$25))*(1+Rates!$B$6)*(1+Rates!$B$7)+SUMPRODUCT((Labor!$G$6:$G$25=Projects!$A$12)*(Labor!$E$6:$E$25="Sub")*N(Labor!$BC$6:$BC$25))))+IFERROR(((SUMPRODUCT((Labor!$G$6:$G$25=Projects!$A$12)*(Labor!$E$6:$E$25="Prime")*N(Labor!$BC$6:$BC$25))*(1+Rates!$B$6)*(1+Rates!$B$7)+SUMPRODUCT((Labor!$G$6:$G$25=Projects!$A$12)*(Labor!$E$6:$E$25="Sub")*N(Labor!$BC$6:$BC$25))))/((SUMPRODUCT((Labor!$G$6:$G$25=Projects!$A$12)*(Labor!$E$6:$E$25="Prime")*N(Labor!$BC$6:$BC$25))*(1+Rates!$B$6)*(1+Rates!$B$7)+SUMPRODUCT((Labor!$G$6:$G$25=Projects!$A$12)*(Labor!$E$6:$E$25="Sub")*N(Labor!$BC$6:$BC$25)))+SUMIFS(ODCs!$F$5:$F$22,ODCs!$D$5:$D$22,Projects!$A$12,ODCs!$E$5:$E$22,12)+SUMIFS(Travel!$F$5:$F$22,Travel!$D$5:$D$22,Projects!$A$12,Travel!$E$5:$E$22,12)+SUMIFS('M&amp;E'!$F$5:$F$22,'M&amp;E'!$D$5:$D$22,Projects!$A$12,'M&amp;E'!$E$5:$E$22,12))*(((SUMPRODUCT((Labor!$G$6:$G$25=Projects!$A$12)*(Labor!$E$6:$E$25="Prime")*N(Labor!$BC$6:$BC$25))*(1+Rates!$B$6)*(1+Rates!$B$7)+SUMPRODUCT((Labor!$G$6:$G$25=Projects!$A$12)*(Labor!$E$6:$E$25="Sub")*N(Labor!$BC$6:$BC$25)))+SUMIFS(ODCs!$F$5:$F$22,ODCs!$D$5:$D$22,Projects!$A$12,ODCs!$E$5:$E$22,12)+SUMIFS(Travel!$F$5:$F$22,Travel!$D$5:$D$22,Projects!$A$12,Travel!$E$5:$E$22,12)+SUMIFS('M&amp;E'!$F$5:$F$22,'M&amp;E'!$D$5:$D$22,Projects!$A$12,'M&amp;E'!$E$5:$E$22,12))*Rates!$B$8),0))*Rates!$C$18+((SUMIFS(Travel!$F$5:$F$22,Travel!$D$5:$D$22,Projects!$A$12,Travel!$E$5:$E$22,12))+IFERROR((SUMIFS(Travel!$F$5:$F$22,Travel!$D$5:$D$22,Projects!$A$12,Travel!$E$5:$E$22,12))/((SUMPRODUCT((Labor!$G$6:$G$25=Projects!$A$12)*(Labor!$E$6:$E$25="Prime")*N(Labor!$BC$6:$BC$25))*(1+Rates!$B$6)*(1+Rates!$B$7)+SUMPRODUCT((Labor!$G$6:$G$25=Projects!$A$12)*(Labor!$E$6:$E$25="Sub")*N(Labor!$BC$6:$BC$25)))+SUMIFS(ODCs!$F$5:$F$22,ODCs!$D$5:$D$22,Projects!$A$12,ODCs!$E$5:$E$22,12)+SUMIFS(Travel!$F$5:$F$22,Travel!$D$5:$D$22,Projects!$A$12,Travel!$E$5:$E$22,12)+SUMIFS('M&amp;E'!$F$5:$F$22,'M&amp;E'!$D$5:$D$22,Projects!$A$12,'M&amp;E'!$E$5:$E$22,12))*(((SUMPRODUCT((Labor!$G$6:$G$25=Projects!$A$12)*(Labor!$E$6:$E$25="Prime")*N(Labor!$BC$6:$BC$25))*(1+Rates!$B$6)*(1+Rates!$B$7)+SUMPRODUCT((Labor!$G$6:$G$25=Projects!$A$12)*(Labor!$E$6:$E$25="Sub")*N(Labor!$BC$6:$BC$25)))+SUMIFS(ODCs!$F$5:$F$22,ODCs!$D$5:$D$22,Projects!$A$12,ODCs!$E$5:$E$22,12)+SUMIFS(Travel!$F$5:$F$22,Travel!$D$5:$D$22,Projects!$A$12,Travel!$E$5:$E$22,12)+SUMIFS('M&amp;E'!$F$5:$F$22,'M&amp;E'!$D$5:$D$22,Projects!$A$12,'M&amp;E'!$E$5:$E$22,12))*Rates!$B$8),0))*Rates!$C$19+((SUMIFS(ODCs!$F$5:$F$22,ODCs!$D$5:$D$22,Projects!$A$12,ODCs!$E$5:$E$22,12))+IFERROR((SUMIFS(ODCs!$F$5:$F$22,ODCs!$D$5:$D$22,Projects!$A$12,ODCs!$E$5:$E$22,12))/((SUMPRODUCT((Labor!$G$6:$G$25=Projects!$A$12)*(Labor!$E$6:$E$25="Prime")*N(Labor!$BC$6:$BC$25))*(1+Rates!$B$6)*(1+Rates!$B$7)+SUMPRODUCT((Labor!$G$6:$G$25=Projects!$A$12)*(Labor!$E$6:$E$25="Sub")*N(Labor!$BC$6:$BC$25)))+SUMIFS(ODCs!$F$5:$F$22,ODCs!$D$5:$D$22,Projects!$A$12,ODCs!$E$5:$E$22,12)+SUMIFS(Travel!$F$5:$F$22,Travel!$D$5:$D$22,Projects!$A$12,Travel!$E$5:$E$22,12)+SUMIFS('M&amp;E'!$F$5:$F$22,'M&amp;E'!$D$5:$D$22,Projects!$A$12,'M&amp;E'!$E$5:$E$22,12))*(((SUMPRODUCT((Labor!$G$6:$G$25=Projects!$A$12)*(Labor!$E$6:$E$25="Prime")*N(Labor!$BC$6:$BC$25))*(1+Rates!$B$6)*(1+Rates!$B$7)+SUMPRODUCT((Labor!$G$6:$G$25=Projects!$A$12)*(Labor!$E$6:$E$25="Sub")*N(Labor!$BC$6:$BC$25)))+SUMIFS(ODCs!$F$5:$F$22,ODCs!$D$5:$D$22,Projects!$A$12,ODCs!$E$5:$E$22,12)+SUMIFS(Travel!$F$5:$F$22,Travel!$D$5:$D$22,Projects!$A$12,Travel!$E$5:$E$22,12)+SUMIFS('M&amp;E'!$F$5:$F$22,'M&amp;E'!$D$5:$D$22,Projects!$A$12,'M&amp;E'!$E$5:$E$22,12))*Rates!$B$8),0))*Rates!$C$20+((SUMIFS('M&amp;E'!$F$5:$F$22,'M&amp;E'!$D$5:$D$22,Projects!$A$12,'M&amp;E'!$E$5:$E$22,12))+IFERROR((SUMIFS('M&amp;E'!$F$5:$F$22,'M&amp;E'!$D$5:$D$22,Projects!$A$12,'M&amp;E'!$E$5:$E$22,12))/((SUMPRODUCT((Labor!$G$6:$G$25=Projects!$A$12)*(Labor!$E$6:$E$25="Prime")*N(Labor!$BC$6:$BC$25))*(1+Rates!$B$6)*(1+Rates!$B$7)+SUMPRODUCT((Labor!$G$6:$G$25=Projects!$A$12)*(Labor!$E$6:$E$25="Sub")*N(Labor!$BC$6:$BC$25)))+SUMIFS(ODCs!$F$5:$F$22,ODCs!$D$5:$D$22,Projects!$A$12,ODCs!$E$5:$E$22,12)+SUMIFS(Travel!$F$5:$F$22,Travel!$D$5:$D$22,Projects!$A$12,Travel!$E$5:$E$22,12)+SUMIFS('M&amp;E'!$F$5:$F$22,'M&amp;E'!$D$5:$D$22,Projects!$A$12,'M&amp;E'!$E$5:$E$22,12))*(((SUMPRODUCT((Labor!$G$6:$G$25=Projects!$A$12)*(Labor!$E$6:$E$25="Prime")*N(Labor!$BC$6:$BC$25))*(1+Rates!$B$6)*(1+Rates!$B$7)+SUMPRODUCT((Labor!$G$6:$G$25=Projects!$A$12)*(Labor!$E$6:$E$25="Sub")*N(Labor!$BC$6:$BC$25)))+SUMIFS(ODCs!$F$5:$F$22,ODCs!$D$5:$D$22,Projects!$A$12,ODCs!$E$5:$E$22,12)+SUMIFS(Travel!$F$5:$F$22,Travel!$D$5:$D$22,Projects!$A$12,Travel!$E$5:$E$22,12)+SUMIFS('M&amp;E'!$F$5:$F$22,'M&amp;E'!$D$5:$D$22,Projects!$A$12,'M&amp;E'!$E$5:$E$22,12))*Rates!$B$8),0))*Rates!$C$21))</f>
        <v/>
      </c>
      <c r="N53" s="135">
        <f>SUM(B53,C53,D53)</f>
        <v/>
      </c>
      <c r="O53" s="135">
        <f>SUM(E53,F53,G53)</f>
        <v/>
      </c>
      <c r="P53" s="135">
        <f>SUM(H53,I53,J53)</f>
        <v/>
      </c>
      <c r="Q53" s="135">
        <f>SUM(K53,L53,M53)</f>
        <v/>
      </c>
      <c r="R53" s="135">
        <f>SUM(N53,O53,P53,Q53)</f>
        <v/>
      </c>
    </row>
    <row r="54">
      <c r="A54" s="117" t="inlineStr">
        <is>
          <t>Variance $</t>
        </is>
      </c>
      <c r="B54" s="204">
        <f>IFERROR(IF(B53="","",B53-B52),0)</f>
        <v/>
      </c>
      <c r="C54" s="204">
        <f>IFERROR(IF(C53="","",C53-C52),0)</f>
        <v/>
      </c>
      <c r="D54" s="204">
        <f>IFERROR(IF(D53="","",D53-D52),0)</f>
        <v/>
      </c>
      <c r="E54" s="204">
        <f>IFERROR(IF(E53="","",E53-E52),0)</f>
        <v/>
      </c>
      <c r="F54" s="204">
        <f>IFERROR(IF(F53="","",F53-F52),0)</f>
        <v/>
      </c>
      <c r="G54" s="204">
        <f>IFERROR(IF(G53="","",G53-G52),0)</f>
        <v/>
      </c>
      <c r="H54" s="204">
        <f>IFERROR(IF(H53="","",H53-H52),0)</f>
        <v/>
      </c>
      <c r="I54" s="204">
        <f>IFERROR(IF(I53="","",I53-I52),0)</f>
        <v/>
      </c>
      <c r="J54" s="204">
        <f>IFERROR(IF(J53="","",J53-J52),0)</f>
        <v/>
      </c>
      <c r="K54" s="204">
        <f>IFERROR(IF(K53="","",K53-K52),0)</f>
        <v/>
      </c>
      <c r="L54" s="204">
        <f>IFERROR(IF(L53="","",L53-L52),0)</f>
        <v/>
      </c>
      <c r="M54" s="204">
        <f>IFERROR(IF(M53="","",M53-M52),0)</f>
        <v/>
      </c>
      <c r="N54" s="135">
        <f>SUM(B54,C54,D54)</f>
        <v/>
      </c>
      <c r="O54" s="135">
        <f>SUM(E54,F54,G54)</f>
        <v/>
      </c>
      <c r="P54" s="135">
        <f>SUM(H54,I54,J54)</f>
        <v/>
      </c>
      <c r="Q54" s="135">
        <f>SUM(K54,L54,M54)</f>
        <v/>
      </c>
      <c r="R54" s="135">
        <f>SUM(N54,O54,P54,Q54)</f>
        <v/>
      </c>
    </row>
    <row r="55">
      <c r="A55" s="117" t="inlineStr">
        <is>
          <t>Variance %</t>
        </is>
      </c>
      <c r="B55" s="205">
        <f>IFERROR(B54/B52,0)</f>
        <v/>
      </c>
      <c r="C55" s="205">
        <f>IFERROR(C54/C52,0)</f>
        <v/>
      </c>
      <c r="D55" s="205">
        <f>IFERROR(D54/D52,0)</f>
        <v/>
      </c>
      <c r="E55" s="205">
        <f>IFERROR(E54/E52,0)</f>
        <v/>
      </c>
      <c r="F55" s="205">
        <f>IFERROR(F54/F52,0)</f>
        <v/>
      </c>
      <c r="G55" s="205">
        <f>IFERROR(G54/G52,0)</f>
        <v/>
      </c>
      <c r="H55" s="205">
        <f>IFERROR(H54/H52,0)</f>
        <v/>
      </c>
      <c r="I55" s="205">
        <f>IFERROR(I54/I52,0)</f>
        <v/>
      </c>
      <c r="J55" s="205">
        <f>IFERROR(J54/J52,0)</f>
        <v/>
      </c>
      <c r="K55" s="205">
        <f>IFERROR(K54/K52,0)</f>
        <v/>
      </c>
      <c r="L55" s="205">
        <f>IFERROR(L54/L52,0)</f>
        <v/>
      </c>
      <c r="M55" s="205">
        <f>IFERROR(M54/M52,0)</f>
        <v/>
      </c>
      <c r="N55" s="140">
        <f>IFERROR(N54/N52,0)</f>
        <v/>
      </c>
      <c r="O55" s="140">
        <f>IFERROR(O54/O52,0)</f>
        <v/>
      </c>
      <c r="P55" s="140">
        <f>IFERROR(P54/P52,0)</f>
        <v/>
      </c>
      <c r="Q55" s="140">
        <f>IFERROR(Q54/Q52,0)</f>
        <v/>
      </c>
      <c r="R55" s="140">
        <f>IFERROR(R54/R52,0)</f>
        <v/>
      </c>
    </row>
    <row r="57">
      <c r="A57" s="136">
        <f>IF(Projects!$A$13="","",Projects!$A$13&amp;" — "&amp;Projects!$B$13)</f>
        <v/>
      </c>
    </row>
    <row r="58">
      <c r="A58" s="124" t="inlineStr">
        <is>
          <t>Forecasted Revenue $</t>
        </is>
      </c>
      <c r="B58" s="131" t="n">
        <v>0</v>
      </c>
      <c r="C58" s="131" t="n">
        <v>0</v>
      </c>
      <c r="D58" s="131" t="n">
        <v>0</v>
      </c>
      <c r="E58" s="131" t="n">
        <v>0</v>
      </c>
      <c r="F58" s="131" t="n">
        <v>0</v>
      </c>
      <c r="G58" s="131" t="n">
        <v>0</v>
      </c>
      <c r="H58" s="131" t="n">
        <v>0</v>
      </c>
      <c r="I58" s="131" t="n">
        <v>0</v>
      </c>
      <c r="J58" s="131" t="n">
        <v>0</v>
      </c>
      <c r="K58" s="131" t="n">
        <v>0</v>
      </c>
      <c r="L58" s="131" t="n">
        <v>0</v>
      </c>
      <c r="M58" s="131" t="n">
        <v>0</v>
      </c>
      <c r="N58" s="135">
        <f>SUM(B58,C58,D58)</f>
        <v/>
      </c>
      <c r="O58" s="135">
        <f>SUM(E58,F58,G58)</f>
        <v/>
      </c>
      <c r="P58" s="135">
        <f>SUM(H58,I58,J58)</f>
        <v/>
      </c>
      <c r="Q58" s="135">
        <f>SUM(K58,L58,M58)</f>
        <v/>
      </c>
      <c r="R58" s="135">
        <f>SUM(N58,O58,P58,Q58)</f>
        <v/>
      </c>
    </row>
    <row r="59">
      <c r="A59" s="124" t="inlineStr">
        <is>
          <t>Actual Revenue $</t>
        </is>
      </c>
      <c r="B59" s="132">
        <f>IF(Projects!$A$13="","",(((SUMPRODUCT((Labor!$G$6:$G$25=Projects!$A$13)*(Labor!$E$6:$E$25="Prime")*N(Labor!$K$6:$K$25))*(1+Rates!$B$6)*(1+Rates!$B$7)+SUMPRODUCT((Labor!$G$6:$G$25=Projects!$A$13)*(Labor!$E$6:$E$25="Sub")*N(Labor!$K$6:$K$25)))+SUMIFS(ODCs!$F$5:$F$22,ODCs!$D$5:$D$22,Projects!$A$13,ODCs!$E$5:$E$22,1)+SUMIFS(Travel!$F$5:$F$22,Travel!$D$5:$D$22,Projects!$A$13,Travel!$E$5:$E$22,1)+SUMIFS('M&amp;E'!$F$5:$F$22,'M&amp;E'!$D$5:$D$22,Projects!$A$13,'M&amp;E'!$E$5:$E$22,1))+(((SUMPRODUCT((Labor!$G$6:$G$25=Projects!$A$13)*(Labor!$E$6:$E$25="Prime")*N(Labor!$K$6:$K$25))*(1+Rates!$B$6)*(1+Rates!$B$7)+SUMPRODUCT((Labor!$G$6:$G$25=Projects!$A$13)*(Labor!$E$6:$E$25="Sub")*N(Labor!$K$6:$K$25)))+SUMIFS(ODCs!$F$5:$F$22,ODCs!$D$5:$D$22,Projects!$A$13,ODCs!$E$5:$E$22,1)+SUMIFS(Travel!$F$5:$F$22,Travel!$D$5:$D$22,Projects!$A$13,Travel!$E$5:$E$22,1)+SUMIFS('M&amp;E'!$F$5:$F$22,'M&amp;E'!$D$5:$D$22,Projects!$A$13,'M&amp;E'!$E$5:$E$22,1))*Rates!$B$8))+((((SUMPRODUCT((Labor!$G$6:$G$25=Projects!$A$13)*(Labor!$E$6:$E$25="Prime")*N(Labor!$K$6:$K$25))*(1+Rates!$B$6)*(1+Rates!$B$7)+SUMPRODUCT((Labor!$G$6:$G$25=Projects!$A$13)*(Labor!$E$6:$E$25="Sub")*N(Labor!$K$6:$K$25))))+IFERROR(((SUMPRODUCT((Labor!$G$6:$G$25=Projects!$A$13)*(Labor!$E$6:$E$25="Prime")*N(Labor!$K$6:$K$25))*(1+Rates!$B$6)*(1+Rates!$B$7)+SUMPRODUCT((Labor!$G$6:$G$25=Projects!$A$13)*(Labor!$E$6:$E$25="Sub")*N(Labor!$K$6:$K$25))))/((SUMPRODUCT((Labor!$G$6:$G$25=Projects!$A$13)*(Labor!$E$6:$E$25="Prime")*N(Labor!$K$6:$K$25))*(1+Rates!$B$6)*(1+Rates!$B$7)+SUMPRODUCT((Labor!$G$6:$G$25=Projects!$A$13)*(Labor!$E$6:$E$25="Sub")*N(Labor!$K$6:$K$25)))+SUMIFS(ODCs!$F$5:$F$22,ODCs!$D$5:$D$22,Projects!$A$13,ODCs!$E$5:$E$22,1)+SUMIFS(Travel!$F$5:$F$22,Travel!$D$5:$D$22,Projects!$A$13,Travel!$E$5:$E$22,1)+SUMIFS('M&amp;E'!$F$5:$F$22,'M&amp;E'!$D$5:$D$22,Projects!$A$13,'M&amp;E'!$E$5:$E$22,1))*(((SUMPRODUCT((Labor!$G$6:$G$25=Projects!$A$13)*(Labor!$E$6:$E$25="Prime")*N(Labor!$K$6:$K$25))*(1+Rates!$B$6)*(1+Rates!$B$7)+SUMPRODUCT((Labor!$G$6:$G$25=Projects!$A$13)*(Labor!$E$6:$E$25="Sub")*N(Labor!$K$6:$K$25)))+SUMIFS(ODCs!$F$5:$F$22,ODCs!$D$5:$D$22,Projects!$A$13,ODCs!$E$5:$E$22,1)+SUMIFS(Travel!$F$5:$F$22,Travel!$D$5:$D$22,Projects!$A$13,Travel!$E$5:$E$22,1)+SUMIFS('M&amp;E'!$F$5:$F$22,'M&amp;E'!$D$5:$D$22,Projects!$A$13,'M&amp;E'!$E$5:$E$22,1))*Rates!$B$8),0))*Rates!$C$18+((SUMIFS(Travel!$F$5:$F$22,Travel!$D$5:$D$22,Projects!$A$13,Travel!$E$5:$E$22,1))+IFERROR((SUMIFS(Travel!$F$5:$F$22,Travel!$D$5:$D$22,Projects!$A$13,Travel!$E$5:$E$22,1))/((SUMPRODUCT((Labor!$G$6:$G$25=Projects!$A$13)*(Labor!$E$6:$E$25="Prime")*N(Labor!$K$6:$K$25))*(1+Rates!$B$6)*(1+Rates!$B$7)+SUMPRODUCT((Labor!$G$6:$G$25=Projects!$A$13)*(Labor!$E$6:$E$25="Sub")*N(Labor!$K$6:$K$25)))+SUMIFS(ODCs!$F$5:$F$22,ODCs!$D$5:$D$22,Projects!$A$13,ODCs!$E$5:$E$22,1)+SUMIFS(Travel!$F$5:$F$22,Travel!$D$5:$D$22,Projects!$A$13,Travel!$E$5:$E$22,1)+SUMIFS('M&amp;E'!$F$5:$F$22,'M&amp;E'!$D$5:$D$22,Projects!$A$13,'M&amp;E'!$E$5:$E$22,1))*(((SUMPRODUCT((Labor!$G$6:$G$25=Projects!$A$13)*(Labor!$E$6:$E$25="Prime")*N(Labor!$K$6:$K$25))*(1+Rates!$B$6)*(1+Rates!$B$7)+SUMPRODUCT((Labor!$G$6:$G$25=Projects!$A$13)*(Labor!$E$6:$E$25="Sub")*N(Labor!$K$6:$K$25)))+SUMIFS(ODCs!$F$5:$F$22,ODCs!$D$5:$D$22,Projects!$A$13,ODCs!$E$5:$E$22,1)+SUMIFS(Travel!$F$5:$F$22,Travel!$D$5:$D$22,Projects!$A$13,Travel!$E$5:$E$22,1)+SUMIFS('M&amp;E'!$F$5:$F$22,'M&amp;E'!$D$5:$D$22,Projects!$A$13,'M&amp;E'!$E$5:$E$22,1))*Rates!$B$8),0))*Rates!$C$19+((SUMIFS(ODCs!$F$5:$F$22,ODCs!$D$5:$D$22,Projects!$A$13,ODCs!$E$5:$E$22,1))+IFERROR((SUMIFS(ODCs!$F$5:$F$22,ODCs!$D$5:$D$22,Projects!$A$13,ODCs!$E$5:$E$22,1))/((SUMPRODUCT((Labor!$G$6:$G$25=Projects!$A$13)*(Labor!$E$6:$E$25="Prime")*N(Labor!$K$6:$K$25))*(1+Rates!$B$6)*(1+Rates!$B$7)+SUMPRODUCT((Labor!$G$6:$G$25=Projects!$A$13)*(Labor!$E$6:$E$25="Sub")*N(Labor!$K$6:$K$25)))+SUMIFS(ODCs!$F$5:$F$22,ODCs!$D$5:$D$22,Projects!$A$13,ODCs!$E$5:$E$22,1)+SUMIFS(Travel!$F$5:$F$22,Travel!$D$5:$D$22,Projects!$A$13,Travel!$E$5:$E$22,1)+SUMIFS('M&amp;E'!$F$5:$F$22,'M&amp;E'!$D$5:$D$22,Projects!$A$13,'M&amp;E'!$E$5:$E$22,1))*(((SUMPRODUCT((Labor!$G$6:$G$25=Projects!$A$13)*(Labor!$E$6:$E$25="Prime")*N(Labor!$K$6:$K$25))*(1+Rates!$B$6)*(1+Rates!$B$7)+SUMPRODUCT((Labor!$G$6:$G$25=Projects!$A$13)*(Labor!$E$6:$E$25="Sub")*N(Labor!$K$6:$K$25)))+SUMIFS(ODCs!$F$5:$F$22,ODCs!$D$5:$D$22,Projects!$A$13,ODCs!$E$5:$E$22,1)+SUMIFS(Travel!$F$5:$F$22,Travel!$D$5:$D$22,Projects!$A$13,Travel!$E$5:$E$22,1)+SUMIFS('M&amp;E'!$F$5:$F$22,'M&amp;E'!$D$5:$D$22,Projects!$A$13,'M&amp;E'!$E$5:$E$22,1))*Rates!$B$8),0))*Rates!$C$20+((SUMIFS('M&amp;E'!$F$5:$F$22,'M&amp;E'!$D$5:$D$22,Projects!$A$13,'M&amp;E'!$E$5:$E$22,1))+IFERROR((SUMIFS('M&amp;E'!$F$5:$F$22,'M&amp;E'!$D$5:$D$22,Projects!$A$13,'M&amp;E'!$E$5:$E$22,1))/((SUMPRODUCT((Labor!$G$6:$G$25=Projects!$A$13)*(Labor!$E$6:$E$25="Prime")*N(Labor!$K$6:$K$25))*(1+Rates!$B$6)*(1+Rates!$B$7)+SUMPRODUCT((Labor!$G$6:$G$25=Projects!$A$13)*(Labor!$E$6:$E$25="Sub")*N(Labor!$K$6:$K$25)))+SUMIFS(ODCs!$F$5:$F$22,ODCs!$D$5:$D$22,Projects!$A$13,ODCs!$E$5:$E$22,1)+SUMIFS(Travel!$F$5:$F$22,Travel!$D$5:$D$22,Projects!$A$13,Travel!$E$5:$E$22,1)+SUMIFS('M&amp;E'!$F$5:$F$22,'M&amp;E'!$D$5:$D$22,Projects!$A$13,'M&amp;E'!$E$5:$E$22,1))*(((SUMPRODUCT((Labor!$G$6:$G$25=Projects!$A$13)*(Labor!$E$6:$E$25="Prime")*N(Labor!$K$6:$K$25))*(1+Rates!$B$6)*(1+Rates!$B$7)+SUMPRODUCT((Labor!$G$6:$G$25=Projects!$A$13)*(Labor!$E$6:$E$25="Sub")*N(Labor!$K$6:$K$25)))+SUMIFS(ODCs!$F$5:$F$22,ODCs!$D$5:$D$22,Projects!$A$13,ODCs!$E$5:$E$22,1)+SUMIFS(Travel!$F$5:$F$22,Travel!$D$5:$D$22,Projects!$A$13,Travel!$E$5:$E$22,1)+SUMIFS('M&amp;E'!$F$5:$F$22,'M&amp;E'!$D$5:$D$22,Projects!$A$13,'M&amp;E'!$E$5:$E$22,1))*Rates!$B$8),0))*Rates!$C$21))</f>
        <v/>
      </c>
      <c r="C59" s="132">
        <f>IF(Projects!$A$13="","",(((SUMPRODUCT((Labor!$G$6:$G$25=Projects!$A$13)*(Labor!$E$6:$E$25="Prime")*N(Labor!$O$6:$O$25))*(1+Rates!$B$6)*(1+Rates!$B$7)+SUMPRODUCT((Labor!$G$6:$G$25=Projects!$A$13)*(Labor!$E$6:$E$25="Sub")*N(Labor!$O$6:$O$25)))+SUMIFS(ODCs!$F$5:$F$22,ODCs!$D$5:$D$22,Projects!$A$13,ODCs!$E$5:$E$22,2)+SUMIFS(Travel!$F$5:$F$22,Travel!$D$5:$D$22,Projects!$A$13,Travel!$E$5:$E$22,2)+SUMIFS('M&amp;E'!$F$5:$F$22,'M&amp;E'!$D$5:$D$22,Projects!$A$13,'M&amp;E'!$E$5:$E$22,2))+(((SUMPRODUCT((Labor!$G$6:$G$25=Projects!$A$13)*(Labor!$E$6:$E$25="Prime")*N(Labor!$O$6:$O$25))*(1+Rates!$B$6)*(1+Rates!$B$7)+SUMPRODUCT((Labor!$G$6:$G$25=Projects!$A$13)*(Labor!$E$6:$E$25="Sub")*N(Labor!$O$6:$O$25)))+SUMIFS(ODCs!$F$5:$F$22,ODCs!$D$5:$D$22,Projects!$A$13,ODCs!$E$5:$E$22,2)+SUMIFS(Travel!$F$5:$F$22,Travel!$D$5:$D$22,Projects!$A$13,Travel!$E$5:$E$22,2)+SUMIFS('M&amp;E'!$F$5:$F$22,'M&amp;E'!$D$5:$D$22,Projects!$A$13,'M&amp;E'!$E$5:$E$22,2))*Rates!$B$8))+((((SUMPRODUCT((Labor!$G$6:$G$25=Projects!$A$13)*(Labor!$E$6:$E$25="Prime")*N(Labor!$O$6:$O$25))*(1+Rates!$B$6)*(1+Rates!$B$7)+SUMPRODUCT((Labor!$G$6:$G$25=Projects!$A$13)*(Labor!$E$6:$E$25="Sub")*N(Labor!$O$6:$O$25))))+IFERROR(((SUMPRODUCT((Labor!$G$6:$G$25=Projects!$A$13)*(Labor!$E$6:$E$25="Prime")*N(Labor!$O$6:$O$25))*(1+Rates!$B$6)*(1+Rates!$B$7)+SUMPRODUCT((Labor!$G$6:$G$25=Projects!$A$13)*(Labor!$E$6:$E$25="Sub")*N(Labor!$O$6:$O$25))))/((SUMPRODUCT((Labor!$G$6:$G$25=Projects!$A$13)*(Labor!$E$6:$E$25="Prime")*N(Labor!$O$6:$O$25))*(1+Rates!$B$6)*(1+Rates!$B$7)+SUMPRODUCT((Labor!$G$6:$G$25=Projects!$A$13)*(Labor!$E$6:$E$25="Sub")*N(Labor!$O$6:$O$25)))+SUMIFS(ODCs!$F$5:$F$22,ODCs!$D$5:$D$22,Projects!$A$13,ODCs!$E$5:$E$22,2)+SUMIFS(Travel!$F$5:$F$22,Travel!$D$5:$D$22,Projects!$A$13,Travel!$E$5:$E$22,2)+SUMIFS('M&amp;E'!$F$5:$F$22,'M&amp;E'!$D$5:$D$22,Projects!$A$13,'M&amp;E'!$E$5:$E$22,2))*(((SUMPRODUCT((Labor!$G$6:$G$25=Projects!$A$13)*(Labor!$E$6:$E$25="Prime")*N(Labor!$O$6:$O$25))*(1+Rates!$B$6)*(1+Rates!$B$7)+SUMPRODUCT((Labor!$G$6:$G$25=Projects!$A$13)*(Labor!$E$6:$E$25="Sub")*N(Labor!$O$6:$O$25)))+SUMIFS(ODCs!$F$5:$F$22,ODCs!$D$5:$D$22,Projects!$A$13,ODCs!$E$5:$E$22,2)+SUMIFS(Travel!$F$5:$F$22,Travel!$D$5:$D$22,Projects!$A$13,Travel!$E$5:$E$22,2)+SUMIFS('M&amp;E'!$F$5:$F$22,'M&amp;E'!$D$5:$D$22,Projects!$A$13,'M&amp;E'!$E$5:$E$22,2))*Rates!$B$8),0))*Rates!$C$18+((SUMIFS(Travel!$F$5:$F$22,Travel!$D$5:$D$22,Projects!$A$13,Travel!$E$5:$E$22,2))+IFERROR((SUMIFS(Travel!$F$5:$F$22,Travel!$D$5:$D$22,Projects!$A$13,Travel!$E$5:$E$22,2))/((SUMPRODUCT((Labor!$G$6:$G$25=Projects!$A$13)*(Labor!$E$6:$E$25="Prime")*N(Labor!$O$6:$O$25))*(1+Rates!$B$6)*(1+Rates!$B$7)+SUMPRODUCT((Labor!$G$6:$G$25=Projects!$A$13)*(Labor!$E$6:$E$25="Sub")*N(Labor!$O$6:$O$25)))+SUMIFS(ODCs!$F$5:$F$22,ODCs!$D$5:$D$22,Projects!$A$13,ODCs!$E$5:$E$22,2)+SUMIFS(Travel!$F$5:$F$22,Travel!$D$5:$D$22,Projects!$A$13,Travel!$E$5:$E$22,2)+SUMIFS('M&amp;E'!$F$5:$F$22,'M&amp;E'!$D$5:$D$22,Projects!$A$13,'M&amp;E'!$E$5:$E$22,2))*(((SUMPRODUCT((Labor!$G$6:$G$25=Projects!$A$13)*(Labor!$E$6:$E$25="Prime")*N(Labor!$O$6:$O$25))*(1+Rates!$B$6)*(1+Rates!$B$7)+SUMPRODUCT((Labor!$G$6:$G$25=Projects!$A$13)*(Labor!$E$6:$E$25="Sub")*N(Labor!$O$6:$O$25)))+SUMIFS(ODCs!$F$5:$F$22,ODCs!$D$5:$D$22,Projects!$A$13,ODCs!$E$5:$E$22,2)+SUMIFS(Travel!$F$5:$F$22,Travel!$D$5:$D$22,Projects!$A$13,Travel!$E$5:$E$22,2)+SUMIFS('M&amp;E'!$F$5:$F$22,'M&amp;E'!$D$5:$D$22,Projects!$A$13,'M&amp;E'!$E$5:$E$22,2))*Rates!$B$8),0))*Rates!$C$19+((SUMIFS(ODCs!$F$5:$F$22,ODCs!$D$5:$D$22,Projects!$A$13,ODCs!$E$5:$E$22,2))+IFERROR((SUMIFS(ODCs!$F$5:$F$22,ODCs!$D$5:$D$22,Projects!$A$13,ODCs!$E$5:$E$22,2))/((SUMPRODUCT((Labor!$G$6:$G$25=Projects!$A$13)*(Labor!$E$6:$E$25="Prime")*N(Labor!$O$6:$O$25))*(1+Rates!$B$6)*(1+Rates!$B$7)+SUMPRODUCT((Labor!$G$6:$G$25=Projects!$A$13)*(Labor!$E$6:$E$25="Sub")*N(Labor!$O$6:$O$25)))+SUMIFS(ODCs!$F$5:$F$22,ODCs!$D$5:$D$22,Projects!$A$13,ODCs!$E$5:$E$22,2)+SUMIFS(Travel!$F$5:$F$22,Travel!$D$5:$D$22,Projects!$A$13,Travel!$E$5:$E$22,2)+SUMIFS('M&amp;E'!$F$5:$F$22,'M&amp;E'!$D$5:$D$22,Projects!$A$13,'M&amp;E'!$E$5:$E$22,2))*(((SUMPRODUCT((Labor!$G$6:$G$25=Projects!$A$13)*(Labor!$E$6:$E$25="Prime")*N(Labor!$O$6:$O$25))*(1+Rates!$B$6)*(1+Rates!$B$7)+SUMPRODUCT((Labor!$G$6:$G$25=Projects!$A$13)*(Labor!$E$6:$E$25="Sub")*N(Labor!$O$6:$O$25)))+SUMIFS(ODCs!$F$5:$F$22,ODCs!$D$5:$D$22,Projects!$A$13,ODCs!$E$5:$E$22,2)+SUMIFS(Travel!$F$5:$F$22,Travel!$D$5:$D$22,Projects!$A$13,Travel!$E$5:$E$22,2)+SUMIFS('M&amp;E'!$F$5:$F$22,'M&amp;E'!$D$5:$D$22,Projects!$A$13,'M&amp;E'!$E$5:$E$22,2))*Rates!$B$8),0))*Rates!$C$20+((SUMIFS('M&amp;E'!$F$5:$F$22,'M&amp;E'!$D$5:$D$22,Projects!$A$13,'M&amp;E'!$E$5:$E$22,2))+IFERROR((SUMIFS('M&amp;E'!$F$5:$F$22,'M&amp;E'!$D$5:$D$22,Projects!$A$13,'M&amp;E'!$E$5:$E$22,2))/((SUMPRODUCT((Labor!$G$6:$G$25=Projects!$A$13)*(Labor!$E$6:$E$25="Prime")*N(Labor!$O$6:$O$25))*(1+Rates!$B$6)*(1+Rates!$B$7)+SUMPRODUCT((Labor!$G$6:$G$25=Projects!$A$13)*(Labor!$E$6:$E$25="Sub")*N(Labor!$O$6:$O$25)))+SUMIFS(ODCs!$F$5:$F$22,ODCs!$D$5:$D$22,Projects!$A$13,ODCs!$E$5:$E$22,2)+SUMIFS(Travel!$F$5:$F$22,Travel!$D$5:$D$22,Projects!$A$13,Travel!$E$5:$E$22,2)+SUMIFS('M&amp;E'!$F$5:$F$22,'M&amp;E'!$D$5:$D$22,Projects!$A$13,'M&amp;E'!$E$5:$E$22,2))*(((SUMPRODUCT((Labor!$G$6:$G$25=Projects!$A$13)*(Labor!$E$6:$E$25="Prime")*N(Labor!$O$6:$O$25))*(1+Rates!$B$6)*(1+Rates!$B$7)+SUMPRODUCT((Labor!$G$6:$G$25=Projects!$A$13)*(Labor!$E$6:$E$25="Sub")*N(Labor!$O$6:$O$25)))+SUMIFS(ODCs!$F$5:$F$22,ODCs!$D$5:$D$22,Projects!$A$13,ODCs!$E$5:$E$22,2)+SUMIFS(Travel!$F$5:$F$22,Travel!$D$5:$D$22,Projects!$A$13,Travel!$E$5:$E$22,2)+SUMIFS('M&amp;E'!$F$5:$F$22,'M&amp;E'!$D$5:$D$22,Projects!$A$13,'M&amp;E'!$E$5:$E$22,2))*Rates!$B$8),0))*Rates!$C$21))</f>
        <v/>
      </c>
      <c r="D59" s="132">
        <f>IF(Projects!$A$13="","",(((SUMPRODUCT((Labor!$G$6:$G$25=Projects!$A$13)*(Labor!$E$6:$E$25="Prime")*N(Labor!$S$6:$S$25))*(1+Rates!$B$6)*(1+Rates!$B$7)+SUMPRODUCT((Labor!$G$6:$G$25=Projects!$A$13)*(Labor!$E$6:$E$25="Sub")*N(Labor!$S$6:$S$25)))+SUMIFS(ODCs!$F$5:$F$22,ODCs!$D$5:$D$22,Projects!$A$13,ODCs!$E$5:$E$22,3)+SUMIFS(Travel!$F$5:$F$22,Travel!$D$5:$D$22,Projects!$A$13,Travel!$E$5:$E$22,3)+SUMIFS('M&amp;E'!$F$5:$F$22,'M&amp;E'!$D$5:$D$22,Projects!$A$13,'M&amp;E'!$E$5:$E$22,3))+(((SUMPRODUCT((Labor!$G$6:$G$25=Projects!$A$13)*(Labor!$E$6:$E$25="Prime")*N(Labor!$S$6:$S$25))*(1+Rates!$B$6)*(1+Rates!$B$7)+SUMPRODUCT((Labor!$G$6:$G$25=Projects!$A$13)*(Labor!$E$6:$E$25="Sub")*N(Labor!$S$6:$S$25)))+SUMIFS(ODCs!$F$5:$F$22,ODCs!$D$5:$D$22,Projects!$A$13,ODCs!$E$5:$E$22,3)+SUMIFS(Travel!$F$5:$F$22,Travel!$D$5:$D$22,Projects!$A$13,Travel!$E$5:$E$22,3)+SUMIFS('M&amp;E'!$F$5:$F$22,'M&amp;E'!$D$5:$D$22,Projects!$A$13,'M&amp;E'!$E$5:$E$22,3))*Rates!$B$8))+((((SUMPRODUCT((Labor!$G$6:$G$25=Projects!$A$13)*(Labor!$E$6:$E$25="Prime")*N(Labor!$S$6:$S$25))*(1+Rates!$B$6)*(1+Rates!$B$7)+SUMPRODUCT((Labor!$G$6:$G$25=Projects!$A$13)*(Labor!$E$6:$E$25="Sub")*N(Labor!$S$6:$S$25))))+IFERROR(((SUMPRODUCT((Labor!$G$6:$G$25=Projects!$A$13)*(Labor!$E$6:$E$25="Prime")*N(Labor!$S$6:$S$25))*(1+Rates!$B$6)*(1+Rates!$B$7)+SUMPRODUCT((Labor!$G$6:$G$25=Projects!$A$13)*(Labor!$E$6:$E$25="Sub")*N(Labor!$S$6:$S$25))))/((SUMPRODUCT((Labor!$G$6:$G$25=Projects!$A$13)*(Labor!$E$6:$E$25="Prime")*N(Labor!$S$6:$S$25))*(1+Rates!$B$6)*(1+Rates!$B$7)+SUMPRODUCT((Labor!$G$6:$G$25=Projects!$A$13)*(Labor!$E$6:$E$25="Sub")*N(Labor!$S$6:$S$25)))+SUMIFS(ODCs!$F$5:$F$22,ODCs!$D$5:$D$22,Projects!$A$13,ODCs!$E$5:$E$22,3)+SUMIFS(Travel!$F$5:$F$22,Travel!$D$5:$D$22,Projects!$A$13,Travel!$E$5:$E$22,3)+SUMIFS('M&amp;E'!$F$5:$F$22,'M&amp;E'!$D$5:$D$22,Projects!$A$13,'M&amp;E'!$E$5:$E$22,3))*(((SUMPRODUCT((Labor!$G$6:$G$25=Projects!$A$13)*(Labor!$E$6:$E$25="Prime")*N(Labor!$S$6:$S$25))*(1+Rates!$B$6)*(1+Rates!$B$7)+SUMPRODUCT((Labor!$G$6:$G$25=Projects!$A$13)*(Labor!$E$6:$E$25="Sub")*N(Labor!$S$6:$S$25)))+SUMIFS(ODCs!$F$5:$F$22,ODCs!$D$5:$D$22,Projects!$A$13,ODCs!$E$5:$E$22,3)+SUMIFS(Travel!$F$5:$F$22,Travel!$D$5:$D$22,Projects!$A$13,Travel!$E$5:$E$22,3)+SUMIFS('M&amp;E'!$F$5:$F$22,'M&amp;E'!$D$5:$D$22,Projects!$A$13,'M&amp;E'!$E$5:$E$22,3))*Rates!$B$8),0))*Rates!$C$18+((SUMIFS(Travel!$F$5:$F$22,Travel!$D$5:$D$22,Projects!$A$13,Travel!$E$5:$E$22,3))+IFERROR((SUMIFS(Travel!$F$5:$F$22,Travel!$D$5:$D$22,Projects!$A$13,Travel!$E$5:$E$22,3))/((SUMPRODUCT((Labor!$G$6:$G$25=Projects!$A$13)*(Labor!$E$6:$E$25="Prime")*N(Labor!$S$6:$S$25))*(1+Rates!$B$6)*(1+Rates!$B$7)+SUMPRODUCT((Labor!$G$6:$G$25=Projects!$A$13)*(Labor!$E$6:$E$25="Sub")*N(Labor!$S$6:$S$25)))+SUMIFS(ODCs!$F$5:$F$22,ODCs!$D$5:$D$22,Projects!$A$13,ODCs!$E$5:$E$22,3)+SUMIFS(Travel!$F$5:$F$22,Travel!$D$5:$D$22,Projects!$A$13,Travel!$E$5:$E$22,3)+SUMIFS('M&amp;E'!$F$5:$F$22,'M&amp;E'!$D$5:$D$22,Projects!$A$13,'M&amp;E'!$E$5:$E$22,3))*(((SUMPRODUCT((Labor!$G$6:$G$25=Projects!$A$13)*(Labor!$E$6:$E$25="Prime")*N(Labor!$S$6:$S$25))*(1+Rates!$B$6)*(1+Rates!$B$7)+SUMPRODUCT((Labor!$G$6:$G$25=Projects!$A$13)*(Labor!$E$6:$E$25="Sub")*N(Labor!$S$6:$S$25)))+SUMIFS(ODCs!$F$5:$F$22,ODCs!$D$5:$D$22,Projects!$A$13,ODCs!$E$5:$E$22,3)+SUMIFS(Travel!$F$5:$F$22,Travel!$D$5:$D$22,Projects!$A$13,Travel!$E$5:$E$22,3)+SUMIFS('M&amp;E'!$F$5:$F$22,'M&amp;E'!$D$5:$D$22,Projects!$A$13,'M&amp;E'!$E$5:$E$22,3))*Rates!$B$8),0))*Rates!$C$19+((SUMIFS(ODCs!$F$5:$F$22,ODCs!$D$5:$D$22,Projects!$A$13,ODCs!$E$5:$E$22,3))+IFERROR((SUMIFS(ODCs!$F$5:$F$22,ODCs!$D$5:$D$22,Projects!$A$13,ODCs!$E$5:$E$22,3))/((SUMPRODUCT((Labor!$G$6:$G$25=Projects!$A$13)*(Labor!$E$6:$E$25="Prime")*N(Labor!$S$6:$S$25))*(1+Rates!$B$6)*(1+Rates!$B$7)+SUMPRODUCT((Labor!$G$6:$G$25=Projects!$A$13)*(Labor!$E$6:$E$25="Sub")*N(Labor!$S$6:$S$25)))+SUMIFS(ODCs!$F$5:$F$22,ODCs!$D$5:$D$22,Projects!$A$13,ODCs!$E$5:$E$22,3)+SUMIFS(Travel!$F$5:$F$22,Travel!$D$5:$D$22,Projects!$A$13,Travel!$E$5:$E$22,3)+SUMIFS('M&amp;E'!$F$5:$F$22,'M&amp;E'!$D$5:$D$22,Projects!$A$13,'M&amp;E'!$E$5:$E$22,3))*(((SUMPRODUCT((Labor!$G$6:$G$25=Projects!$A$13)*(Labor!$E$6:$E$25="Prime")*N(Labor!$S$6:$S$25))*(1+Rates!$B$6)*(1+Rates!$B$7)+SUMPRODUCT((Labor!$G$6:$G$25=Projects!$A$13)*(Labor!$E$6:$E$25="Sub")*N(Labor!$S$6:$S$25)))+SUMIFS(ODCs!$F$5:$F$22,ODCs!$D$5:$D$22,Projects!$A$13,ODCs!$E$5:$E$22,3)+SUMIFS(Travel!$F$5:$F$22,Travel!$D$5:$D$22,Projects!$A$13,Travel!$E$5:$E$22,3)+SUMIFS('M&amp;E'!$F$5:$F$22,'M&amp;E'!$D$5:$D$22,Projects!$A$13,'M&amp;E'!$E$5:$E$22,3))*Rates!$B$8),0))*Rates!$C$20+((SUMIFS('M&amp;E'!$F$5:$F$22,'M&amp;E'!$D$5:$D$22,Projects!$A$13,'M&amp;E'!$E$5:$E$22,3))+IFERROR((SUMIFS('M&amp;E'!$F$5:$F$22,'M&amp;E'!$D$5:$D$22,Projects!$A$13,'M&amp;E'!$E$5:$E$22,3))/((SUMPRODUCT((Labor!$G$6:$G$25=Projects!$A$13)*(Labor!$E$6:$E$25="Prime")*N(Labor!$S$6:$S$25))*(1+Rates!$B$6)*(1+Rates!$B$7)+SUMPRODUCT((Labor!$G$6:$G$25=Projects!$A$13)*(Labor!$E$6:$E$25="Sub")*N(Labor!$S$6:$S$25)))+SUMIFS(ODCs!$F$5:$F$22,ODCs!$D$5:$D$22,Projects!$A$13,ODCs!$E$5:$E$22,3)+SUMIFS(Travel!$F$5:$F$22,Travel!$D$5:$D$22,Projects!$A$13,Travel!$E$5:$E$22,3)+SUMIFS('M&amp;E'!$F$5:$F$22,'M&amp;E'!$D$5:$D$22,Projects!$A$13,'M&amp;E'!$E$5:$E$22,3))*(((SUMPRODUCT((Labor!$G$6:$G$25=Projects!$A$13)*(Labor!$E$6:$E$25="Prime")*N(Labor!$S$6:$S$25))*(1+Rates!$B$6)*(1+Rates!$B$7)+SUMPRODUCT((Labor!$G$6:$G$25=Projects!$A$13)*(Labor!$E$6:$E$25="Sub")*N(Labor!$S$6:$S$25)))+SUMIFS(ODCs!$F$5:$F$22,ODCs!$D$5:$D$22,Projects!$A$13,ODCs!$E$5:$E$22,3)+SUMIFS(Travel!$F$5:$F$22,Travel!$D$5:$D$22,Projects!$A$13,Travel!$E$5:$E$22,3)+SUMIFS('M&amp;E'!$F$5:$F$22,'M&amp;E'!$D$5:$D$22,Projects!$A$13,'M&amp;E'!$E$5:$E$22,3))*Rates!$B$8),0))*Rates!$C$21))</f>
        <v/>
      </c>
      <c r="E59" s="132">
        <f>IF(Projects!$A$13="","",(((SUMPRODUCT((Labor!$G$6:$G$25=Projects!$A$13)*(Labor!$E$6:$E$25="Prime")*N(Labor!$W$6:$W$25))*(1+Rates!$B$6)*(1+Rates!$B$7)+SUMPRODUCT((Labor!$G$6:$G$25=Projects!$A$13)*(Labor!$E$6:$E$25="Sub")*N(Labor!$W$6:$W$25)))+SUMIFS(ODCs!$F$5:$F$22,ODCs!$D$5:$D$22,Projects!$A$13,ODCs!$E$5:$E$22,4)+SUMIFS(Travel!$F$5:$F$22,Travel!$D$5:$D$22,Projects!$A$13,Travel!$E$5:$E$22,4)+SUMIFS('M&amp;E'!$F$5:$F$22,'M&amp;E'!$D$5:$D$22,Projects!$A$13,'M&amp;E'!$E$5:$E$22,4))+(((SUMPRODUCT((Labor!$G$6:$G$25=Projects!$A$13)*(Labor!$E$6:$E$25="Prime")*N(Labor!$W$6:$W$25))*(1+Rates!$B$6)*(1+Rates!$B$7)+SUMPRODUCT((Labor!$G$6:$G$25=Projects!$A$13)*(Labor!$E$6:$E$25="Sub")*N(Labor!$W$6:$W$25)))+SUMIFS(ODCs!$F$5:$F$22,ODCs!$D$5:$D$22,Projects!$A$13,ODCs!$E$5:$E$22,4)+SUMIFS(Travel!$F$5:$F$22,Travel!$D$5:$D$22,Projects!$A$13,Travel!$E$5:$E$22,4)+SUMIFS('M&amp;E'!$F$5:$F$22,'M&amp;E'!$D$5:$D$22,Projects!$A$13,'M&amp;E'!$E$5:$E$22,4))*Rates!$B$8))+((((SUMPRODUCT((Labor!$G$6:$G$25=Projects!$A$13)*(Labor!$E$6:$E$25="Prime")*N(Labor!$W$6:$W$25))*(1+Rates!$B$6)*(1+Rates!$B$7)+SUMPRODUCT((Labor!$G$6:$G$25=Projects!$A$13)*(Labor!$E$6:$E$25="Sub")*N(Labor!$W$6:$W$25))))+IFERROR(((SUMPRODUCT((Labor!$G$6:$G$25=Projects!$A$13)*(Labor!$E$6:$E$25="Prime")*N(Labor!$W$6:$W$25))*(1+Rates!$B$6)*(1+Rates!$B$7)+SUMPRODUCT((Labor!$G$6:$G$25=Projects!$A$13)*(Labor!$E$6:$E$25="Sub")*N(Labor!$W$6:$W$25))))/((SUMPRODUCT((Labor!$G$6:$G$25=Projects!$A$13)*(Labor!$E$6:$E$25="Prime")*N(Labor!$W$6:$W$25))*(1+Rates!$B$6)*(1+Rates!$B$7)+SUMPRODUCT((Labor!$G$6:$G$25=Projects!$A$13)*(Labor!$E$6:$E$25="Sub")*N(Labor!$W$6:$W$25)))+SUMIFS(ODCs!$F$5:$F$22,ODCs!$D$5:$D$22,Projects!$A$13,ODCs!$E$5:$E$22,4)+SUMIFS(Travel!$F$5:$F$22,Travel!$D$5:$D$22,Projects!$A$13,Travel!$E$5:$E$22,4)+SUMIFS('M&amp;E'!$F$5:$F$22,'M&amp;E'!$D$5:$D$22,Projects!$A$13,'M&amp;E'!$E$5:$E$22,4))*(((SUMPRODUCT((Labor!$G$6:$G$25=Projects!$A$13)*(Labor!$E$6:$E$25="Prime")*N(Labor!$W$6:$W$25))*(1+Rates!$B$6)*(1+Rates!$B$7)+SUMPRODUCT((Labor!$G$6:$G$25=Projects!$A$13)*(Labor!$E$6:$E$25="Sub")*N(Labor!$W$6:$W$25)))+SUMIFS(ODCs!$F$5:$F$22,ODCs!$D$5:$D$22,Projects!$A$13,ODCs!$E$5:$E$22,4)+SUMIFS(Travel!$F$5:$F$22,Travel!$D$5:$D$22,Projects!$A$13,Travel!$E$5:$E$22,4)+SUMIFS('M&amp;E'!$F$5:$F$22,'M&amp;E'!$D$5:$D$22,Projects!$A$13,'M&amp;E'!$E$5:$E$22,4))*Rates!$B$8),0))*Rates!$C$18+((SUMIFS(Travel!$F$5:$F$22,Travel!$D$5:$D$22,Projects!$A$13,Travel!$E$5:$E$22,4))+IFERROR((SUMIFS(Travel!$F$5:$F$22,Travel!$D$5:$D$22,Projects!$A$13,Travel!$E$5:$E$22,4))/((SUMPRODUCT((Labor!$G$6:$G$25=Projects!$A$13)*(Labor!$E$6:$E$25="Prime")*N(Labor!$W$6:$W$25))*(1+Rates!$B$6)*(1+Rates!$B$7)+SUMPRODUCT((Labor!$G$6:$G$25=Projects!$A$13)*(Labor!$E$6:$E$25="Sub")*N(Labor!$W$6:$W$25)))+SUMIFS(ODCs!$F$5:$F$22,ODCs!$D$5:$D$22,Projects!$A$13,ODCs!$E$5:$E$22,4)+SUMIFS(Travel!$F$5:$F$22,Travel!$D$5:$D$22,Projects!$A$13,Travel!$E$5:$E$22,4)+SUMIFS('M&amp;E'!$F$5:$F$22,'M&amp;E'!$D$5:$D$22,Projects!$A$13,'M&amp;E'!$E$5:$E$22,4))*(((SUMPRODUCT((Labor!$G$6:$G$25=Projects!$A$13)*(Labor!$E$6:$E$25="Prime")*N(Labor!$W$6:$W$25))*(1+Rates!$B$6)*(1+Rates!$B$7)+SUMPRODUCT((Labor!$G$6:$G$25=Projects!$A$13)*(Labor!$E$6:$E$25="Sub")*N(Labor!$W$6:$W$25)))+SUMIFS(ODCs!$F$5:$F$22,ODCs!$D$5:$D$22,Projects!$A$13,ODCs!$E$5:$E$22,4)+SUMIFS(Travel!$F$5:$F$22,Travel!$D$5:$D$22,Projects!$A$13,Travel!$E$5:$E$22,4)+SUMIFS('M&amp;E'!$F$5:$F$22,'M&amp;E'!$D$5:$D$22,Projects!$A$13,'M&amp;E'!$E$5:$E$22,4))*Rates!$B$8),0))*Rates!$C$19+((SUMIFS(ODCs!$F$5:$F$22,ODCs!$D$5:$D$22,Projects!$A$13,ODCs!$E$5:$E$22,4))+IFERROR((SUMIFS(ODCs!$F$5:$F$22,ODCs!$D$5:$D$22,Projects!$A$13,ODCs!$E$5:$E$22,4))/((SUMPRODUCT((Labor!$G$6:$G$25=Projects!$A$13)*(Labor!$E$6:$E$25="Prime")*N(Labor!$W$6:$W$25))*(1+Rates!$B$6)*(1+Rates!$B$7)+SUMPRODUCT((Labor!$G$6:$G$25=Projects!$A$13)*(Labor!$E$6:$E$25="Sub")*N(Labor!$W$6:$W$25)))+SUMIFS(ODCs!$F$5:$F$22,ODCs!$D$5:$D$22,Projects!$A$13,ODCs!$E$5:$E$22,4)+SUMIFS(Travel!$F$5:$F$22,Travel!$D$5:$D$22,Projects!$A$13,Travel!$E$5:$E$22,4)+SUMIFS('M&amp;E'!$F$5:$F$22,'M&amp;E'!$D$5:$D$22,Projects!$A$13,'M&amp;E'!$E$5:$E$22,4))*(((SUMPRODUCT((Labor!$G$6:$G$25=Projects!$A$13)*(Labor!$E$6:$E$25="Prime")*N(Labor!$W$6:$W$25))*(1+Rates!$B$6)*(1+Rates!$B$7)+SUMPRODUCT((Labor!$G$6:$G$25=Projects!$A$13)*(Labor!$E$6:$E$25="Sub")*N(Labor!$W$6:$W$25)))+SUMIFS(ODCs!$F$5:$F$22,ODCs!$D$5:$D$22,Projects!$A$13,ODCs!$E$5:$E$22,4)+SUMIFS(Travel!$F$5:$F$22,Travel!$D$5:$D$22,Projects!$A$13,Travel!$E$5:$E$22,4)+SUMIFS('M&amp;E'!$F$5:$F$22,'M&amp;E'!$D$5:$D$22,Projects!$A$13,'M&amp;E'!$E$5:$E$22,4))*Rates!$B$8),0))*Rates!$C$20+((SUMIFS('M&amp;E'!$F$5:$F$22,'M&amp;E'!$D$5:$D$22,Projects!$A$13,'M&amp;E'!$E$5:$E$22,4))+IFERROR((SUMIFS('M&amp;E'!$F$5:$F$22,'M&amp;E'!$D$5:$D$22,Projects!$A$13,'M&amp;E'!$E$5:$E$22,4))/((SUMPRODUCT((Labor!$G$6:$G$25=Projects!$A$13)*(Labor!$E$6:$E$25="Prime")*N(Labor!$W$6:$W$25))*(1+Rates!$B$6)*(1+Rates!$B$7)+SUMPRODUCT((Labor!$G$6:$G$25=Projects!$A$13)*(Labor!$E$6:$E$25="Sub")*N(Labor!$W$6:$W$25)))+SUMIFS(ODCs!$F$5:$F$22,ODCs!$D$5:$D$22,Projects!$A$13,ODCs!$E$5:$E$22,4)+SUMIFS(Travel!$F$5:$F$22,Travel!$D$5:$D$22,Projects!$A$13,Travel!$E$5:$E$22,4)+SUMIFS('M&amp;E'!$F$5:$F$22,'M&amp;E'!$D$5:$D$22,Projects!$A$13,'M&amp;E'!$E$5:$E$22,4))*(((SUMPRODUCT((Labor!$G$6:$G$25=Projects!$A$13)*(Labor!$E$6:$E$25="Prime")*N(Labor!$W$6:$W$25))*(1+Rates!$B$6)*(1+Rates!$B$7)+SUMPRODUCT((Labor!$G$6:$G$25=Projects!$A$13)*(Labor!$E$6:$E$25="Sub")*N(Labor!$W$6:$W$25)))+SUMIFS(ODCs!$F$5:$F$22,ODCs!$D$5:$D$22,Projects!$A$13,ODCs!$E$5:$E$22,4)+SUMIFS(Travel!$F$5:$F$22,Travel!$D$5:$D$22,Projects!$A$13,Travel!$E$5:$E$22,4)+SUMIFS('M&amp;E'!$F$5:$F$22,'M&amp;E'!$D$5:$D$22,Projects!$A$13,'M&amp;E'!$E$5:$E$22,4))*Rates!$B$8),0))*Rates!$C$21))</f>
        <v/>
      </c>
      <c r="F59" s="132">
        <f>IF(Projects!$A$13="","",(((SUMPRODUCT((Labor!$G$6:$G$25=Projects!$A$13)*(Labor!$E$6:$E$25="Prime")*N(Labor!$AA$6:$AA$25))*(1+Rates!$B$6)*(1+Rates!$B$7)+SUMPRODUCT((Labor!$G$6:$G$25=Projects!$A$13)*(Labor!$E$6:$E$25="Sub")*N(Labor!$AA$6:$AA$25)))+SUMIFS(ODCs!$F$5:$F$22,ODCs!$D$5:$D$22,Projects!$A$13,ODCs!$E$5:$E$22,5)+SUMIFS(Travel!$F$5:$F$22,Travel!$D$5:$D$22,Projects!$A$13,Travel!$E$5:$E$22,5)+SUMIFS('M&amp;E'!$F$5:$F$22,'M&amp;E'!$D$5:$D$22,Projects!$A$13,'M&amp;E'!$E$5:$E$22,5))+(((SUMPRODUCT((Labor!$G$6:$G$25=Projects!$A$13)*(Labor!$E$6:$E$25="Prime")*N(Labor!$AA$6:$AA$25))*(1+Rates!$B$6)*(1+Rates!$B$7)+SUMPRODUCT((Labor!$G$6:$G$25=Projects!$A$13)*(Labor!$E$6:$E$25="Sub")*N(Labor!$AA$6:$AA$25)))+SUMIFS(ODCs!$F$5:$F$22,ODCs!$D$5:$D$22,Projects!$A$13,ODCs!$E$5:$E$22,5)+SUMIFS(Travel!$F$5:$F$22,Travel!$D$5:$D$22,Projects!$A$13,Travel!$E$5:$E$22,5)+SUMIFS('M&amp;E'!$F$5:$F$22,'M&amp;E'!$D$5:$D$22,Projects!$A$13,'M&amp;E'!$E$5:$E$22,5))*Rates!$B$8))+((((SUMPRODUCT((Labor!$G$6:$G$25=Projects!$A$13)*(Labor!$E$6:$E$25="Prime")*N(Labor!$AA$6:$AA$25))*(1+Rates!$B$6)*(1+Rates!$B$7)+SUMPRODUCT((Labor!$G$6:$G$25=Projects!$A$13)*(Labor!$E$6:$E$25="Sub")*N(Labor!$AA$6:$AA$25))))+IFERROR(((SUMPRODUCT((Labor!$G$6:$G$25=Projects!$A$13)*(Labor!$E$6:$E$25="Prime")*N(Labor!$AA$6:$AA$25))*(1+Rates!$B$6)*(1+Rates!$B$7)+SUMPRODUCT((Labor!$G$6:$G$25=Projects!$A$13)*(Labor!$E$6:$E$25="Sub")*N(Labor!$AA$6:$AA$25))))/((SUMPRODUCT((Labor!$G$6:$G$25=Projects!$A$13)*(Labor!$E$6:$E$25="Prime")*N(Labor!$AA$6:$AA$25))*(1+Rates!$B$6)*(1+Rates!$B$7)+SUMPRODUCT((Labor!$G$6:$G$25=Projects!$A$13)*(Labor!$E$6:$E$25="Sub")*N(Labor!$AA$6:$AA$25)))+SUMIFS(ODCs!$F$5:$F$22,ODCs!$D$5:$D$22,Projects!$A$13,ODCs!$E$5:$E$22,5)+SUMIFS(Travel!$F$5:$F$22,Travel!$D$5:$D$22,Projects!$A$13,Travel!$E$5:$E$22,5)+SUMIFS('M&amp;E'!$F$5:$F$22,'M&amp;E'!$D$5:$D$22,Projects!$A$13,'M&amp;E'!$E$5:$E$22,5))*(((SUMPRODUCT((Labor!$G$6:$G$25=Projects!$A$13)*(Labor!$E$6:$E$25="Prime")*N(Labor!$AA$6:$AA$25))*(1+Rates!$B$6)*(1+Rates!$B$7)+SUMPRODUCT((Labor!$G$6:$G$25=Projects!$A$13)*(Labor!$E$6:$E$25="Sub")*N(Labor!$AA$6:$AA$25)))+SUMIFS(ODCs!$F$5:$F$22,ODCs!$D$5:$D$22,Projects!$A$13,ODCs!$E$5:$E$22,5)+SUMIFS(Travel!$F$5:$F$22,Travel!$D$5:$D$22,Projects!$A$13,Travel!$E$5:$E$22,5)+SUMIFS('M&amp;E'!$F$5:$F$22,'M&amp;E'!$D$5:$D$22,Projects!$A$13,'M&amp;E'!$E$5:$E$22,5))*Rates!$B$8),0))*Rates!$C$18+((SUMIFS(Travel!$F$5:$F$22,Travel!$D$5:$D$22,Projects!$A$13,Travel!$E$5:$E$22,5))+IFERROR((SUMIFS(Travel!$F$5:$F$22,Travel!$D$5:$D$22,Projects!$A$13,Travel!$E$5:$E$22,5))/((SUMPRODUCT((Labor!$G$6:$G$25=Projects!$A$13)*(Labor!$E$6:$E$25="Prime")*N(Labor!$AA$6:$AA$25))*(1+Rates!$B$6)*(1+Rates!$B$7)+SUMPRODUCT((Labor!$G$6:$G$25=Projects!$A$13)*(Labor!$E$6:$E$25="Sub")*N(Labor!$AA$6:$AA$25)))+SUMIFS(ODCs!$F$5:$F$22,ODCs!$D$5:$D$22,Projects!$A$13,ODCs!$E$5:$E$22,5)+SUMIFS(Travel!$F$5:$F$22,Travel!$D$5:$D$22,Projects!$A$13,Travel!$E$5:$E$22,5)+SUMIFS('M&amp;E'!$F$5:$F$22,'M&amp;E'!$D$5:$D$22,Projects!$A$13,'M&amp;E'!$E$5:$E$22,5))*(((SUMPRODUCT((Labor!$G$6:$G$25=Projects!$A$13)*(Labor!$E$6:$E$25="Prime")*N(Labor!$AA$6:$AA$25))*(1+Rates!$B$6)*(1+Rates!$B$7)+SUMPRODUCT((Labor!$G$6:$G$25=Projects!$A$13)*(Labor!$E$6:$E$25="Sub")*N(Labor!$AA$6:$AA$25)))+SUMIFS(ODCs!$F$5:$F$22,ODCs!$D$5:$D$22,Projects!$A$13,ODCs!$E$5:$E$22,5)+SUMIFS(Travel!$F$5:$F$22,Travel!$D$5:$D$22,Projects!$A$13,Travel!$E$5:$E$22,5)+SUMIFS('M&amp;E'!$F$5:$F$22,'M&amp;E'!$D$5:$D$22,Projects!$A$13,'M&amp;E'!$E$5:$E$22,5))*Rates!$B$8),0))*Rates!$C$19+((SUMIFS(ODCs!$F$5:$F$22,ODCs!$D$5:$D$22,Projects!$A$13,ODCs!$E$5:$E$22,5))+IFERROR((SUMIFS(ODCs!$F$5:$F$22,ODCs!$D$5:$D$22,Projects!$A$13,ODCs!$E$5:$E$22,5))/((SUMPRODUCT((Labor!$G$6:$G$25=Projects!$A$13)*(Labor!$E$6:$E$25="Prime")*N(Labor!$AA$6:$AA$25))*(1+Rates!$B$6)*(1+Rates!$B$7)+SUMPRODUCT((Labor!$G$6:$G$25=Projects!$A$13)*(Labor!$E$6:$E$25="Sub")*N(Labor!$AA$6:$AA$25)))+SUMIFS(ODCs!$F$5:$F$22,ODCs!$D$5:$D$22,Projects!$A$13,ODCs!$E$5:$E$22,5)+SUMIFS(Travel!$F$5:$F$22,Travel!$D$5:$D$22,Projects!$A$13,Travel!$E$5:$E$22,5)+SUMIFS('M&amp;E'!$F$5:$F$22,'M&amp;E'!$D$5:$D$22,Projects!$A$13,'M&amp;E'!$E$5:$E$22,5))*(((SUMPRODUCT((Labor!$G$6:$G$25=Projects!$A$13)*(Labor!$E$6:$E$25="Prime")*N(Labor!$AA$6:$AA$25))*(1+Rates!$B$6)*(1+Rates!$B$7)+SUMPRODUCT((Labor!$G$6:$G$25=Projects!$A$13)*(Labor!$E$6:$E$25="Sub")*N(Labor!$AA$6:$AA$25)))+SUMIFS(ODCs!$F$5:$F$22,ODCs!$D$5:$D$22,Projects!$A$13,ODCs!$E$5:$E$22,5)+SUMIFS(Travel!$F$5:$F$22,Travel!$D$5:$D$22,Projects!$A$13,Travel!$E$5:$E$22,5)+SUMIFS('M&amp;E'!$F$5:$F$22,'M&amp;E'!$D$5:$D$22,Projects!$A$13,'M&amp;E'!$E$5:$E$22,5))*Rates!$B$8),0))*Rates!$C$20+((SUMIFS('M&amp;E'!$F$5:$F$22,'M&amp;E'!$D$5:$D$22,Projects!$A$13,'M&amp;E'!$E$5:$E$22,5))+IFERROR((SUMIFS('M&amp;E'!$F$5:$F$22,'M&amp;E'!$D$5:$D$22,Projects!$A$13,'M&amp;E'!$E$5:$E$22,5))/((SUMPRODUCT((Labor!$G$6:$G$25=Projects!$A$13)*(Labor!$E$6:$E$25="Prime")*N(Labor!$AA$6:$AA$25))*(1+Rates!$B$6)*(1+Rates!$B$7)+SUMPRODUCT((Labor!$G$6:$G$25=Projects!$A$13)*(Labor!$E$6:$E$25="Sub")*N(Labor!$AA$6:$AA$25)))+SUMIFS(ODCs!$F$5:$F$22,ODCs!$D$5:$D$22,Projects!$A$13,ODCs!$E$5:$E$22,5)+SUMIFS(Travel!$F$5:$F$22,Travel!$D$5:$D$22,Projects!$A$13,Travel!$E$5:$E$22,5)+SUMIFS('M&amp;E'!$F$5:$F$22,'M&amp;E'!$D$5:$D$22,Projects!$A$13,'M&amp;E'!$E$5:$E$22,5))*(((SUMPRODUCT((Labor!$G$6:$G$25=Projects!$A$13)*(Labor!$E$6:$E$25="Prime")*N(Labor!$AA$6:$AA$25))*(1+Rates!$B$6)*(1+Rates!$B$7)+SUMPRODUCT((Labor!$G$6:$G$25=Projects!$A$13)*(Labor!$E$6:$E$25="Sub")*N(Labor!$AA$6:$AA$25)))+SUMIFS(ODCs!$F$5:$F$22,ODCs!$D$5:$D$22,Projects!$A$13,ODCs!$E$5:$E$22,5)+SUMIFS(Travel!$F$5:$F$22,Travel!$D$5:$D$22,Projects!$A$13,Travel!$E$5:$E$22,5)+SUMIFS('M&amp;E'!$F$5:$F$22,'M&amp;E'!$D$5:$D$22,Projects!$A$13,'M&amp;E'!$E$5:$E$22,5))*Rates!$B$8),0))*Rates!$C$21))</f>
        <v/>
      </c>
      <c r="G59" s="132">
        <f>IF(Projects!$A$13="","",(((SUMPRODUCT((Labor!$G$6:$G$25=Projects!$A$13)*(Labor!$E$6:$E$25="Prime")*N(Labor!$AE$6:$AE$25))*(1+Rates!$B$6)*(1+Rates!$B$7)+SUMPRODUCT((Labor!$G$6:$G$25=Projects!$A$13)*(Labor!$E$6:$E$25="Sub")*N(Labor!$AE$6:$AE$25)))+SUMIFS(ODCs!$F$5:$F$22,ODCs!$D$5:$D$22,Projects!$A$13,ODCs!$E$5:$E$22,6)+SUMIFS(Travel!$F$5:$F$22,Travel!$D$5:$D$22,Projects!$A$13,Travel!$E$5:$E$22,6)+SUMIFS('M&amp;E'!$F$5:$F$22,'M&amp;E'!$D$5:$D$22,Projects!$A$13,'M&amp;E'!$E$5:$E$22,6))+(((SUMPRODUCT((Labor!$G$6:$G$25=Projects!$A$13)*(Labor!$E$6:$E$25="Prime")*N(Labor!$AE$6:$AE$25))*(1+Rates!$B$6)*(1+Rates!$B$7)+SUMPRODUCT((Labor!$G$6:$G$25=Projects!$A$13)*(Labor!$E$6:$E$25="Sub")*N(Labor!$AE$6:$AE$25)))+SUMIFS(ODCs!$F$5:$F$22,ODCs!$D$5:$D$22,Projects!$A$13,ODCs!$E$5:$E$22,6)+SUMIFS(Travel!$F$5:$F$22,Travel!$D$5:$D$22,Projects!$A$13,Travel!$E$5:$E$22,6)+SUMIFS('M&amp;E'!$F$5:$F$22,'M&amp;E'!$D$5:$D$22,Projects!$A$13,'M&amp;E'!$E$5:$E$22,6))*Rates!$B$8))+((((SUMPRODUCT((Labor!$G$6:$G$25=Projects!$A$13)*(Labor!$E$6:$E$25="Prime")*N(Labor!$AE$6:$AE$25))*(1+Rates!$B$6)*(1+Rates!$B$7)+SUMPRODUCT((Labor!$G$6:$G$25=Projects!$A$13)*(Labor!$E$6:$E$25="Sub")*N(Labor!$AE$6:$AE$25))))+IFERROR(((SUMPRODUCT((Labor!$G$6:$G$25=Projects!$A$13)*(Labor!$E$6:$E$25="Prime")*N(Labor!$AE$6:$AE$25))*(1+Rates!$B$6)*(1+Rates!$B$7)+SUMPRODUCT((Labor!$G$6:$G$25=Projects!$A$13)*(Labor!$E$6:$E$25="Sub")*N(Labor!$AE$6:$AE$25))))/((SUMPRODUCT((Labor!$G$6:$G$25=Projects!$A$13)*(Labor!$E$6:$E$25="Prime")*N(Labor!$AE$6:$AE$25))*(1+Rates!$B$6)*(1+Rates!$B$7)+SUMPRODUCT((Labor!$G$6:$G$25=Projects!$A$13)*(Labor!$E$6:$E$25="Sub")*N(Labor!$AE$6:$AE$25)))+SUMIFS(ODCs!$F$5:$F$22,ODCs!$D$5:$D$22,Projects!$A$13,ODCs!$E$5:$E$22,6)+SUMIFS(Travel!$F$5:$F$22,Travel!$D$5:$D$22,Projects!$A$13,Travel!$E$5:$E$22,6)+SUMIFS('M&amp;E'!$F$5:$F$22,'M&amp;E'!$D$5:$D$22,Projects!$A$13,'M&amp;E'!$E$5:$E$22,6))*(((SUMPRODUCT((Labor!$G$6:$G$25=Projects!$A$13)*(Labor!$E$6:$E$25="Prime")*N(Labor!$AE$6:$AE$25))*(1+Rates!$B$6)*(1+Rates!$B$7)+SUMPRODUCT((Labor!$G$6:$G$25=Projects!$A$13)*(Labor!$E$6:$E$25="Sub")*N(Labor!$AE$6:$AE$25)))+SUMIFS(ODCs!$F$5:$F$22,ODCs!$D$5:$D$22,Projects!$A$13,ODCs!$E$5:$E$22,6)+SUMIFS(Travel!$F$5:$F$22,Travel!$D$5:$D$22,Projects!$A$13,Travel!$E$5:$E$22,6)+SUMIFS('M&amp;E'!$F$5:$F$22,'M&amp;E'!$D$5:$D$22,Projects!$A$13,'M&amp;E'!$E$5:$E$22,6))*Rates!$B$8),0))*Rates!$C$18+((SUMIFS(Travel!$F$5:$F$22,Travel!$D$5:$D$22,Projects!$A$13,Travel!$E$5:$E$22,6))+IFERROR((SUMIFS(Travel!$F$5:$F$22,Travel!$D$5:$D$22,Projects!$A$13,Travel!$E$5:$E$22,6))/((SUMPRODUCT((Labor!$G$6:$G$25=Projects!$A$13)*(Labor!$E$6:$E$25="Prime")*N(Labor!$AE$6:$AE$25))*(1+Rates!$B$6)*(1+Rates!$B$7)+SUMPRODUCT((Labor!$G$6:$G$25=Projects!$A$13)*(Labor!$E$6:$E$25="Sub")*N(Labor!$AE$6:$AE$25)))+SUMIFS(ODCs!$F$5:$F$22,ODCs!$D$5:$D$22,Projects!$A$13,ODCs!$E$5:$E$22,6)+SUMIFS(Travel!$F$5:$F$22,Travel!$D$5:$D$22,Projects!$A$13,Travel!$E$5:$E$22,6)+SUMIFS('M&amp;E'!$F$5:$F$22,'M&amp;E'!$D$5:$D$22,Projects!$A$13,'M&amp;E'!$E$5:$E$22,6))*(((SUMPRODUCT((Labor!$G$6:$G$25=Projects!$A$13)*(Labor!$E$6:$E$25="Prime")*N(Labor!$AE$6:$AE$25))*(1+Rates!$B$6)*(1+Rates!$B$7)+SUMPRODUCT((Labor!$G$6:$G$25=Projects!$A$13)*(Labor!$E$6:$E$25="Sub")*N(Labor!$AE$6:$AE$25)))+SUMIFS(ODCs!$F$5:$F$22,ODCs!$D$5:$D$22,Projects!$A$13,ODCs!$E$5:$E$22,6)+SUMIFS(Travel!$F$5:$F$22,Travel!$D$5:$D$22,Projects!$A$13,Travel!$E$5:$E$22,6)+SUMIFS('M&amp;E'!$F$5:$F$22,'M&amp;E'!$D$5:$D$22,Projects!$A$13,'M&amp;E'!$E$5:$E$22,6))*Rates!$B$8),0))*Rates!$C$19+((SUMIFS(ODCs!$F$5:$F$22,ODCs!$D$5:$D$22,Projects!$A$13,ODCs!$E$5:$E$22,6))+IFERROR((SUMIFS(ODCs!$F$5:$F$22,ODCs!$D$5:$D$22,Projects!$A$13,ODCs!$E$5:$E$22,6))/((SUMPRODUCT((Labor!$G$6:$G$25=Projects!$A$13)*(Labor!$E$6:$E$25="Prime")*N(Labor!$AE$6:$AE$25))*(1+Rates!$B$6)*(1+Rates!$B$7)+SUMPRODUCT((Labor!$G$6:$G$25=Projects!$A$13)*(Labor!$E$6:$E$25="Sub")*N(Labor!$AE$6:$AE$25)))+SUMIFS(ODCs!$F$5:$F$22,ODCs!$D$5:$D$22,Projects!$A$13,ODCs!$E$5:$E$22,6)+SUMIFS(Travel!$F$5:$F$22,Travel!$D$5:$D$22,Projects!$A$13,Travel!$E$5:$E$22,6)+SUMIFS('M&amp;E'!$F$5:$F$22,'M&amp;E'!$D$5:$D$22,Projects!$A$13,'M&amp;E'!$E$5:$E$22,6))*(((SUMPRODUCT((Labor!$G$6:$G$25=Projects!$A$13)*(Labor!$E$6:$E$25="Prime")*N(Labor!$AE$6:$AE$25))*(1+Rates!$B$6)*(1+Rates!$B$7)+SUMPRODUCT((Labor!$G$6:$G$25=Projects!$A$13)*(Labor!$E$6:$E$25="Sub")*N(Labor!$AE$6:$AE$25)))+SUMIFS(ODCs!$F$5:$F$22,ODCs!$D$5:$D$22,Projects!$A$13,ODCs!$E$5:$E$22,6)+SUMIFS(Travel!$F$5:$F$22,Travel!$D$5:$D$22,Projects!$A$13,Travel!$E$5:$E$22,6)+SUMIFS('M&amp;E'!$F$5:$F$22,'M&amp;E'!$D$5:$D$22,Projects!$A$13,'M&amp;E'!$E$5:$E$22,6))*Rates!$B$8),0))*Rates!$C$20+((SUMIFS('M&amp;E'!$F$5:$F$22,'M&amp;E'!$D$5:$D$22,Projects!$A$13,'M&amp;E'!$E$5:$E$22,6))+IFERROR((SUMIFS('M&amp;E'!$F$5:$F$22,'M&amp;E'!$D$5:$D$22,Projects!$A$13,'M&amp;E'!$E$5:$E$22,6))/((SUMPRODUCT((Labor!$G$6:$G$25=Projects!$A$13)*(Labor!$E$6:$E$25="Prime")*N(Labor!$AE$6:$AE$25))*(1+Rates!$B$6)*(1+Rates!$B$7)+SUMPRODUCT((Labor!$G$6:$G$25=Projects!$A$13)*(Labor!$E$6:$E$25="Sub")*N(Labor!$AE$6:$AE$25)))+SUMIFS(ODCs!$F$5:$F$22,ODCs!$D$5:$D$22,Projects!$A$13,ODCs!$E$5:$E$22,6)+SUMIFS(Travel!$F$5:$F$22,Travel!$D$5:$D$22,Projects!$A$13,Travel!$E$5:$E$22,6)+SUMIFS('M&amp;E'!$F$5:$F$22,'M&amp;E'!$D$5:$D$22,Projects!$A$13,'M&amp;E'!$E$5:$E$22,6))*(((SUMPRODUCT((Labor!$G$6:$G$25=Projects!$A$13)*(Labor!$E$6:$E$25="Prime")*N(Labor!$AE$6:$AE$25))*(1+Rates!$B$6)*(1+Rates!$B$7)+SUMPRODUCT((Labor!$G$6:$G$25=Projects!$A$13)*(Labor!$E$6:$E$25="Sub")*N(Labor!$AE$6:$AE$25)))+SUMIFS(ODCs!$F$5:$F$22,ODCs!$D$5:$D$22,Projects!$A$13,ODCs!$E$5:$E$22,6)+SUMIFS(Travel!$F$5:$F$22,Travel!$D$5:$D$22,Projects!$A$13,Travel!$E$5:$E$22,6)+SUMIFS('M&amp;E'!$F$5:$F$22,'M&amp;E'!$D$5:$D$22,Projects!$A$13,'M&amp;E'!$E$5:$E$22,6))*Rates!$B$8),0))*Rates!$C$21))</f>
        <v/>
      </c>
      <c r="H59" s="132">
        <f>IF(Projects!$A$13="","",(((SUMPRODUCT((Labor!$G$6:$G$25=Projects!$A$13)*(Labor!$E$6:$E$25="Prime")*N(Labor!$AI$6:$AI$25))*(1+Rates!$B$6)*(1+Rates!$B$7)+SUMPRODUCT((Labor!$G$6:$G$25=Projects!$A$13)*(Labor!$E$6:$E$25="Sub")*N(Labor!$AI$6:$AI$25)))+SUMIFS(ODCs!$F$5:$F$22,ODCs!$D$5:$D$22,Projects!$A$13,ODCs!$E$5:$E$22,7)+SUMIFS(Travel!$F$5:$F$22,Travel!$D$5:$D$22,Projects!$A$13,Travel!$E$5:$E$22,7)+SUMIFS('M&amp;E'!$F$5:$F$22,'M&amp;E'!$D$5:$D$22,Projects!$A$13,'M&amp;E'!$E$5:$E$22,7))+(((SUMPRODUCT((Labor!$G$6:$G$25=Projects!$A$13)*(Labor!$E$6:$E$25="Prime")*N(Labor!$AI$6:$AI$25))*(1+Rates!$B$6)*(1+Rates!$B$7)+SUMPRODUCT((Labor!$G$6:$G$25=Projects!$A$13)*(Labor!$E$6:$E$25="Sub")*N(Labor!$AI$6:$AI$25)))+SUMIFS(ODCs!$F$5:$F$22,ODCs!$D$5:$D$22,Projects!$A$13,ODCs!$E$5:$E$22,7)+SUMIFS(Travel!$F$5:$F$22,Travel!$D$5:$D$22,Projects!$A$13,Travel!$E$5:$E$22,7)+SUMIFS('M&amp;E'!$F$5:$F$22,'M&amp;E'!$D$5:$D$22,Projects!$A$13,'M&amp;E'!$E$5:$E$22,7))*Rates!$B$8))+((((SUMPRODUCT((Labor!$G$6:$G$25=Projects!$A$13)*(Labor!$E$6:$E$25="Prime")*N(Labor!$AI$6:$AI$25))*(1+Rates!$B$6)*(1+Rates!$B$7)+SUMPRODUCT((Labor!$G$6:$G$25=Projects!$A$13)*(Labor!$E$6:$E$25="Sub")*N(Labor!$AI$6:$AI$25))))+IFERROR(((SUMPRODUCT((Labor!$G$6:$G$25=Projects!$A$13)*(Labor!$E$6:$E$25="Prime")*N(Labor!$AI$6:$AI$25))*(1+Rates!$B$6)*(1+Rates!$B$7)+SUMPRODUCT((Labor!$G$6:$G$25=Projects!$A$13)*(Labor!$E$6:$E$25="Sub")*N(Labor!$AI$6:$AI$25))))/((SUMPRODUCT((Labor!$G$6:$G$25=Projects!$A$13)*(Labor!$E$6:$E$25="Prime")*N(Labor!$AI$6:$AI$25))*(1+Rates!$B$6)*(1+Rates!$B$7)+SUMPRODUCT((Labor!$G$6:$G$25=Projects!$A$13)*(Labor!$E$6:$E$25="Sub")*N(Labor!$AI$6:$AI$25)))+SUMIFS(ODCs!$F$5:$F$22,ODCs!$D$5:$D$22,Projects!$A$13,ODCs!$E$5:$E$22,7)+SUMIFS(Travel!$F$5:$F$22,Travel!$D$5:$D$22,Projects!$A$13,Travel!$E$5:$E$22,7)+SUMIFS('M&amp;E'!$F$5:$F$22,'M&amp;E'!$D$5:$D$22,Projects!$A$13,'M&amp;E'!$E$5:$E$22,7))*(((SUMPRODUCT((Labor!$G$6:$G$25=Projects!$A$13)*(Labor!$E$6:$E$25="Prime")*N(Labor!$AI$6:$AI$25))*(1+Rates!$B$6)*(1+Rates!$B$7)+SUMPRODUCT((Labor!$G$6:$G$25=Projects!$A$13)*(Labor!$E$6:$E$25="Sub")*N(Labor!$AI$6:$AI$25)))+SUMIFS(ODCs!$F$5:$F$22,ODCs!$D$5:$D$22,Projects!$A$13,ODCs!$E$5:$E$22,7)+SUMIFS(Travel!$F$5:$F$22,Travel!$D$5:$D$22,Projects!$A$13,Travel!$E$5:$E$22,7)+SUMIFS('M&amp;E'!$F$5:$F$22,'M&amp;E'!$D$5:$D$22,Projects!$A$13,'M&amp;E'!$E$5:$E$22,7))*Rates!$B$8),0))*Rates!$C$18+((SUMIFS(Travel!$F$5:$F$22,Travel!$D$5:$D$22,Projects!$A$13,Travel!$E$5:$E$22,7))+IFERROR((SUMIFS(Travel!$F$5:$F$22,Travel!$D$5:$D$22,Projects!$A$13,Travel!$E$5:$E$22,7))/((SUMPRODUCT((Labor!$G$6:$G$25=Projects!$A$13)*(Labor!$E$6:$E$25="Prime")*N(Labor!$AI$6:$AI$25))*(1+Rates!$B$6)*(1+Rates!$B$7)+SUMPRODUCT((Labor!$G$6:$G$25=Projects!$A$13)*(Labor!$E$6:$E$25="Sub")*N(Labor!$AI$6:$AI$25)))+SUMIFS(ODCs!$F$5:$F$22,ODCs!$D$5:$D$22,Projects!$A$13,ODCs!$E$5:$E$22,7)+SUMIFS(Travel!$F$5:$F$22,Travel!$D$5:$D$22,Projects!$A$13,Travel!$E$5:$E$22,7)+SUMIFS('M&amp;E'!$F$5:$F$22,'M&amp;E'!$D$5:$D$22,Projects!$A$13,'M&amp;E'!$E$5:$E$22,7))*(((SUMPRODUCT((Labor!$G$6:$G$25=Projects!$A$13)*(Labor!$E$6:$E$25="Prime")*N(Labor!$AI$6:$AI$25))*(1+Rates!$B$6)*(1+Rates!$B$7)+SUMPRODUCT((Labor!$G$6:$G$25=Projects!$A$13)*(Labor!$E$6:$E$25="Sub")*N(Labor!$AI$6:$AI$25)))+SUMIFS(ODCs!$F$5:$F$22,ODCs!$D$5:$D$22,Projects!$A$13,ODCs!$E$5:$E$22,7)+SUMIFS(Travel!$F$5:$F$22,Travel!$D$5:$D$22,Projects!$A$13,Travel!$E$5:$E$22,7)+SUMIFS('M&amp;E'!$F$5:$F$22,'M&amp;E'!$D$5:$D$22,Projects!$A$13,'M&amp;E'!$E$5:$E$22,7))*Rates!$B$8),0))*Rates!$C$19+((SUMIFS(ODCs!$F$5:$F$22,ODCs!$D$5:$D$22,Projects!$A$13,ODCs!$E$5:$E$22,7))+IFERROR((SUMIFS(ODCs!$F$5:$F$22,ODCs!$D$5:$D$22,Projects!$A$13,ODCs!$E$5:$E$22,7))/((SUMPRODUCT((Labor!$G$6:$G$25=Projects!$A$13)*(Labor!$E$6:$E$25="Prime")*N(Labor!$AI$6:$AI$25))*(1+Rates!$B$6)*(1+Rates!$B$7)+SUMPRODUCT((Labor!$G$6:$G$25=Projects!$A$13)*(Labor!$E$6:$E$25="Sub")*N(Labor!$AI$6:$AI$25)))+SUMIFS(ODCs!$F$5:$F$22,ODCs!$D$5:$D$22,Projects!$A$13,ODCs!$E$5:$E$22,7)+SUMIFS(Travel!$F$5:$F$22,Travel!$D$5:$D$22,Projects!$A$13,Travel!$E$5:$E$22,7)+SUMIFS('M&amp;E'!$F$5:$F$22,'M&amp;E'!$D$5:$D$22,Projects!$A$13,'M&amp;E'!$E$5:$E$22,7))*(((SUMPRODUCT((Labor!$G$6:$G$25=Projects!$A$13)*(Labor!$E$6:$E$25="Prime")*N(Labor!$AI$6:$AI$25))*(1+Rates!$B$6)*(1+Rates!$B$7)+SUMPRODUCT((Labor!$G$6:$G$25=Projects!$A$13)*(Labor!$E$6:$E$25="Sub")*N(Labor!$AI$6:$AI$25)))+SUMIFS(ODCs!$F$5:$F$22,ODCs!$D$5:$D$22,Projects!$A$13,ODCs!$E$5:$E$22,7)+SUMIFS(Travel!$F$5:$F$22,Travel!$D$5:$D$22,Projects!$A$13,Travel!$E$5:$E$22,7)+SUMIFS('M&amp;E'!$F$5:$F$22,'M&amp;E'!$D$5:$D$22,Projects!$A$13,'M&amp;E'!$E$5:$E$22,7))*Rates!$B$8),0))*Rates!$C$20+((SUMIFS('M&amp;E'!$F$5:$F$22,'M&amp;E'!$D$5:$D$22,Projects!$A$13,'M&amp;E'!$E$5:$E$22,7))+IFERROR((SUMIFS('M&amp;E'!$F$5:$F$22,'M&amp;E'!$D$5:$D$22,Projects!$A$13,'M&amp;E'!$E$5:$E$22,7))/((SUMPRODUCT((Labor!$G$6:$G$25=Projects!$A$13)*(Labor!$E$6:$E$25="Prime")*N(Labor!$AI$6:$AI$25))*(1+Rates!$B$6)*(1+Rates!$B$7)+SUMPRODUCT((Labor!$G$6:$G$25=Projects!$A$13)*(Labor!$E$6:$E$25="Sub")*N(Labor!$AI$6:$AI$25)))+SUMIFS(ODCs!$F$5:$F$22,ODCs!$D$5:$D$22,Projects!$A$13,ODCs!$E$5:$E$22,7)+SUMIFS(Travel!$F$5:$F$22,Travel!$D$5:$D$22,Projects!$A$13,Travel!$E$5:$E$22,7)+SUMIFS('M&amp;E'!$F$5:$F$22,'M&amp;E'!$D$5:$D$22,Projects!$A$13,'M&amp;E'!$E$5:$E$22,7))*(((SUMPRODUCT((Labor!$G$6:$G$25=Projects!$A$13)*(Labor!$E$6:$E$25="Prime")*N(Labor!$AI$6:$AI$25))*(1+Rates!$B$6)*(1+Rates!$B$7)+SUMPRODUCT((Labor!$G$6:$G$25=Projects!$A$13)*(Labor!$E$6:$E$25="Sub")*N(Labor!$AI$6:$AI$25)))+SUMIFS(ODCs!$F$5:$F$22,ODCs!$D$5:$D$22,Projects!$A$13,ODCs!$E$5:$E$22,7)+SUMIFS(Travel!$F$5:$F$22,Travel!$D$5:$D$22,Projects!$A$13,Travel!$E$5:$E$22,7)+SUMIFS('M&amp;E'!$F$5:$F$22,'M&amp;E'!$D$5:$D$22,Projects!$A$13,'M&amp;E'!$E$5:$E$22,7))*Rates!$B$8),0))*Rates!$C$21))</f>
        <v/>
      </c>
      <c r="I59" s="132">
        <f>IF(Projects!$A$13="","",(((SUMPRODUCT((Labor!$G$6:$G$25=Projects!$A$13)*(Labor!$E$6:$E$25="Prime")*N(Labor!$AM$6:$AM$25))*(1+Rates!$B$6)*(1+Rates!$B$7)+SUMPRODUCT((Labor!$G$6:$G$25=Projects!$A$13)*(Labor!$E$6:$E$25="Sub")*N(Labor!$AM$6:$AM$25)))+SUMIFS(ODCs!$F$5:$F$22,ODCs!$D$5:$D$22,Projects!$A$13,ODCs!$E$5:$E$22,8)+SUMIFS(Travel!$F$5:$F$22,Travel!$D$5:$D$22,Projects!$A$13,Travel!$E$5:$E$22,8)+SUMIFS('M&amp;E'!$F$5:$F$22,'M&amp;E'!$D$5:$D$22,Projects!$A$13,'M&amp;E'!$E$5:$E$22,8))+(((SUMPRODUCT((Labor!$G$6:$G$25=Projects!$A$13)*(Labor!$E$6:$E$25="Prime")*N(Labor!$AM$6:$AM$25))*(1+Rates!$B$6)*(1+Rates!$B$7)+SUMPRODUCT((Labor!$G$6:$G$25=Projects!$A$13)*(Labor!$E$6:$E$25="Sub")*N(Labor!$AM$6:$AM$25)))+SUMIFS(ODCs!$F$5:$F$22,ODCs!$D$5:$D$22,Projects!$A$13,ODCs!$E$5:$E$22,8)+SUMIFS(Travel!$F$5:$F$22,Travel!$D$5:$D$22,Projects!$A$13,Travel!$E$5:$E$22,8)+SUMIFS('M&amp;E'!$F$5:$F$22,'M&amp;E'!$D$5:$D$22,Projects!$A$13,'M&amp;E'!$E$5:$E$22,8))*Rates!$B$8))+((((SUMPRODUCT((Labor!$G$6:$G$25=Projects!$A$13)*(Labor!$E$6:$E$25="Prime")*N(Labor!$AM$6:$AM$25))*(1+Rates!$B$6)*(1+Rates!$B$7)+SUMPRODUCT((Labor!$G$6:$G$25=Projects!$A$13)*(Labor!$E$6:$E$25="Sub")*N(Labor!$AM$6:$AM$25))))+IFERROR(((SUMPRODUCT((Labor!$G$6:$G$25=Projects!$A$13)*(Labor!$E$6:$E$25="Prime")*N(Labor!$AM$6:$AM$25))*(1+Rates!$B$6)*(1+Rates!$B$7)+SUMPRODUCT((Labor!$G$6:$G$25=Projects!$A$13)*(Labor!$E$6:$E$25="Sub")*N(Labor!$AM$6:$AM$25))))/((SUMPRODUCT((Labor!$G$6:$G$25=Projects!$A$13)*(Labor!$E$6:$E$25="Prime")*N(Labor!$AM$6:$AM$25))*(1+Rates!$B$6)*(1+Rates!$B$7)+SUMPRODUCT((Labor!$G$6:$G$25=Projects!$A$13)*(Labor!$E$6:$E$25="Sub")*N(Labor!$AM$6:$AM$25)))+SUMIFS(ODCs!$F$5:$F$22,ODCs!$D$5:$D$22,Projects!$A$13,ODCs!$E$5:$E$22,8)+SUMIFS(Travel!$F$5:$F$22,Travel!$D$5:$D$22,Projects!$A$13,Travel!$E$5:$E$22,8)+SUMIFS('M&amp;E'!$F$5:$F$22,'M&amp;E'!$D$5:$D$22,Projects!$A$13,'M&amp;E'!$E$5:$E$22,8))*(((SUMPRODUCT((Labor!$G$6:$G$25=Projects!$A$13)*(Labor!$E$6:$E$25="Prime")*N(Labor!$AM$6:$AM$25))*(1+Rates!$B$6)*(1+Rates!$B$7)+SUMPRODUCT((Labor!$G$6:$G$25=Projects!$A$13)*(Labor!$E$6:$E$25="Sub")*N(Labor!$AM$6:$AM$25)))+SUMIFS(ODCs!$F$5:$F$22,ODCs!$D$5:$D$22,Projects!$A$13,ODCs!$E$5:$E$22,8)+SUMIFS(Travel!$F$5:$F$22,Travel!$D$5:$D$22,Projects!$A$13,Travel!$E$5:$E$22,8)+SUMIFS('M&amp;E'!$F$5:$F$22,'M&amp;E'!$D$5:$D$22,Projects!$A$13,'M&amp;E'!$E$5:$E$22,8))*Rates!$B$8),0))*Rates!$C$18+((SUMIFS(Travel!$F$5:$F$22,Travel!$D$5:$D$22,Projects!$A$13,Travel!$E$5:$E$22,8))+IFERROR((SUMIFS(Travel!$F$5:$F$22,Travel!$D$5:$D$22,Projects!$A$13,Travel!$E$5:$E$22,8))/((SUMPRODUCT((Labor!$G$6:$G$25=Projects!$A$13)*(Labor!$E$6:$E$25="Prime")*N(Labor!$AM$6:$AM$25))*(1+Rates!$B$6)*(1+Rates!$B$7)+SUMPRODUCT((Labor!$G$6:$G$25=Projects!$A$13)*(Labor!$E$6:$E$25="Sub")*N(Labor!$AM$6:$AM$25)))+SUMIFS(ODCs!$F$5:$F$22,ODCs!$D$5:$D$22,Projects!$A$13,ODCs!$E$5:$E$22,8)+SUMIFS(Travel!$F$5:$F$22,Travel!$D$5:$D$22,Projects!$A$13,Travel!$E$5:$E$22,8)+SUMIFS('M&amp;E'!$F$5:$F$22,'M&amp;E'!$D$5:$D$22,Projects!$A$13,'M&amp;E'!$E$5:$E$22,8))*(((SUMPRODUCT((Labor!$G$6:$G$25=Projects!$A$13)*(Labor!$E$6:$E$25="Prime")*N(Labor!$AM$6:$AM$25))*(1+Rates!$B$6)*(1+Rates!$B$7)+SUMPRODUCT((Labor!$G$6:$G$25=Projects!$A$13)*(Labor!$E$6:$E$25="Sub")*N(Labor!$AM$6:$AM$25)))+SUMIFS(ODCs!$F$5:$F$22,ODCs!$D$5:$D$22,Projects!$A$13,ODCs!$E$5:$E$22,8)+SUMIFS(Travel!$F$5:$F$22,Travel!$D$5:$D$22,Projects!$A$13,Travel!$E$5:$E$22,8)+SUMIFS('M&amp;E'!$F$5:$F$22,'M&amp;E'!$D$5:$D$22,Projects!$A$13,'M&amp;E'!$E$5:$E$22,8))*Rates!$B$8),0))*Rates!$C$19+((SUMIFS(ODCs!$F$5:$F$22,ODCs!$D$5:$D$22,Projects!$A$13,ODCs!$E$5:$E$22,8))+IFERROR((SUMIFS(ODCs!$F$5:$F$22,ODCs!$D$5:$D$22,Projects!$A$13,ODCs!$E$5:$E$22,8))/((SUMPRODUCT((Labor!$G$6:$G$25=Projects!$A$13)*(Labor!$E$6:$E$25="Prime")*N(Labor!$AM$6:$AM$25))*(1+Rates!$B$6)*(1+Rates!$B$7)+SUMPRODUCT((Labor!$G$6:$G$25=Projects!$A$13)*(Labor!$E$6:$E$25="Sub")*N(Labor!$AM$6:$AM$25)))+SUMIFS(ODCs!$F$5:$F$22,ODCs!$D$5:$D$22,Projects!$A$13,ODCs!$E$5:$E$22,8)+SUMIFS(Travel!$F$5:$F$22,Travel!$D$5:$D$22,Projects!$A$13,Travel!$E$5:$E$22,8)+SUMIFS('M&amp;E'!$F$5:$F$22,'M&amp;E'!$D$5:$D$22,Projects!$A$13,'M&amp;E'!$E$5:$E$22,8))*(((SUMPRODUCT((Labor!$G$6:$G$25=Projects!$A$13)*(Labor!$E$6:$E$25="Prime")*N(Labor!$AM$6:$AM$25))*(1+Rates!$B$6)*(1+Rates!$B$7)+SUMPRODUCT((Labor!$G$6:$G$25=Projects!$A$13)*(Labor!$E$6:$E$25="Sub")*N(Labor!$AM$6:$AM$25)))+SUMIFS(ODCs!$F$5:$F$22,ODCs!$D$5:$D$22,Projects!$A$13,ODCs!$E$5:$E$22,8)+SUMIFS(Travel!$F$5:$F$22,Travel!$D$5:$D$22,Projects!$A$13,Travel!$E$5:$E$22,8)+SUMIFS('M&amp;E'!$F$5:$F$22,'M&amp;E'!$D$5:$D$22,Projects!$A$13,'M&amp;E'!$E$5:$E$22,8))*Rates!$B$8),0))*Rates!$C$20+((SUMIFS('M&amp;E'!$F$5:$F$22,'M&amp;E'!$D$5:$D$22,Projects!$A$13,'M&amp;E'!$E$5:$E$22,8))+IFERROR((SUMIFS('M&amp;E'!$F$5:$F$22,'M&amp;E'!$D$5:$D$22,Projects!$A$13,'M&amp;E'!$E$5:$E$22,8))/((SUMPRODUCT((Labor!$G$6:$G$25=Projects!$A$13)*(Labor!$E$6:$E$25="Prime")*N(Labor!$AM$6:$AM$25))*(1+Rates!$B$6)*(1+Rates!$B$7)+SUMPRODUCT((Labor!$G$6:$G$25=Projects!$A$13)*(Labor!$E$6:$E$25="Sub")*N(Labor!$AM$6:$AM$25)))+SUMIFS(ODCs!$F$5:$F$22,ODCs!$D$5:$D$22,Projects!$A$13,ODCs!$E$5:$E$22,8)+SUMIFS(Travel!$F$5:$F$22,Travel!$D$5:$D$22,Projects!$A$13,Travel!$E$5:$E$22,8)+SUMIFS('M&amp;E'!$F$5:$F$22,'M&amp;E'!$D$5:$D$22,Projects!$A$13,'M&amp;E'!$E$5:$E$22,8))*(((SUMPRODUCT((Labor!$G$6:$G$25=Projects!$A$13)*(Labor!$E$6:$E$25="Prime")*N(Labor!$AM$6:$AM$25))*(1+Rates!$B$6)*(1+Rates!$B$7)+SUMPRODUCT((Labor!$G$6:$G$25=Projects!$A$13)*(Labor!$E$6:$E$25="Sub")*N(Labor!$AM$6:$AM$25)))+SUMIFS(ODCs!$F$5:$F$22,ODCs!$D$5:$D$22,Projects!$A$13,ODCs!$E$5:$E$22,8)+SUMIFS(Travel!$F$5:$F$22,Travel!$D$5:$D$22,Projects!$A$13,Travel!$E$5:$E$22,8)+SUMIFS('M&amp;E'!$F$5:$F$22,'M&amp;E'!$D$5:$D$22,Projects!$A$13,'M&amp;E'!$E$5:$E$22,8))*Rates!$B$8),0))*Rates!$C$21))</f>
        <v/>
      </c>
      <c r="J59" s="132">
        <f>IF(Projects!$A$13="","",(((SUMPRODUCT((Labor!$G$6:$G$25=Projects!$A$13)*(Labor!$E$6:$E$25="Prime")*N(Labor!$AQ$6:$AQ$25))*(1+Rates!$B$6)*(1+Rates!$B$7)+SUMPRODUCT((Labor!$G$6:$G$25=Projects!$A$13)*(Labor!$E$6:$E$25="Sub")*N(Labor!$AQ$6:$AQ$25)))+SUMIFS(ODCs!$F$5:$F$22,ODCs!$D$5:$D$22,Projects!$A$13,ODCs!$E$5:$E$22,9)+SUMIFS(Travel!$F$5:$F$22,Travel!$D$5:$D$22,Projects!$A$13,Travel!$E$5:$E$22,9)+SUMIFS('M&amp;E'!$F$5:$F$22,'M&amp;E'!$D$5:$D$22,Projects!$A$13,'M&amp;E'!$E$5:$E$22,9))+(((SUMPRODUCT((Labor!$G$6:$G$25=Projects!$A$13)*(Labor!$E$6:$E$25="Prime")*N(Labor!$AQ$6:$AQ$25))*(1+Rates!$B$6)*(1+Rates!$B$7)+SUMPRODUCT((Labor!$G$6:$G$25=Projects!$A$13)*(Labor!$E$6:$E$25="Sub")*N(Labor!$AQ$6:$AQ$25)))+SUMIFS(ODCs!$F$5:$F$22,ODCs!$D$5:$D$22,Projects!$A$13,ODCs!$E$5:$E$22,9)+SUMIFS(Travel!$F$5:$F$22,Travel!$D$5:$D$22,Projects!$A$13,Travel!$E$5:$E$22,9)+SUMIFS('M&amp;E'!$F$5:$F$22,'M&amp;E'!$D$5:$D$22,Projects!$A$13,'M&amp;E'!$E$5:$E$22,9))*Rates!$B$8))+((((SUMPRODUCT((Labor!$G$6:$G$25=Projects!$A$13)*(Labor!$E$6:$E$25="Prime")*N(Labor!$AQ$6:$AQ$25))*(1+Rates!$B$6)*(1+Rates!$B$7)+SUMPRODUCT((Labor!$G$6:$G$25=Projects!$A$13)*(Labor!$E$6:$E$25="Sub")*N(Labor!$AQ$6:$AQ$25))))+IFERROR(((SUMPRODUCT((Labor!$G$6:$G$25=Projects!$A$13)*(Labor!$E$6:$E$25="Prime")*N(Labor!$AQ$6:$AQ$25))*(1+Rates!$B$6)*(1+Rates!$B$7)+SUMPRODUCT((Labor!$G$6:$G$25=Projects!$A$13)*(Labor!$E$6:$E$25="Sub")*N(Labor!$AQ$6:$AQ$25))))/((SUMPRODUCT((Labor!$G$6:$G$25=Projects!$A$13)*(Labor!$E$6:$E$25="Prime")*N(Labor!$AQ$6:$AQ$25))*(1+Rates!$B$6)*(1+Rates!$B$7)+SUMPRODUCT((Labor!$G$6:$G$25=Projects!$A$13)*(Labor!$E$6:$E$25="Sub")*N(Labor!$AQ$6:$AQ$25)))+SUMIFS(ODCs!$F$5:$F$22,ODCs!$D$5:$D$22,Projects!$A$13,ODCs!$E$5:$E$22,9)+SUMIFS(Travel!$F$5:$F$22,Travel!$D$5:$D$22,Projects!$A$13,Travel!$E$5:$E$22,9)+SUMIFS('M&amp;E'!$F$5:$F$22,'M&amp;E'!$D$5:$D$22,Projects!$A$13,'M&amp;E'!$E$5:$E$22,9))*(((SUMPRODUCT((Labor!$G$6:$G$25=Projects!$A$13)*(Labor!$E$6:$E$25="Prime")*N(Labor!$AQ$6:$AQ$25))*(1+Rates!$B$6)*(1+Rates!$B$7)+SUMPRODUCT((Labor!$G$6:$G$25=Projects!$A$13)*(Labor!$E$6:$E$25="Sub")*N(Labor!$AQ$6:$AQ$25)))+SUMIFS(ODCs!$F$5:$F$22,ODCs!$D$5:$D$22,Projects!$A$13,ODCs!$E$5:$E$22,9)+SUMIFS(Travel!$F$5:$F$22,Travel!$D$5:$D$22,Projects!$A$13,Travel!$E$5:$E$22,9)+SUMIFS('M&amp;E'!$F$5:$F$22,'M&amp;E'!$D$5:$D$22,Projects!$A$13,'M&amp;E'!$E$5:$E$22,9))*Rates!$B$8),0))*Rates!$C$18+((SUMIFS(Travel!$F$5:$F$22,Travel!$D$5:$D$22,Projects!$A$13,Travel!$E$5:$E$22,9))+IFERROR((SUMIFS(Travel!$F$5:$F$22,Travel!$D$5:$D$22,Projects!$A$13,Travel!$E$5:$E$22,9))/((SUMPRODUCT((Labor!$G$6:$G$25=Projects!$A$13)*(Labor!$E$6:$E$25="Prime")*N(Labor!$AQ$6:$AQ$25))*(1+Rates!$B$6)*(1+Rates!$B$7)+SUMPRODUCT((Labor!$G$6:$G$25=Projects!$A$13)*(Labor!$E$6:$E$25="Sub")*N(Labor!$AQ$6:$AQ$25)))+SUMIFS(ODCs!$F$5:$F$22,ODCs!$D$5:$D$22,Projects!$A$13,ODCs!$E$5:$E$22,9)+SUMIFS(Travel!$F$5:$F$22,Travel!$D$5:$D$22,Projects!$A$13,Travel!$E$5:$E$22,9)+SUMIFS('M&amp;E'!$F$5:$F$22,'M&amp;E'!$D$5:$D$22,Projects!$A$13,'M&amp;E'!$E$5:$E$22,9))*(((SUMPRODUCT((Labor!$G$6:$G$25=Projects!$A$13)*(Labor!$E$6:$E$25="Prime")*N(Labor!$AQ$6:$AQ$25))*(1+Rates!$B$6)*(1+Rates!$B$7)+SUMPRODUCT((Labor!$G$6:$G$25=Projects!$A$13)*(Labor!$E$6:$E$25="Sub")*N(Labor!$AQ$6:$AQ$25)))+SUMIFS(ODCs!$F$5:$F$22,ODCs!$D$5:$D$22,Projects!$A$13,ODCs!$E$5:$E$22,9)+SUMIFS(Travel!$F$5:$F$22,Travel!$D$5:$D$22,Projects!$A$13,Travel!$E$5:$E$22,9)+SUMIFS('M&amp;E'!$F$5:$F$22,'M&amp;E'!$D$5:$D$22,Projects!$A$13,'M&amp;E'!$E$5:$E$22,9))*Rates!$B$8),0))*Rates!$C$19+((SUMIFS(ODCs!$F$5:$F$22,ODCs!$D$5:$D$22,Projects!$A$13,ODCs!$E$5:$E$22,9))+IFERROR((SUMIFS(ODCs!$F$5:$F$22,ODCs!$D$5:$D$22,Projects!$A$13,ODCs!$E$5:$E$22,9))/((SUMPRODUCT((Labor!$G$6:$G$25=Projects!$A$13)*(Labor!$E$6:$E$25="Prime")*N(Labor!$AQ$6:$AQ$25))*(1+Rates!$B$6)*(1+Rates!$B$7)+SUMPRODUCT((Labor!$G$6:$G$25=Projects!$A$13)*(Labor!$E$6:$E$25="Sub")*N(Labor!$AQ$6:$AQ$25)))+SUMIFS(ODCs!$F$5:$F$22,ODCs!$D$5:$D$22,Projects!$A$13,ODCs!$E$5:$E$22,9)+SUMIFS(Travel!$F$5:$F$22,Travel!$D$5:$D$22,Projects!$A$13,Travel!$E$5:$E$22,9)+SUMIFS('M&amp;E'!$F$5:$F$22,'M&amp;E'!$D$5:$D$22,Projects!$A$13,'M&amp;E'!$E$5:$E$22,9))*(((SUMPRODUCT((Labor!$G$6:$G$25=Projects!$A$13)*(Labor!$E$6:$E$25="Prime")*N(Labor!$AQ$6:$AQ$25))*(1+Rates!$B$6)*(1+Rates!$B$7)+SUMPRODUCT((Labor!$G$6:$G$25=Projects!$A$13)*(Labor!$E$6:$E$25="Sub")*N(Labor!$AQ$6:$AQ$25)))+SUMIFS(ODCs!$F$5:$F$22,ODCs!$D$5:$D$22,Projects!$A$13,ODCs!$E$5:$E$22,9)+SUMIFS(Travel!$F$5:$F$22,Travel!$D$5:$D$22,Projects!$A$13,Travel!$E$5:$E$22,9)+SUMIFS('M&amp;E'!$F$5:$F$22,'M&amp;E'!$D$5:$D$22,Projects!$A$13,'M&amp;E'!$E$5:$E$22,9))*Rates!$B$8),0))*Rates!$C$20+((SUMIFS('M&amp;E'!$F$5:$F$22,'M&amp;E'!$D$5:$D$22,Projects!$A$13,'M&amp;E'!$E$5:$E$22,9))+IFERROR((SUMIFS('M&amp;E'!$F$5:$F$22,'M&amp;E'!$D$5:$D$22,Projects!$A$13,'M&amp;E'!$E$5:$E$22,9))/((SUMPRODUCT((Labor!$G$6:$G$25=Projects!$A$13)*(Labor!$E$6:$E$25="Prime")*N(Labor!$AQ$6:$AQ$25))*(1+Rates!$B$6)*(1+Rates!$B$7)+SUMPRODUCT((Labor!$G$6:$G$25=Projects!$A$13)*(Labor!$E$6:$E$25="Sub")*N(Labor!$AQ$6:$AQ$25)))+SUMIFS(ODCs!$F$5:$F$22,ODCs!$D$5:$D$22,Projects!$A$13,ODCs!$E$5:$E$22,9)+SUMIFS(Travel!$F$5:$F$22,Travel!$D$5:$D$22,Projects!$A$13,Travel!$E$5:$E$22,9)+SUMIFS('M&amp;E'!$F$5:$F$22,'M&amp;E'!$D$5:$D$22,Projects!$A$13,'M&amp;E'!$E$5:$E$22,9))*(((SUMPRODUCT((Labor!$G$6:$G$25=Projects!$A$13)*(Labor!$E$6:$E$25="Prime")*N(Labor!$AQ$6:$AQ$25))*(1+Rates!$B$6)*(1+Rates!$B$7)+SUMPRODUCT((Labor!$G$6:$G$25=Projects!$A$13)*(Labor!$E$6:$E$25="Sub")*N(Labor!$AQ$6:$AQ$25)))+SUMIFS(ODCs!$F$5:$F$22,ODCs!$D$5:$D$22,Projects!$A$13,ODCs!$E$5:$E$22,9)+SUMIFS(Travel!$F$5:$F$22,Travel!$D$5:$D$22,Projects!$A$13,Travel!$E$5:$E$22,9)+SUMIFS('M&amp;E'!$F$5:$F$22,'M&amp;E'!$D$5:$D$22,Projects!$A$13,'M&amp;E'!$E$5:$E$22,9))*Rates!$B$8),0))*Rates!$C$21))</f>
        <v/>
      </c>
      <c r="K59" s="132">
        <f>IF(Projects!$A$13="","",(((SUMPRODUCT((Labor!$G$6:$G$25=Projects!$A$13)*(Labor!$E$6:$E$25="Prime")*N(Labor!$AU$6:$AU$25))*(1+Rates!$B$6)*(1+Rates!$B$7)+SUMPRODUCT((Labor!$G$6:$G$25=Projects!$A$13)*(Labor!$E$6:$E$25="Sub")*N(Labor!$AU$6:$AU$25)))+SUMIFS(ODCs!$F$5:$F$22,ODCs!$D$5:$D$22,Projects!$A$13,ODCs!$E$5:$E$22,10)+SUMIFS(Travel!$F$5:$F$22,Travel!$D$5:$D$22,Projects!$A$13,Travel!$E$5:$E$22,10)+SUMIFS('M&amp;E'!$F$5:$F$22,'M&amp;E'!$D$5:$D$22,Projects!$A$13,'M&amp;E'!$E$5:$E$22,10))+(((SUMPRODUCT((Labor!$G$6:$G$25=Projects!$A$13)*(Labor!$E$6:$E$25="Prime")*N(Labor!$AU$6:$AU$25))*(1+Rates!$B$6)*(1+Rates!$B$7)+SUMPRODUCT((Labor!$G$6:$G$25=Projects!$A$13)*(Labor!$E$6:$E$25="Sub")*N(Labor!$AU$6:$AU$25)))+SUMIFS(ODCs!$F$5:$F$22,ODCs!$D$5:$D$22,Projects!$A$13,ODCs!$E$5:$E$22,10)+SUMIFS(Travel!$F$5:$F$22,Travel!$D$5:$D$22,Projects!$A$13,Travel!$E$5:$E$22,10)+SUMIFS('M&amp;E'!$F$5:$F$22,'M&amp;E'!$D$5:$D$22,Projects!$A$13,'M&amp;E'!$E$5:$E$22,10))*Rates!$B$8))+((((SUMPRODUCT((Labor!$G$6:$G$25=Projects!$A$13)*(Labor!$E$6:$E$25="Prime")*N(Labor!$AU$6:$AU$25))*(1+Rates!$B$6)*(1+Rates!$B$7)+SUMPRODUCT((Labor!$G$6:$G$25=Projects!$A$13)*(Labor!$E$6:$E$25="Sub")*N(Labor!$AU$6:$AU$25))))+IFERROR(((SUMPRODUCT((Labor!$G$6:$G$25=Projects!$A$13)*(Labor!$E$6:$E$25="Prime")*N(Labor!$AU$6:$AU$25))*(1+Rates!$B$6)*(1+Rates!$B$7)+SUMPRODUCT((Labor!$G$6:$G$25=Projects!$A$13)*(Labor!$E$6:$E$25="Sub")*N(Labor!$AU$6:$AU$25))))/((SUMPRODUCT((Labor!$G$6:$G$25=Projects!$A$13)*(Labor!$E$6:$E$25="Prime")*N(Labor!$AU$6:$AU$25))*(1+Rates!$B$6)*(1+Rates!$B$7)+SUMPRODUCT((Labor!$G$6:$G$25=Projects!$A$13)*(Labor!$E$6:$E$25="Sub")*N(Labor!$AU$6:$AU$25)))+SUMIFS(ODCs!$F$5:$F$22,ODCs!$D$5:$D$22,Projects!$A$13,ODCs!$E$5:$E$22,10)+SUMIFS(Travel!$F$5:$F$22,Travel!$D$5:$D$22,Projects!$A$13,Travel!$E$5:$E$22,10)+SUMIFS('M&amp;E'!$F$5:$F$22,'M&amp;E'!$D$5:$D$22,Projects!$A$13,'M&amp;E'!$E$5:$E$22,10))*(((SUMPRODUCT((Labor!$G$6:$G$25=Projects!$A$13)*(Labor!$E$6:$E$25="Prime")*N(Labor!$AU$6:$AU$25))*(1+Rates!$B$6)*(1+Rates!$B$7)+SUMPRODUCT((Labor!$G$6:$G$25=Projects!$A$13)*(Labor!$E$6:$E$25="Sub")*N(Labor!$AU$6:$AU$25)))+SUMIFS(ODCs!$F$5:$F$22,ODCs!$D$5:$D$22,Projects!$A$13,ODCs!$E$5:$E$22,10)+SUMIFS(Travel!$F$5:$F$22,Travel!$D$5:$D$22,Projects!$A$13,Travel!$E$5:$E$22,10)+SUMIFS('M&amp;E'!$F$5:$F$22,'M&amp;E'!$D$5:$D$22,Projects!$A$13,'M&amp;E'!$E$5:$E$22,10))*Rates!$B$8),0))*Rates!$C$18+((SUMIFS(Travel!$F$5:$F$22,Travel!$D$5:$D$22,Projects!$A$13,Travel!$E$5:$E$22,10))+IFERROR((SUMIFS(Travel!$F$5:$F$22,Travel!$D$5:$D$22,Projects!$A$13,Travel!$E$5:$E$22,10))/((SUMPRODUCT((Labor!$G$6:$G$25=Projects!$A$13)*(Labor!$E$6:$E$25="Prime")*N(Labor!$AU$6:$AU$25))*(1+Rates!$B$6)*(1+Rates!$B$7)+SUMPRODUCT((Labor!$G$6:$G$25=Projects!$A$13)*(Labor!$E$6:$E$25="Sub")*N(Labor!$AU$6:$AU$25)))+SUMIFS(ODCs!$F$5:$F$22,ODCs!$D$5:$D$22,Projects!$A$13,ODCs!$E$5:$E$22,10)+SUMIFS(Travel!$F$5:$F$22,Travel!$D$5:$D$22,Projects!$A$13,Travel!$E$5:$E$22,10)+SUMIFS('M&amp;E'!$F$5:$F$22,'M&amp;E'!$D$5:$D$22,Projects!$A$13,'M&amp;E'!$E$5:$E$22,10))*(((SUMPRODUCT((Labor!$G$6:$G$25=Projects!$A$13)*(Labor!$E$6:$E$25="Prime")*N(Labor!$AU$6:$AU$25))*(1+Rates!$B$6)*(1+Rates!$B$7)+SUMPRODUCT((Labor!$G$6:$G$25=Projects!$A$13)*(Labor!$E$6:$E$25="Sub")*N(Labor!$AU$6:$AU$25)))+SUMIFS(ODCs!$F$5:$F$22,ODCs!$D$5:$D$22,Projects!$A$13,ODCs!$E$5:$E$22,10)+SUMIFS(Travel!$F$5:$F$22,Travel!$D$5:$D$22,Projects!$A$13,Travel!$E$5:$E$22,10)+SUMIFS('M&amp;E'!$F$5:$F$22,'M&amp;E'!$D$5:$D$22,Projects!$A$13,'M&amp;E'!$E$5:$E$22,10))*Rates!$B$8),0))*Rates!$C$19+((SUMIFS(ODCs!$F$5:$F$22,ODCs!$D$5:$D$22,Projects!$A$13,ODCs!$E$5:$E$22,10))+IFERROR((SUMIFS(ODCs!$F$5:$F$22,ODCs!$D$5:$D$22,Projects!$A$13,ODCs!$E$5:$E$22,10))/((SUMPRODUCT((Labor!$G$6:$G$25=Projects!$A$13)*(Labor!$E$6:$E$25="Prime")*N(Labor!$AU$6:$AU$25))*(1+Rates!$B$6)*(1+Rates!$B$7)+SUMPRODUCT((Labor!$G$6:$G$25=Projects!$A$13)*(Labor!$E$6:$E$25="Sub")*N(Labor!$AU$6:$AU$25)))+SUMIFS(ODCs!$F$5:$F$22,ODCs!$D$5:$D$22,Projects!$A$13,ODCs!$E$5:$E$22,10)+SUMIFS(Travel!$F$5:$F$22,Travel!$D$5:$D$22,Projects!$A$13,Travel!$E$5:$E$22,10)+SUMIFS('M&amp;E'!$F$5:$F$22,'M&amp;E'!$D$5:$D$22,Projects!$A$13,'M&amp;E'!$E$5:$E$22,10))*(((SUMPRODUCT((Labor!$G$6:$G$25=Projects!$A$13)*(Labor!$E$6:$E$25="Prime")*N(Labor!$AU$6:$AU$25))*(1+Rates!$B$6)*(1+Rates!$B$7)+SUMPRODUCT((Labor!$G$6:$G$25=Projects!$A$13)*(Labor!$E$6:$E$25="Sub")*N(Labor!$AU$6:$AU$25)))+SUMIFS(ODCs!$F$5:$F$22,ODCs!$D$5:$D$22,Projects!$A$13,ODCs!$E$5:$E$22,10)+SUMIFS(Travel!$F$5:$F$22,Travel!$D$5:$D$22,Projects!$A$13,Travel!$E$5:$E$22,10)+SUMIFS('M&amp;E'!$F$5:$F$22,'M&amp;E'!$D$5:$D$22,Projects!$A$13,'M&amp;E'!$E$5:$E$22,10))*Rates!$B$8),0))*Rates!$C$20+((SUMIFS('M&amp;E'!$F$5:$F$22,'M&amp;E'!$D$5:$D$22,Projects!$A$13,'M&amp;E'!$E$5:$E$22,10))+IFERROR((SUMIFS('M&amp;E'!$F$5:$F$22,'M&amp;E'!$D$5:$D$22,Projects!$A$13,'M&amp;E'!$E$5:$E$22,10))/((SUMPRODUCT((Labor!$G$6:$G$25=Projects!$A$13)*(Labor!$E$6:$E$25="Prime")*N(Labor!$AU$6:$AU$25))*(1+Rates!$B$6)*(1+Rates!$B$7)+SUMPRODUCT((Labor!$G$6:$G$25=Projects!$A$13)*(Labor!$E$6:$E$25="Sub")*N(Labor!$AU$6:$AU$25)))+SUMIFS(ODCs!$F$5:$F$22,ODCs!$D$5:$D$22,Projects!$A$13,ODCs!$E$5:$E$22,10)+SUMIFS(Travel!$F$5:$F$22,Travel!$D$5:$D$22,Projects!$A$13,Travel!$E$5:$E$22,10)+SUMIFS('M&amp;E'!$F$5:$F$22,'M&amp;E'!$D$5:$D$22,Projects!$A$13,'M&amp;E'!$E$5:$E$22,10))*(((SUMPRODUCT((Labor!$G$6:$G$25=Projects!$A$13)*(Labor!$E$6:$E$25="Prime")*N(Labor!$AU$6:$AU$25))*(1+Rates!$B$6)*(1+Rates!$B$7)+SUMPRODUCT((Labor!$G$6:$G$25=Projects!$A$13)*(Labor!$E$6:$E$25="Sub")*N(Labor!$AU$6:$AU$25)))+SUMIFS(ODCs!$F$5:$F$22,ODCs!$D$5:$D$22,Projects!$A$13,ODCs!$E$5:$E$22,10)+SUMIFS(Travel!$F$5:$F$22,Travel!$D$5:$D$22,Projects!$A$13,Travel!$E$5:$E$22,10)+SUMIFS('M&amp;E'!$F$5:$F$22,'M&amp;E'!$D$5:$D$22,Projects!$A$13,'M&amp;E'!$E$5:$E$22,10))*Rates!$B$8),0))*Rates!$C$21))</f>
        <v/>
      </c>
      <c r="L59" s="132">
        <f>IF(Projects!$A$13="","",(((SUMPRODUCT((Labor!$G$6:$G$25=Projects!$A$13)*(Labor!$E$6:$E$25="Prime")*N(Labor!$AY$6:$AY$25))*(1+Rates!$B$6)*(1+Rates!$B$7)+SUMPRODUCT((Labor!$G$6:$G$25=Projects!$A$13)*(Labor!$E$6:$E$25="Sub")*N(Labor!$AY$6:$AY$25)))+SUMIFS(ODCs!$F$5:$F$22,ODCs!$D$5:$D$22,Projects!$A$13,ODCs!$E$5:$E$22,11)+SUMIFS(Travel!$F$5:$F$22,Travel!$D$5:$D$22,Projects!$A$13,Travel!$E$5:$E$22,11)+SUMIFS('M&amp;E'!$F$5:$F$22,'M&amp;E'!$D$5:$D$22,Projects!$A$13,'M&amp;E'!$E$5:$E$22,11))+(((SUMPRODUCT((Labor!$G$6:$G$25=Projects!$A$13)*(Labor!$E$6:$E$25="Prime")*N(Labor!$AY$6:$AY$25))*(1+Rates!$B$6)*(1+Rates!$B$7)+SUMPRODUCT((Labor!$G$6:$G$25=Projects!$A$13)*(Labor!$E$6:$E$25="Sub")*N(Labor!$AY$6:$AY$25)))+SUMIFS(ODCs!$F$5:$F$22,ODCs!$D$5:$D$22,Projects!$A$13,ODCs!$E$5:$E$22,11)+SUMIFS(Travel!$F$5:$F$22,Travel!$D$5:$D$22,Projects!$A$13,Travel!$E$5:$E$22,11)+SUMIFS('M&amp;E'!$F$5:$F$22,'M&amp;E'!$D$5:$D$22,Projects!$A$13,'M&amp;E'!$E$5:$E$22,11))*Rates!$B$8))+((((SUMPRODUCT((Labor!$G$6:$G$25=Projects!$A$13)*(Labor!$E$6:$E$25="Prime")*N(Labor!$AY$6:$AY$25))*(1+Rates!$B$6)*(1+Rates!$B$7)+SUMPRODUCT((Labor!$G$6:$G$25=Projects!$A$13)*(Labor!$E$6:$E$25="Sub")*N(Labor!$AY$6:$AY$25))))+IFERROR(((SUMPRODUCT((Labor!$G$6:$G$25=Projects!$A$13)*(Labor!$E$6:$E$25="Prime")*N(Labor!$AY$6:$AY$25))*(1+Rates!$B$6)*(1+Rates!$B$7)+SUMPRODUCT((Labor!$G$6:$G$25=Projects!$A$13)*(Labor!$E$6:$E$25="Sub")*N(Labor!$AY$6:$AY$25))))/((SUMPRODUCT((Labor!$G$6:$G$25=Projects!$A$13)*(Labor!$E$6:$E$25="Prime")*N(Labor!$AY$6:$AY$25))*(1+Rates!$B$6)*(1+Rates!$B$7)+SUMPRODUCT((Labor!$G$6:$G$25=Projects!$A$13)*(Labor!$E$6:$E$25="Sub")*N(Labor!$AY$6:$AY$25)))+SUMIFS(ODCs!$F$5:$F$22,ODCs!$D$5:$D$22,Projects!$A$13,ODCs!$E$5:$E$22,11)+SUMIFS(Travel!$F$5:$F$22,Travel!$D$5:$D$22,Projects!$A$13,Travel!$E$5:$E$22,11)+SUMIFS('M&amp;E'!$F$5:$F$22,'M&amp;E'!$D$5:$D$22,Projects!$A$13,'M&amp;E'!$E$5:$E$22,11))*(((SUMPRODUCT((Labor!$G$6:$G$25=Projects!$A$13)*(Labor!$E$6:$E$25="Prime")*N(Labor!$AY$6:$AY$25))*(1+Rates!$B$6)*(1+Rates!$B$7)+SUMPRODUCT((Labor!$G$6:$G$25=Projects!$A$13)*(Labor!$E$6:$E$25="Sub")*N(Labor!$AY$6:$AY$25)))+SUMIFS(ODCs!$F$5:$F$22,ODCs!$D$5:$D$22,Projects!$A$13,ODCs!$E$5:$E$22,11)+SUMIFS(Travel!$F$5:$F$22,Travel!$D$5:$D$22,Projects!$A$13,Travel!$E$5:$E$22,11)+SUMIFS('M&amp;E'!$F$5:$F$22,'M&amp;E'!$D$5:$D$22,Projects!$A$13,'M&amp;E'!$E$5:$E$22,11))*Rates!$B$8),0))*Rates!$C$18+((SUMIFS(Travel!$F$5:$F$22,Travel!$D$5:$D$22,Projects!$A$13,Travel!$E$5:$E$22,11))+IFERROR((SUMIFS(Travel!$F$5:$F$22,Travel!$D$5:$D$22,Projects!$A$13,Travel!$E$5:$E$22,11))/((SUMPRODUCT((Labor!$G$6:$G$25=Projects!$A$13)*(Labor!$E$6:$E$25="Prime")*N(Labor!$AY$6:$AY$25))*(1+Rates!$B$6)*(1+Rates!$B$7)+SUMPRODUCT((Labor!$G$6:$G$25=Projects!$A$13)*(Labor!$E$6:$E$25="Sub")*N(Labor!$AY$6:$AY$25)))+SUMIFS(ODCs!$F$5:$F$22,ODCs!$D$5:$D$22,Projects!$A$13,ODCs!$E$5:$E$22,11)+SUMIFS(Travel!$F$5:$F$22,Travel!$D$5:$D$22,Projects!$A$13,Travel!$E$5:$E$22,11)+SUMIFS('M&amp;E'!$F$5:$F$22,'M&amp;E'!$D$5:$D$22,Projects!$A$13,'M&amp;E'!$E$5:$E$22,11))*(((SUMPRODUCT((Labor!$G$6:$G$25=Projects!$A$13)*(Labor!$E$6:$E$25="Prime")*N(Labor!$AY$6:$AY$25))*(1+Rates!$B$6)*(1+Rates!$B$7)+SUMPRODUCT((Labor!$G$6:$G$25=Projects!$A$13)*(Labor!$E$6:$E$25="Sub")*N(Labor!$AY$6:$AY$25)))+SUMIFS(ODCs!$F$5:$F$22,ODCs!$D$5:$D$22,Projects!$A$13,ODCs!$E$5:$E$22,11)+SUMIFS(Travel!$F$5:$F$22,Travel!$D$5:$D$22,Projects!$A$13,Travel!$E$5:$E$22,11)+SUMIFS('M&amp;E'!$F$5:$F$22,'M&amp;E'!$D$5:$D$22,Projects!$A$13,'M&amp;E'!$E$5:$E$22,11))*Rates!$B$8),0))*Rates!$C$19+((SUMIFS(ODCs!$F$5:$F$22,ODCs!$D$5:$D$22,Projects!$A$13,ODCs!$E$5:$E$22,11))+IFERROR((SUMIFS(ODCs!$F$5:$F$22,ODCs!$D$5:$D$22,Projects!$A$13,ODCs!$E$5:$E$22,11))/((SUMPRODUCT((Labor!$G$6:$G$25=Projects!$A$13)*(Labor!$E$6:$E$25="Prime")*N(Labor!$AY$6:$AY$25))*(1+Rates!$B$6)*(1+Rates!$B$7)+SUMPRODUCT((Labor!$G$6:$G$25=Projects!$A$13)*(Labor!$E$6:$E$25="Sub")*N(Labor!$AY$6:$AY$25)))+SUMIFS(ODCs!$F$5:$F$22,ODCs!$D$5:$D$22,Projects!$A$13,ODCs!$E$5:$E$22,11)+SUMIFS(Travel!$F$5:$F$22,Travel!$D$5:$D$22,Projects!$A$13,Travel!$E$5:$E$22,11)+SUMIFS('M&amp;E'!$F$5:$F$22,'M&amp;E'!$D$5:$D$22,Projects!$A$13,'M&amp;E'!$E$5:$E$22,11))*(((SUMPRODUCT((Labor!$G$6:$G$25=Projects!$A$13)*(Labor!$E$6:$E$25="Prime")*N(Labor!$AY$6:$AY$25))*(1+Rates!$B$6)*(1+Rates!$B$7)+SUMPRODUCT((Labor!$G$6:$G$25=Projects!$A$13)*(Labor!$E$6:$E$25="Sub")*N(Labor!$AY$6:$AY$25)))+SUMIFS(ODCs!$F$5:$F$22,ODCs!$D$5:$D$22,Projects!$A$13,ODCs!$E$5:$E$22,11)+SUMIFS(Travel!$F$5:$F$22,Travel!$D$5:$D$22,Projects!$A$13,Travel!$E$5:$E$22,11)+SUMIFS('M&amp;E'!$F$5:$F$22,'M&amp;E'!$D$5:$D$22,Projects!$A$13,'M&amp;E'!$E$5:$E$22,11))*Rates!$B$8),0))*Rates!$C$20+((SUMIFS('M&amp;E'!$F$5:$F$22,'M&amp;E'!$D$5:$D$22,Projects!$A$13,'M&amp;E'!$E$5:$E$22,11))+IFERROR((SUMIFS('M&amp;E'!$F$5:$F$22,'M&amp;E'!$D$5:$D$22,Projects!$A$13,'M&amp;E'!$E$5:$E$22,11))/((SUMPRODUCT((Labor!$G$6:$G$25=Projects!$A$13)*(Labor!$E$6:$E$25="Prime")*N(Labor!$AY$6:$AY$25))*(1+Rates!$B$6)*(1+Rates!$B$7)+SUMPRODUCT((Labor!$G$6:$G$25=Projects!$A$13)*(Labor!$E$6:$E$25="Sub")*N(Labor!$AY$6:$AY$25)))+SUMIFS(ODCs!$F$5:$F$22,ODCs!$D$5:$D$22,Projects!$A$13,ODCs!$E$5:$E$22,11)+SUMIFS(Travel!$F$5:$F$22,Travel!$D$5:$D$22,Projects!$A$13,Travel!$E$5:$E$22,11)+SUMIFS('M&amp;E'!$F$5:$F$22,'M&amp;E'!$D$5:$D$22,Projects!$A$13,'M&amp;E'!$E$5:$E$22,11))*(((SUMPRODUCT((Labor!$G$6:$G$25=Projects!$A$13)*(Labor!$E$6:$E$25="Prime")*N(Labor!$AY$6:$AY$25))*(1+Rates!$B$6)*(1+Rates!$B$7)+SUMPRODUCT((Labor!$G$6:$G$25=Projects!$A$13)*(Labor!$E$6:$E$25="Sub")*N(Labor!$AY$6:$AY$25)))+SUMIFS(ODCs!$F$5:$F$22,ODCs!$D$5:$D$22,Projects!$A$13,ODCs!$E$5:$E$22,11)+SUMIFS(Travel!$F$5:$F$22,Travel!$D$5:$D$22,Projects!$A$13,Travel!$E$5:$E$22,11)+SUMIFS('M&amp;E'!$F$5:$F$22,'M&amp;E'!$D$5:$D$22,Projects!$A$13,'M&amp;E'!$E$5:$E$22,11))*Rates!$B$8),0))*Rates!$C$21))</f>
        <v/>
      </c>
      <c r="M59" s="132">
        <f>IF(Projects!$A$13="","",(((SUMPRODUCT((Labor!$G$6:$G$25=Projects!$A$13)*(Labor!$E$6:$E$25="Prime")*N(Labor!$BC$6:$BC$25))*(1+Rates!$B$6)*(1+Rates!$B$7)+SUMPRODUCT((Labor!$G$6:$G$25=Projects!$A$13)*(Labor!$E$6:$E$25="Sub")*N(Labor!$BC$6:$BC$25)))+SUMIFS(ODCs!$F$5:$F$22,ODCs!$D$5:$D$22,Projects!$A$13,ODCs!$E$5:$E$22,12)+SUMIFS(Travel!$F$5:$F$22,Travel!$D$5:$D$22,Projects!$A$13,Travel!$E$5:$E$22,12)+SUMIFS('M&amp;E'!$F$5:$F$22,'M&amp;E'!$D$5:$D$22,Projects!$A$13,'M&amp;E'!$E$5:$E$22,12))+(((SUMPRODUCT((Labor!$G$6:$G$25=Projects!$A$13)*(Labor!$E$6:$E$25="Prime")*N(Labor!$BC$6:$BC$25))*(1+Rates!$B$6)*(1+Rates!$B$7)+SUMPRODUCT((Labor!$G$6:$G$25=Projects!$A$13)*(Labor!$E$6:$E$25="Sub")*N(Labor!$BC$6:$BC$25)))+SUMIFS(ODCs!$F$5:$F$22,ODCs!$D$5:$D$22,Projects!$A$13,ODCs!$E$5:$E$22,12)+SUMIFS(Travel!$F$5:$F$22,Travel!$D$5:$D$22,Projects!$A$13,Travel!$E$5:$E$22,12)+SUMIFS('M&amp;E'!$F$5:$F$22,'M&amp;E'!$D$5:$D$22,Projects!$A$13,'M&amp;E'!$E$5:$E$22,12))*Rates!$B$8))+((((SUMPRODUCT((Labor!$G$6:$G$25=Projects!$A$13)*(Labor!$E$6:$E$25="Prime")*N(Labor!$BC$6:$BC$25))*(1+Rates!$B$6)*(1+Rates!$B$7)+SUMPRODUCT((Labor!$G$6:$G$25=Projects!$A$13)*(Labor!$E$6:$E$25="Sub")*N(Labor!$BC$6:$BC$25))))+IFERROR(((SUMPRODUCT((Labor!$G$6:$G$25=Projects!$A$13)*(Labor!$E$6:$E$25="Prime")*N(Labor!$BC$6:$BC$25))*(1+Rates!$B$6)*(1+Rates!$B$7)+SUMPRODUCT((Labor!$G$6:$G$25=Projects!$A$13)*(Labor!$E$6:$E$25="Sub")*N(Labor!$BC$6:$BC$25))))/((SUMPRODUCT((Labor!$G$6:$G$25=Projects!$A$13)*(Labor!$E$6:$E$25="Prime")*N(Labor!$BC$6:$BC$25))*(1+Rates!$B$6)*(1+Rates!$B$7)+SUMPRODUCT((Labor!$G$6:$G$25=Projects!$A$13)*(Labor!$E$6:$E$25="Sub")*N(Labor!$BC$6:$BC$25)))+SUMIFS(ODCs!$F$5:$F$22,ODCs!$D$5:$D$22,Projects!$A$13,ODCs!$E$5:$E$22,12)+SUMIFS(Travel!$F$5:$F$22,Travel!$D$5:$D$22,Projects!$A$13,Travel!$E$5:$E$22,12)+SUMIFS('M&amp;E'!$F$5:$F$22,'M&amp;E'!$D$5:$D$22,Projects!$A$13,'M&amp;E'!$E$5:$E$22,12))*(((SUMPRODUCT((Labor!$G$6:$G$25=Projects!$A$13)*(Labor!$E$6:$E$25="Prime")*N(Labor!$BC$6:$BC$25))*(1+Rates!$B$6)*(1+Rates!$B$7)+SUMPRODUCT((Labor!$G$6:$G$25=Projects!$A$13)*(Labor!$E$6:$E$25="Sub")*N(Labor!$BC$6:$BC$25)))+SUMIFS(ODCs!$F$5:$F$22,ODCs!$D$5:$D$22,Projects!$A$13,ODCs!$E$5:$E$22,12)+SUMIFS(Travel!$F$5:$F$22,Travel!$D$5:$D$22,Projects!$A$13,Travel!$E$5:$E$22,12)+SUMIFS('M&amp;E'!$F$5:$F$22,'M&amp;E'!$D$5:$D$22,Projects!$A$13,'M&amp;E'!$E$5:$E$22,12))*Rates!$B$8),0))*Rates!$C$18+((SUMIFS(Travel!$F$5:$F$22,Travel!$D$5:$D$22,Projects!$A$13,Travel!$E$5:$E$22,12))+IFERROR((SUMIFS(Travel!$F$5:$F$22,Travel!$D$5:$D$22,Projects!$A$13,Travel!$E$5:$E$22,12))/((SUMPRODUCT((Labor!$G$6:$G$25=Projects!$A$13)*(Labor!$E$6:$E$25="Prime")*N(Labor!$BC$6:$BC$25))*(1+Rates!$B$6)*(1+Rates!$B$7)+SUMPRODUCT((Labor!$G$6:$G$25=Projects!$A$13)*(Labor!$E$6:$E$25="Sub")*N(Labor!$BC$6:$BC$25)))+SUMIFS(ODCs!$F$5:$F$22,ODCs!$D$5:$D$22,Projects!$A$13,ODCs!$E$5:$E$22,12)+SUMIFS(Travel!$F$5:$F$22,Travel!$D$5:$D$22,Projects!$A$13,Travel!$E$5:$E$22,12)+SUMIFS('M&amp;E'!$F$5:$F$22,'M&amp;E'!$D$5:$D$22,Projects!$A$13,'M&amp;E'!$E$5:$E$22,12))*(((SUMPRODUCT((Labor!$G$6:$G$25=Projects!$A$13)*(Labor!$E$6:$E$25="Prime")*N(Labor!$BC$6:$BC$25))*(1+Rates!$B$6)*(1+Rates!$B$7)+SUMPRODUCT((Labor!$G$6:$G$25=Projects!$A$13)*(Labor!$E$6:$E$25="Sub")*N(Labor!$BC$6:$BC$25)))+SUMIFS(ODCs!$F$5:$F$22,ODCs!$D$5:$D$22,Projects!$A$13,ODCs!$E$5:$E$22,12)+SUMIFS(Travel!$F$5:$F$22,Travel!$D$5:$D$22,Projects!$A$13,Travel!$E$5:$E$22,12)+SUMIFS('M&amp;E'!$F$5:$F$22,'M&amp;E'!$D$5:$D$22,Projects!$A$13,'M&amp;E'!$E$5:$E$22,12))*Rates!$B$8),0))*Rates!$C$19+((SUMIFS(ODCs!$F$5:$F$22,ODCs!$D$5:$D$22,Projects!$A$13,ODCs!$E$5:$E$22,12))+IFERROR((SUMIFS(ODCs!$F$5:$F$22,ODCs!$D$5:$D$22,Projects!$A$13,ODCs!$E$5:$E$22,12))/((SUMPRODUCT((Labor!$G$6:$G$25=Projects!$A$13)*(Labor!$E$6:$E$25="Prime")*N(Labor!$BC$6:$BC$25))*(1+Rates!$B$6)*(1+Rates!$B$7)+SUMPRODUCT((Labor!$G$6:$G$25=Projects!$A$13)*(Labor!$E$6:$E$25="Sub")*N(Labor!$BC$6:$BC$25)))+SUMIFS(ODCs!$F$5:$F$22,ODCs!$D$5:$D$22,Projects!$A$13,ODCs!$E$5:$E$22,12)+SUMIFS(Travel!$F$5:$F$22,Travel!$D$5:$D$22,Projects!$A$13,Travel!$E$5:$E$22,12)+SUMIFS('M&amp;E'!$F$5:$F$22,'M&amp;E'!$D$5:$D$22,Projects!$A$13,'M&amp;E'!$E$5:$E$22,12))*(((SUMPRODUCT((Labor!$G$6:$G$25=Projects!$A$13)*(Labor!$E$6:$E$25="Prime")*N(Labor!$BC$6:$BC$25))*(1+Rates!$B$6)*(1+Rates!$B$7)+SUMPRODUCT((Labor!$G$6:$G$25=Projects!$A$13)*(Labor!$E$6:$E$25="Sub")*N(Labor!$BC$6:$BC$25)))+SUMIFS(ODCs!$F$5:$F$22,ODCs!$D$5:$D$22,Projects!$A$13,ODCs!$E$5:$E$22,12)+SUMIFS(Travel!$F$5:$F$22,Travel!$D$5:$D$22,Projects!$A$13,Travel!$E$5:$E$22,12)+SUMIFS('M&amp;E'!$F$5:$F$22,'M&amp;E'!$D$5:$D$22,Projects!$A$13,'M&amp;E'!$E$5:$E$22,12))*Rates!$B$8),0))*Rates!$C$20+((SUMIFS('M&amp;E'!$F$5:$F$22,'M&amp;E'!$D$5:$D$22,Projects!$A$13,'M&amp;E'!$E$5:$E$22,12))+IFERROR((SUMIFS('M&amp;E'!$F$5:$F$22,'M&amp;E'!$D$5:$D$22,Projects!$A$13,'M&amp;E'!$E$5:$E$22,12))/((SUMPRODUCT((Labor!$G$6:$G$25=Projects!$A$13)*(Labor!$E$6:$E$25="Prime")*N(Labor!$BC$6:$BC$25))*(1+Rates!$B$6)*(1+Rates!$B$7)+SUMPRODUCT((Labor!$G$6:$G$25=Projects!$A$13)*(Labor!$E$6:$E$25="Sub")*N(Labor!$BC$6:$BC$25)))+SUMIFS(ODCs!$F$5:$F$22,ODCs!$D$5:$D$22,Projects!$A$13,ODCs!$E$5:$E$22,12)+SUMIFS(Travel!$F$5:$F$22,Travel!$D$5:$D$22,Projects!$A$13,Travel!$E$5:$E$22,12)+SUMIFS('M&amp;E'!$F$5:$F$22,'M&amp;E'!$D$5:$D$22,Projects!$A$13,'M&amp;E'!$E$5:$E$22,12))*(((SUMPRODUCT((Labor!$G$6:$G$25=Projects!$A$13)*(Labor!$E$6:$E$25="Prime")*N(Labor!$BC$6:$BC$25))*(1+Rates!$B$6)*(1+Rates!$B$7)+SUMPRODUCT((Labor!$G$6:$G$25=Projects!$A$13)*(Labor!$E$6:$E$25="Sub")*N(Labor!$BC$6:$BC$25)))+SUMIFS(ODCs!$F$5:$F$22,ODCs!$D$5:$D$22,Projects!$A$13,ODCs!$E$5:$E$22,12)+SUMIFS(Travel!$F$5:$F$22,Travel!$D$5:$D$22,Projects!$A$13,Travel!$E$5:$E$22,12)+SUMIFS('M&amp;E'!$F$5:$F$22,'M&amp;E'!$D$5:$D$22,Projects!$A$13,'M&amp;E'!$E$5:$E$22,12))*Rates!$B$8),0))*Rates!$C$21))</f>
        <v/>
      </c>
      <c r="N59" s="135">
        <f>SUM(B59,C59,D59)</f>
        <v/>
      </c>
      <c r="O59" s="135">
        <f>SUM(E59,F59,G59)</f>
        <v/>
      </c>
      <c r="P59" s="135">
        <f>SUM(H59,I59,J59)</f>
        <v/>
      </c>
      <c r="Q59" s="135">
        <f>SUM(K59,L59,M59)</f>
        <v/>
      </c>
      <c r="R59" s="135">
        <f>SUM(N59,O59,P59,Q59)</f>
        <v/>
      </c>
    </row>
    <row r="60">
      <c r="A60" s="117" t="inlineStr">
        <is>
          <t>Variance $</t>
        </is>
      </c>
      <c r="B60" s="204">
        <f>IFERROR(IF(B59="","",B59-B58),0)</f>
        <v/>
      </c>
      <c r="C60" s="204">
        <f>IFERROR(IF(C59="","",C59-C58),0)</f>
        <v/>
      </c>
      <c r="D60" s="204">
        <f>IFERROR(IF(D59="","",D59-D58),0)</f>
        <v/>
      </c>
      <c r="E60" s="204">
        <f>IFERROR(IF(E59="","",E59-E58),0)</f>
        <v/>
      </c>
      <c r="F60" s="204">
        <f>IFERROR(IF(F59="","",F59-F58),0)</f>
        <v/>
      </c>
      <c r="G60" s="204">
        <f>IFERROR(IF(G59="","",G59-G58),0)</f>
        <v/>
      </c>
      <c r="H60" s="204">
        <f>IFERROR(IF(H59="","",H59-H58),0)</f>
        <v/>
      </c>
      <c r="I60" s="204">
        <f>IFERROR(IF(I59="","",I59-I58),0)</f>
        <v/>
      </c>
      <c r="J60" s="204">
        <f>IFERROR(IF(J59="","",J59-J58),0)</f>
        <v/>
      </c>
      <c r="K60" s="204">
        <f>IFERROR(IF(K59="","",K59-K58),0)</f>
        <v/>
      </c>
      <c r="L60" s="204">
        <f>IFERROR(IF(L59="","",L59-L58),0)</f>
        <v/>
      </c>
      <c r="M60" s="204">
        <f>IFERROR(IF(M59="","",M59-M58),0)</f>
        <v/>
      </c>
      <c r="N60" s="135">
        <f>SUM(B60,C60,D60)</f>
        <v/>
      </c>
      <c r="O60" s="135">
        <f>SUM(E60,F60,G60)</f>
        <v/>
      </c>
      <c r="P60" s="135">
        <f>SUM(H60,I60,J60)</f>
        <v/>
      </c>
      <c r="Q60" s="135">
        <f>SUM(K60,L60,M60)</f>
        <v/>
      </c>
      <c r="R60" s="135">
        <f>SUM(N60,O60,P60,Q60)</f>
        <v/>
      </c>
    </row>
    <row r="61">
      <c r="A61" s="117" t="inlineStr">
        <is>
          <t>Variance %</t>
        </is>
      </c>
      <c r="B61" s="205">
        <f>IFERROR(B60/B58,0)</f>
        <v/>
      </c>
      <c r="C61" s="205">
        <f>IFERROR(C60/C58,0)</f>
        <v/>
      </c>
      <c r="D61" s="205">
        <f>IFERROR(D60/D58,0)</f>
        <v/>
      </c>
      <c r="E61" s="205">
        <f>IFERROR(E60/E58,0)</f>
        <v/>
      </c>
      <c r="F61" s="205">
        <f>IFERROR(F60/F58,0)</f>
        <v/>
      </c>
      <c r="G61" s="205">
        <f>IFERROR(G60/G58,0)</f>
        <v/>
      </c>
      <c r="H61" s="205">
        <f>IFERROR(H60/H58,0)</f>
        <v/>
      </c>
      <c r="I61" s="205">
        <f>IFERROR(I60/I58,0)</f>
        <v/>
      </c>
      <c r="J61" s="205">
        <f>IFERROR(J60/J58,0)</f>
        <v/>
      </c>
      <c r="K61" s="205">
        <f>IFERROR(K60/K58,0)</f>
        <v/>
      </c>
      <c r="L61" s="205">
        <f>IFERROR(L60/L58,0)</f>
        <v/>
      </c>
      <c r="M61" s="205">
        <f>IFERROR(M60/M58,0)</f>
        <v/>
      </c>
      <c r="N61" s="140">
        <f>IFERROR(N60/N58,0)</f>
        <v/>
      </c>
      <c r="O61" s="140">
        <f>IFERROR(O60/O58,0)</f>
        <v/>
      </c>
      <c r="P61" s="140">
        <f>IFERROR(P60/P58,0)</f>
        <v/>
      </c>
      <c r="Q61" s="140">
        <f>IFERROR(Q60/Q58,0)</f>
        <v/>
      </c>
      <c r="R61" s="140">
        <f>IFERROR(R60/R58,0)</f>
        <v/>
      </c>
    </row>
    <row r="64" ht="15" customHeight="1" s="109">
      <c r="A64" s="123" t="inlineStr">
        <is>
          <t>Forecast Revision Log — log it here when you re-forecast, don't just overwrite the number above</t>
        </is>
      </c>
    </row>
    <row r="65" ht="28" customHeight="1" s="109">
      <c r="A65" s="126" t="inlineStr">
        <is>
          <t>V#</t>
        </is>
      </c>
      <c r="B65" s="126" t="inlineStr">
        <is>
          <t>Date</t>
        </is>
      </c>
      <c r="C65" s="126" t="inlineStr">
        <is>
          <t>Project</t>
        </is>
      </c>
      <c r="D65" s="126" t="inlineStr">
        <is>
          <t>Period
(Month/Qtr)</t>
        </is>
      </c>
      <c r="E65" s="126" t="inlineStr">
        <is>
          <t>Previous
Forecast $</t>
        </is>
      </c>
      <c r="F65" s="126" t="inlineStr">
        <is>
          <t>Revised
Forecast $</t>
        </is>
      </c>
      <c r="G65" s="126" t="inlineStr">
        <is>
          <t>Reason for Change</t>
        </is>
      </c>
      <c r="H65" s="126" t="inlineStr">
        <is>
          <t>Logged By</t>
        </is>
      </c>
    </row>
    <row r="66">
      <c r="A66" s="138">
        <f>IF(B66="","",ROW()-65)</f>
        <v/>
      </c>
      <c r="B66" s="202" t="n">
        <v>46280</v>
      </c>
      <c r="C66" s="128" t="inlineStr">
        <is>
          <t>P1</t>
        </is>
      </c>
      <c r="D66" s="128" t="inlineStr">
        <is>
          <t>Oct 2026</t>
        </is>
      </c>
      <c r="E66" s="131" t="n">
        <v>90000</v>
      </c>
      <c r="F66" s="131" t="n">
        <v>105000</v>
      </c>
      <c r="G66" s="128" t="inlineStr">
        <is>
          <t>Added scope — extra site visit support</t>
        </is>
      </c>
      <c r="H66" s="128" t="inlineStr">
        <is>
          <t>PM</t>
        </is>
      </c>
    </row>
    <row r="67">
      <c r="A67" s="138">
        <f>IF(B67="","",ROW()-65)</f>
        <v/>
      </c>
      <c r="B67" s="202" t="n"/>
      <c r="C67" s="128" t="n"/>
      <c r="D67" s="128" t="n"/>
      <c r="E67" s="131" t="n"/>
      <c r="F67" s="131" t="n"/>
      <c r="G67" s="128" t="n"/>
      <c r="H67" s="128" t="n"/>
    </row>
    <row r="68">
      <c r="A68" s="138">
        <f>IF(B68="","",ROW()-65)</f>
        <v/>
      </c>
      <c r="B68" s="202" t="n"/>
      <c r="C68" s="128" t="n"/>
      <c r="D68" s="128" t="n"/>
      <c r="E68" s="131" t="n"/>
      <c r="F68" s="131" t="n"/>
      <c r="G68" s="128" t="n"/>
      <c r="H68" s="128" t="n"/>
    </row>
    <row r="69">
      <c r="A69" s="138">
        <f>IF(B69="","",ROW()-65)</f>
        <v/>
      </c>
      <c r="B69" s="202" t="n"/>
      <c r="C69" s="128" t="n"/>
      <c r="D69" s="128" t="n"/>
      <c r="E69" s="131" t="n"/>
      <c r="F69" s="131" t="n"/>
      <c r="G69" s="128" t="n"/>
      <c r="H69" s="128" t="n"/>
    </row>
    <row r="70">
      <c r="A70" s="138">
        <f>IF(B70="","",ROW()-65)</f>
        <v/>
      </c>
      <c r="B70" s="202" t="n"/>
      <c r="C70" s="128" t="n"/>
      <c r="D70" s="128" t="n"/>
      <c r="E70" s="131" t="n"/>
      <c r="F70" s="131" t="n"/>
      <c r="G70" s="128" t="n"/>
      <c r="H70" s="128" t="n"/>
    </row>
    <row r="71">
      <c r="A71" s="138">
        <f>IF(B71="","",ROW()-65)</f>
        <v/>
      </c>
      <c r="B71" s="202" t="n"/>
      <c r="C71" s="128" t="n"/>
      <c r="D71" s="128" t="n"/>
      <c r="E71" s="131" t="n"/>
      <c r="F71" s="131" t="n"/>
      <c r="G71" s="128" t="n"/>
      <c r="H71" s="128" t="n"/>
    </row>
    <row r="72">
      <c r="A72" s="138">
        <f>IF(B72="","",ROW()-65)</f>
        <v/>
      </c>
      <c r="B72" s="202" t="n"/>
      <c r="C72" s="128" t="n"/>
      <c r="D72" s="128" t="n"/>
      <c r="E72" s="131" t="n"/>
      <c r="F72" s="131" t="n"/>
      <c r="G72" s="128" t="n"/>
      <c r="H72" s="128" t="n"/>
    </row>
    <row r="73">
      <c r="A73" s="138">
        <f>IF(B73="","",ROW()-65)</f>
        <v/>
      </c>
      <c r="B73" s="202" t="n"/>
      <c r="C73" s="128" t="n"/>
      <c r="D73" s="128" t="n"/>
      <c r="E73" s="131" t="n"/>
      <c r="F73" s="131" t="n"/>
      <c r="G73" s="128" t="n"/>
      <c r="H73" s="128" t="n"/>
    </row>
    <row r="74">
      <c r="A74" s="138">
        <f>IF(B74="","",ROW()-65)</f>
        <v/>
      </c>
      <c r="B74" s="202" t="n"/>
      <c r="C74" s="128" t="n"/>
      <c r="D74" s="128" t="n"/>
      <c r="E74" s="131" t="n"/>
      <c r="F74" s="131" t="n"/>
      <c r="G74" s="128" t="n"/>
      <c r="H74" s="128" t="n"/>
    </row>
    <row r="75">
      <c r="A75" s="138">
        <f>IF(B75="","",ROW()-65)</f>
        <v/>
      </c>
      <c r="B75" s="202" t="n"/>
      <c r="C75" s="128" t="n"/>
      <c r="D75" s="128" t="n"/>
      <c r="E75" s="131" t="n"/>
      <c r="F75" s="131" t="n"/>
      <c r="G75" s="128" t="n"/>
      <c r="H75" s="128" t="n"/>
    </row>
    <row r="76">
      <c r="A76" s="138">
        <f>IF(B76="","",ROW()-65)</f>
        <v/>
      </c>
      <c r="B76" s="202" t="n"/>
      <c r="C76" s="128" t="n"/>
      <c r="D76" s="128" t="n"/>
      <c r="E76" s="131" t="n"/>
      <c r="F76" s="131" t="n"/>
      <c r="G76" s="128" t="n"/>
      <c r="H76" s="128" t="n"/>
    </row>
    <row r="77">
      <c r="A77" s="138">
        <f>IF(B77="","",ROW()-65)</f>
        <v/>
      </c>
      <c r="B77" s="202" t="n"/>
      <c r="C77" s="128" t="n"/>
      <c r="D77" s="128" t="n"/>
      <c r="E77" s="131" t="n"/>
      <c r="F77" s="131" t="n"/>
      <c r="G77" s="128" t="n"/>
      <c r="H77" s="128" t="n"/>
    </row>
    <row r="78">
      <c r="A78" s="138">
        <f>IF(B78="","",ROW()-65)</f>
        <v/>
      </c>
      <c r="B78" s="202" t="n"/>
      <c r="C78" s="128" t="n"/>
      <c r="D78" s="128" t="n"/>
      <c r="E78" s="131" t="n"/>
      <c r="F78" s="131" t="n"/>
      <c r="G78" s="128" t="n"/>
      <c r="H78" s="128" t="n"/>
    </row>
    <row r="79">
      <c r="A79" s="138">
        <f>IF(B79="","",ROW()-65)</f>
        <v/>
      </c>
      <c r="B79" s="202" t="n"/>
      <c r="C79" s="128" t="n"/>
      <c r="D79" s="128" t="n"/>
      <c r="E79" s="131" t="n"/>
      <c r="F79" s="131" t="n"/>
      <c r="G79" s="128" t="n"/>
      <c r="H79" s="128" t="n"/>
    </row>
    <row r="80">
      <c r="A80" s="138">
        <f>IF(B80="","",ROW()-65)</f>
        <v/>
      </c>
      <c r="B80" s="202" t="n"/>
      <c r="C80" s="128" t="n"/>
      <c r="D80" s="128" t="n"/>
      <c r="E80" s="131" t="n"/>
      <c r="F80" s="131" t="n"/>
      <c r="G80" s="128" t="n"/>
      <c r="H80" s="128" t="n"/>
    </row>
    <row r="82">
      <c r="A82" s="117" t="inlineStr">
        <is>
          <t>Acqlerate  ·  DoD Acquisition Training  ·  acqlerate.com</t>
        </is>
      </c>
    </row>
  </sheetData>
  <mergeCells count="9">
    <mergeCell ref="A3:R3"/>
    <mergeCell ref="A21:R21"/>
    <mergeCell ref="A39:R39"/>
    <mergeCell ref="A15:R15"/>
    <mergeCell ref="A57:R57"/>
    <mergeCell ref="A33:R33"/>
    <mergeCell ref="A51:R51"/>
    <mergeCell ref="A45:R45"/>
    <mergeCell ref="A27:R27"/>
  </mergeCells>
  <dataValidations count="1">
    <dataValidation sqref="C66:C80" showDropDown="0" showInputMessage="0" showErrorMessage="0" allowBlank="1" type="list">
      <formula1>=Projects!$A$6:$A$13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FF7A5AF8"/>
    <outlinePr summaryBelow="1" summaryRight="1"/>
    <pageSetUpPr/>
  </sheetPr>
  <dimension ref="A1:K40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9" customWidth="1" style="109" min="1" max="1"/>
    <col width="10" customWidth="1" style="109" min="2" max="2"/>
    <col width="11" customWidth="1" style="109" min="3" max="3"/>
    <col width="11" customWidth="1" style="109" min="4" max="4"/>
    <col width="11" customWidth="1" style="109" min="5" max="5"/>
    <col width="11" customWidth="1" style="109" min="6" max="6"/>
    <col width="11" customWidth="1" style="109" min="7" max="7"/>
    <col width="3" customWidth="1" style="109" min="9" max="9"/>
    <col width="3" customWidth="1" style="109" min="10" max="10"/>
    <col width="3" customWidth="1" style="109" min="11" max="11"/>
  </cols>
  <sheetData>
    <row r="1" ht="21.75" customHeight="1" s="109">
      <c r="B1" s="121" t="inlineStr">
        <is>
          <t>Burn Rate Forecast</t>
        </is>
      </c>
      <c r="K1" s="122" t="inlineStr">
        <is>
          <t>Acqlerate  ·  acqlerate.com</t>
        </is>
      </c>
    </row>
    <row r="3" ht="28" customHeight="1" s="109">
      <c r="A3" s="114" t="inlineStr">
        <is>
          <t>Tracks % of funding used per CLIN, month by month, and projects forward at your trailing 3-month pace. FAR 52.232-20/22 typically requires notifying the CO as you approach your funded ceiling — this flags that before it happens. Green &lt; 50%, Yellow 50-70%, Red 70%+.</t>
        </is>
      </c>
    </row>
    <row r="5">
      <c r="A5" s="123" t="inlineStr">
        <is>
          <t>Projected Dates (auto)</t>
        </is>
      </c>
    </row>
    <row r="6" ht="30" customHeight="1" s="109">
      <c r="A6" s="126" t="inlineStr">
        <is>
          <t>CLIN</t>
        </is>
      </c>
      <c r="B6" s="126" t="inlineStr">
        <is>
          <t>% Used
as of PoP End</t>
        </is>
      </c>
      <c r="C6" s="126" t="inlineStr">
        <is>
          <t>Avg Monthly
Burn $ (trail. 3mo)</t>
        </is>
      </c>
      <c r="D6" s="126" t="inlineStr">
        <is>
          <t>Projected Date:
70% Used</t>
        </is>
      </c>
      <c r="E6" s="126" t="inlineStr">
        <is>
          <t>Projected Date:
Funds Run Out</t>
        </is>
      </c>
    </row>
    <row r="7">
      <c r="A7" s="127" t="inlineStr">
        <is>
          <t>Labor</t>
        </is>
      </c>
      <c r="B7" s="206">
        <f>IFERROR(SUM(Dashboard!$D$21:$D$32)/Projects!$C$15,0)</f>
        <v/>
      </c>
      <c r="C7" s="207">
        <f>AVERAGE(Dashboard!$D$30:$D$32)</f>
        <v/>
      </c>
      <c r="D7" s="138">
        <f>IF(AVERAGE(Dashboard!$D$30:$D$32)&lt;=0,"N/A — no recent burn",IF(SUM(Dashboard!$D$21:$D$32)&gt;=0.7*Projects!$C$15,"Already reached",TEXT(EDATE(Dashboard!$C$6,INT(((0.7*Projects!$C$15-SUM(Dashboard!$D$21:$D$32))/AVERAGE(Dashboard!$D$30:$D$32))))+MOD(((0.7*Projects!$C$15-SUM(Dashboard!$D$21:$D$32))/AVERAGE(Dashboard!$D$30:$D$32)),1)*DAY(EOMONTH(EDATE(Dashboard!$C$6,INT(((0.7*Projects!$C$15-SUM(Dashboard!$D$21:$D$32))/AVERAGE(Dashboard!$D$30:$D$32)))),0)),"mmm d, yyyy")))</f>
        <v/>
      </c>
      <c r="E7" s="138">
        <f>IF(AVERAGE(Dashboard!$D$30:$D$32)&lt;=0,"N/A — no recent burn",IF(SUM(Dashboard!$D$21:$D$32)&gt;=1.0*Projects!$C$15,"Already reached",TEXT(EDATE(Dashboard!$C$6,INT(((1.0*Projects!$C$15-SUM(Dashboard!$D$21:$D$32))/AVERAGE(Dashboard!$D$30:$D$32))))+MOD(((1.0*Projects!$C$15-SUM(Dashboard!$D$21:$D$32))/AVERAGE(Dashboard!$D$30:$D$32)),1)*DAY(EOMONTH(EDATE(Dashboard!$C$6,INT(((1.0*Projects!$C$15-SUM(Dashboard!$D$21:$D$32))/AVERAGE(Dashboard!$D$30:$D$32)))),0)),"mmm d, yyyy")))</f>
        <v/>
      </c>
    </row>
    <row r="8">
      <c r="A8" s="127" t="inlineStr">
        <is>
          <t>Travel</t>
        </is>
      </c>
      <c r="B8" s="206">
        <f>IFERROR(SUM(Dashboard!$G$21:$G$32)/Projects!$D$15,0)</f>
        <v/>
      </c>
      <c r="C8" s="207">
        <f>AVERAGE(Dashboard!$G$30:$G$32)</f>
        <v/>
      </c>
      <c r="D8" s="138">
        <f>IF(AVERAGE(Dashboard!$G$30:$G$32)&lt;=0,"N/A — no recent burn",IF(SUM(Dashboard!$G$21:$G$32)&gt;=0.7*Projects!$D$15,"Already reached",TEXT(EDATE(Dashboard!$C$6,INT(((0.7*Projects!$D$15-SUM(Dashboard!$G$21:$G$32))/AVERAGE(Dashboard!$G$30:$G$32))))+MOD(((0.7*Projects!$D$15-SUM(Dashboard!$G$21:$G$32))/AVERAGE(Dashboard!$G$30:$G$32)),1)*DAY(EOMONTH(EDATE(Dashboard!$C$6,INT(((0.7*Projects!$D$15-SUM(Dashboard!$G$21:$G$32))/AVERAGE(Dashboard!$G$30:$G$32)))),0)),"mmm d, yyyy")))</f>
        <v/>
      </c>
      <c r="E8" s="138">
        <f>IF(AVERAGE(Dashboard!$G$30:$G$32)&lt;=0,"N/A — no recent burn",IF(SUM(Dashboard!$G$21:$G$32)&gt;=1.0*Projects!$D$15,"Already reached",TEXT(EDATE(Dashboard!$C$6,INT(((1.0*Projects!$D$15-SUM(Dashboard!$G$21:$G$32))/AVERAGE(Dashboard!$G$30:$G$32))))+MOD(((1.0*Projects!$D$15-SUM(Dashboard!$G$21:$G$32))/AVERAGE(Dashboard!$G$30:$G$32)),1)*DAY(EOMONTH(EDATE(Dashboard!$C$6,INT(((1.0*Projects!$D$15-SUM(Dashboard!$G$21:$G$32))/AVERAGE(Dashboard!$G$30:$G$32)))),0)),"mmm d, yyyy")))</f>
        <v/>
      </c>
    </row>
    <row r="9">
      <c r="A9" s="127" t="inlineStr">
        <is>
          <t>ODC</t>
        </is>
      </c>
      <c r="B9" s="206">
        <f>IFERROR(SUM(Dashboard!$E$21:$E$32)/Projects!$E$15,0)</f>
        <v/>
      </c>
      <c r="C9" s="207">
        <f>AVERAGE(Dashboard!$E$30:$E$32)</f>
        <v/>
      </c>
      <c r="D9" s="138">
        <f>IF(AVERAGE(Dashboard!$E$30:$E$32)&lt;=0,"N/A — no recent burn",IF(SUM(Dashboard!$E$21:$E$32)&gt;=0.7*Projects!$E$15,"Already reached",TEXT(EDATE(Dashboard!$C$6,INT(((0.7*Projects!$E$15-SUM(Dashboard!$E$21:$E$32))/AVERAGE(Dashboard!$E$30:$E$32))))+MOD(((0.7*Projects!$E$15-SUM(Dashboard!$E$21:$E$32))/AVERAGE(Dashboard!$E$30:$E$32)),1)*DAY(EOMONTH(EDATE(Dashboard!$C$6,INT(((0.7*Projects!$E$15-SUM(Dashboard!$E$21:$E$32))/AVERAGE(Dashboard!$E$30:$E$32)))),0)),"mmm d, yyyy")))</f>
        <v/>
      </c>
      <c r="E9" s="138">
        <f>IF(AVERAGE(Dashboard!$E$30:$E$32)&lt;=0,"N/A — no recent burn",IF(SUM(Dashboard!$E$21:$E$32)&gt;=1.0*Projects!$E$15,"Already reached",TEXT(EDATE(Dashboard!$C$6,INT(((1.0*Projects!$E$15-SUM(Dashboard!$E$21:$E$32))/AVERAGE(Dashboard!$E$30:$E$32))))+MOD(((1.0*Projects!$E$15-SUM(Dashboard!$E$21:$E$32))/AVERAGE(Dashboard!$E$30:$E$32)),1)*DAY(EOMONTH(EDATE(Dashboard!$C$6,INT(((1.0*Projects!$E$15-SUM(Dashboard!$E$21:$E$32))/AVERAGE(Dashboard!$E$30:$E$32)))),0)),"mmm d, yyyy")))</f>
        <v/>
      </c>
    </row>
    <row r="10">
      <c r="A10" s="127" t="inlineStr">
        <is>
          <t>M&amp;E</t>
        </is>
      </c>
      <c r="B10" s="206">
        <f>IFERROR(SUM(Dashboard!$F$21:$F$32)/Projects!$F$15,0)</f>
        <v/>
      </c>
      <c r="C10" s="207">
        <f>AVERAGE(Dashboard!$F$30:$F$32)</f>
        <v/>
      </c>
      <c r="D10" s="138">
        <f>IF(AVERAGE(Dashboard!$F$30:$F$32)&lt;=0,"N/A — no recent burn",IF(SUM(Dashboard!$F$21:$F$32)&gt;=0.7*Projects!$F$15,"Already reached",TEXT(EDATE(Dashboard!$C$6,INT(((0.7*Projects!$F$15-SUM(Dashboard!$F$21:$F$32))/AVERAGE(Dashboard!$F$30:$F$32))))+MOD(((0.7*Projects!$F$15-SUM(Dashboard!$F$21:$F$32))/AVERAGE(Dashboard!$F$30:$F$32)),1)*DAY(EOMONTH(EDATE(Dashboard!$C$6,INT(((0.7*Projects!$F$15-SUM(Dashboard!$F$21:$F$32))/AVERAGE(Dashboard!$F$30:$F$32)))),0)),"mmm d, yyyy")))</f>
        <v/>
      </c>
      <c r="E10" s="138">
        <f>IF(AVERAGE(Dashboard!$F$30:$F$32)&lt;=0,"N/A — no recent burn",IF(SUM(Dashboard!$F$21:$F$32)&gt;=1.0*Projects!$F$15,"Already reached",TEXT(EDATE(Dashboard!$C$6,INT(((1.0*Projects!$F$15-SUM(Dashboard!$F$21:$F$32))/AVERAGE(Dashboard!$F$30:$F$32))))+MOD(((1.0*Projects!$F$15-SUM(Dashboard!$F$21:$F$32))/AVERAGE(Dashboard!$F$30:$F$32)),1)*DAY(EOMONTH(EDATE(Dashboard!$C$6,INT(((1.0*Projects!$F$15-SUM(Dashboard!$F$21:$F$32))/AVERAGE(Dashboard!$F$30:$F$32)))),0)),"mmm d, yyyy")))</f>
        <v/>
      </c>
    </row>
    <row r="13">
      <c r="A13" s="123" t="inlineStr">
        <is>
          <t>Monthly % Used by CLIN (auto) — months 13-24 are projected at the trailing 3-month pace</t>
        </is>
      </c>
    </row>
    <row r="14" ht="28" customHeight="1" s="109">
      <c r="A14" s="137" t="inlineStr">
        <is>
          <t>Month #</t>
        </is>
      </c>
      <c r="B14" s="137" t="inlineStr">
        <is>
          <t>Month</t>
        </is>
      </c>
      <c r="C14" s="137" t="inlineStr">
        <is>
          <t>Labor
% Used</t>
        </is>
      </c>
      <c r="D14" s="137" t="inlineStr">
        <is>
          <t>Travel
% Used</t>
        </is>
      </c>
      <c r="E14" s="137" t="inlineStr">
        <is>
          <t>ODC
% Used</t>
        </is>
      </c>
      <c r="F14" s="137" t="inlineStr">
        <is>
          <t>M&amp;E
% Used</t>
        </is>
      </c>
      <c r="G14" s="137" t="inlineStr">
        <is>
          <t>70%
Line</t>
        </is>
      </c>
      <c r="I14" s="117" t="inlineStr">
        <is>
          <t>Zone: Green</t>
        </is>
      </c>
      <c r="J14" s="117" t="inlineStr">
        <is>
          <t>Zone: Yellow</t>
        </is>
      </c>
      <c r="K14" s="117" t="inlineStr">
        <is>
          <t>Zone: Red</t>
        </is>
      </c>
    </row>
    <row r="15">
      <c r="A15" s="138" t="n">
        <v>1</v>
      </c>
      <c r="B15" s="201">
        <f>EDATE(Dashboard!$C$5,A15-1)</f>
        <v/>
      </c>
      <c r="C15" s="129">
        <f>IFERROR(SUM(Dashboard!$D$21:$D$21)/Projects!$C$15,0)</f>
        <v/>
      </c>
      <c r="D15" s="129">
        <f>IFERROR(SUM(Dashboard!$G$21:$G$21)/Projects!$D$15,0)</f>
        <v/>
      </c>
      <c r="E15" s="129">
        <f>IFERROR(SUM(Dashboard!$E$21:$E$21)/Projects!$E$15,0)</f>
        <v/>
      </c>
      <c r="F15" s="129">
        <f>IFERROR(SUM(Dashboard!$F$21:$F$21)/Projects!$F$15,0)</f>
        <v/>
      </c>
      <c r="G15" s="129" t="n">
        <v>0.7</v>
      </c>
      <c r="I15" s="208" t="n">
        <v>0.5</v>
      </c>
      <c r="J15" s="208" t="n">
        <v>0.2</v>
      </c>
      <c r="K15" s="208" t="n">
        <v>0.5</v>
      </c>
    </row>
    <row r="16">
      <c r="A16" s="138" t="n">
        <v>2</v>
      </c>
      <c r="B16" s="201">
        <f>EDATE(Dashboard!$C$5,A16-1)</f>
        <v/>
      </c>
      <c r="C16" s="129">
        <f>IFERROR(SUM(Dashboard!$D$21:$D$22)/Projects!$C$15,0)</f>
        <v/>
      </c>
      <c r="D16" s="129">
        <f>IFERROR(SUM(Dashboard!$G$21:$G$22)/Projects!$D$15,0)</f>
        <v/>
      </c>
      <c r="E16" s="129">
        <f>IFERROR(SUM(Dashboard!$E$21:$E$22)/Projects!$E$15,0)</f>
        <v/>
      </c>
      <c r="F16" s="129">
        <f>IFERROR(SUM(Dashboard!$F$21:$F$22)/Projects!$F$15,0)</f>
        <v/>
      </c>
      <c r="G16" s="129" t="n">
        <v>0.7</v>
      </c>
      <c r="I16" s="208" t="n">
        <v>0.5</v>
      </c>
      <c r="J16" s="208" t="n">
        <v>0.2</v>
      </c>
      <c r="K16" s="208" t="n">
        <v>0.5</v>
      </c>
    </row>
    <row r="17">
      <c r="A17" s="138" t="n">
        <v>3</v>
      </c>
      <c r="B17" s="201">
        <f>EDATE(Dashboard!$C$5,A17-1)</f>
        <v/>
      </c>
      <c r="C17" s="129">
        <f>IFERROR(SUM(Dashboard!$D$21:$D$23)/Projects!$C$15,0)</f>
        <v/>
      </c>
      <c r="D17" s="129">
        <f>IFERROR(SUM(Dashboard!$G$21:$G$23)/Projects!$D$15,0)</f>
        <v/>
      </c>
      <c r="E17" s="129">
        <f>IFERROR(SUM(Dashboard!$E$21:$E$23)/Projects!$E$15,0)</f>
        <v/>
      </c>
      <c r="F17" s="129">
        <f>IFERROR(SUM(Dashboard!$F$21:$F$23)/Projects!$F$15,0)</f>
        <v/>
      </c>
      <c r="G17" s="129" t="n">
        <v>0.7</v>
      </c>
      <c r="I17" s="208" t="n">
        <v>0.5</v>
      </c>
      <c r="J17" s="208" t="n">
        <v>0.2</v>
      </c>
      <c r="K17" s="208" t="n">
        <v>0.5</v>
      </c>
    </row>
    <row r="18">
      <c r="A18" s="138" t="n">
        <v>4</v>
      </c>
      <c r="B18" s="201">
        <f>EDATE(Dashboard!$C$5,A18-1)</f>
        <v/>
      </c>
      <c r="C18" s="129">
        <f>IFERROR(SUM(Dashboard!$D$21:$D$24)/Projects!$C$15,0)</f>
        <v/>
      </c>
      <c r="D18" s="129">
        <f>IFERROR(SUM(Dashboard!$G$21:$G$24)/Projects!$D$15,0)</f>
        <v/>
      </c>
      <c r="E18" s="129">
        <f>IFERROR(SUM(Dashboard!$E$21:$E$24)/Projects!$E$15,0)</f>
        <v/>
      </c>
      <c r="F18" s="129">
        <f>IFERROR(SUM(Dashboard!$F$21:$F$24)/Projects!$F$15,0)</f>
        <v/>
      </c>
      <c r="G18" s="129" t="n">
        <v>0.7</v>
      </c>
      <c r="I18" s="208" t="n">
        <v>0.5</v>
      </c>
      <c r="J18" s="208" t="n">
        <v>0.2</v>
      </c>
      <c r="K18" s="208" t="n">
        <v>0.5</v>
      </c>
    </row>
    <row r="19">
      <c r="A19" s="138" t="n">
        <v>5</v>
      </c>
      <c r="B19" s="201">
        <f>EDATE(Dashboard!$C$5,A19-1)</f>
        <v/>
      </c>
      <c r="C19" s="129">
        <f>IFERROR(SUM(Dashboard!$D$21:$D$25)/Projects!$C$15,0)</f>
        <v/>
      </c>
      <c r="D19" s="129">
        <f>IFERROR(SUM(Dashboard!$G$21:$G$25)/Projects!$D$15,0)</f>
        <v/>
      </c>
      <c r="E19" s="129">
        <f>IFERROR(SUM(Dashboard!$E$21:$E$25)/Projects!$E$15,0)</f>
        <v/>
      </c>
      <c r="F19" s="129">
        <f>IFERROR(SUM(Dashboard!$F$21:$F$25)/Projects!$F$15,0)</f>
        <v/>
      </c>
      <c r="G19" s="129" t="n">
        <v>0.7</v>
      </c>
      <c r="I19" s="208" t="n">
        <v>0.5</v>
      </c>
      <c r="J19" s="208" t="n">
        <v>0.2</v>
      </c>
      <c r="K19" s="208" t="n">
        <v>0.5</v>
      </c>
    </row>
    <row r="20">
      <c r="A20" s="138" t="n">
        <v>6</v>
      </c>
      <c r="B20" s="201">
        <f>EDATE(Dashboard!$C$5,A20-1)</f>
        <v/>
      </c>
      <c r="C20" s="129">
        <f>IFERROR(SUM(Dashboard!$D$21:$D$26)/Projects!$C$15,0)</f>
        <v/>
      </c>
      <c r="D20" s="129">
        <f>IFERROR(SUM(Dashboard!$G$21:$G$26)/Projects!$D$15,0)</f>
        <v/>
      </c>
      <c r="E20" s="129">
        <f>IFERROR(SUM(Dashboard!$E$21:$E$26)/Projects!$E$15,0)</f>
        <v/>
      </c>
      <c r="F20" s="129">
        <f>IFERROR(SUM(Dashboard!$F$21:$F$26)/Projects!$F$15,0)</f>
        <v/>
      </c>
      <c r="G20" s="129" t="n">
        <v>0.7</v>
      </c>
      <c r="I20" s="208" t="n">
        <v>0.5</v>
      </c>
      <c r="J20" s="208" t="n">
        <v>0.2</v>
      </c>
      <c r="K20" s="208" t="n">
        <v>0.5</v>
      </c>
    </row>
    <row r="21">
      <c r="A21" s="138" t="n">
        <v>7</v>
      </c>
      <c r="B21" s="201">
        <f>EDATE(Dashboard!$C$5,A21-1)</f>
        <v/>
      </c>
      <c r="C21" s="129">
        <f>IFERROR(SUM(Dashboard!$D$21:$D$27)/Projects!$C$15,0)</f>
        <v/>
      </c>
      <c r="D21" s="129">
        <f>IFERROR(SUM(Dashboard!$G$21:$G$27)/Projects!$D$15,0)</f>
        <v/>
      </c>
      <c r="E21" s="129">
        <f>IFERROR(SUM(Dashboard!$E$21:$E$27)/Projects!$E$15,0)</f>
        <v/>
      </c>
      <c r="F21" s="129">
        <f>IFERROR(SUM(Dashboard!$F$21:$F$27)/Projects!$F$15,0)</f>
        <v/>
      </c>
      <c r="G21" s="129" t="n">
        <v>0.7</v>
      </c>
      <c r="I21" s="208" t="n">
        <v>0.5</v>
      </c>
      <c r="J21" s="208" t="n">
        <v>0.2</v>
      </c>
      <c r="K21" s="208" t="n">
        <v>0.5</v>
      </c>
    </row>
    <row r="22">
      <c r="A22" s="138" t="n">
        <v>8</v>
      </c>
      <c r="B22" s="201">
        <f>EDATE(Dashboard!$C$5,A22-1)</f>
        <v/>
      </c>
      <c r="C22" s="129">
        <f>IFERROR(SUM(Dashboard!$D$21:$D$28)/Projects!$C$15,0)</f>
        <v/>
      </c>
      <c r="D22" s="129">
        <f>IFERROR(SUM(Dashboard!$G$21:$G$28)/Projects!$D$15,0)</f>
        <v/>
      </c>
      <c r="E22" s="129">
        <f>IFERROR(SUM(Dashboard!$E$21:$E$28)/Projects!$E$15,0)</f>
        <v/>
      </c>
      <c r="F22" s="129">
        <f>IFERROR(SUM(Dashboard!$F$21:$F$28)/Projects!$F$15,0)</f>
        <v/>
      </c>
      <c r="G22" s="129" t="n">
        <v>0.7</v>
      </c>
      <c r="I22" s="208" t="n">
        <v>0.5</v>
      </c>
      <c r="J22" s="208" t="n">
        <v>0.2</v>
      </c>
      <c r="K22" s="208" t="n">
        <v>0.5</v>
      </c>
    </row>
    <row r="23">
      <c r="A23" s="138" t="n">
        <v>9</v>
      </c>
      <c r="B23" s="201">
        <f>EDATE(Dashboard!$C$5,A23-1)</f>
        <v/>
      </c>
      <c r="C23" s="129">
        <f>IFERROR(SUM(Dashboard!$D$21:$D$29)/Projects!$C$15,0)</f>
        <v/>
      </c>
      <c r="D23" s="129">
        <f>IFERROR(SUM(Dashboard!$G$21:$G$29)/Projects!$D$15,0)</f>
        <v/>
      </c>
      <c r="E23" s="129">
        <f>IFERROR(SUM(Dashboard!$E$21:$E$29)/Projects!$E$15,0)</f>
        <v/>
      </c>
      <c r="F23" s="129">
        <f>IFERROR(SUM(Dashboard!$F$21:$F$29)/Projects!$F$15,0)</f>
        <v/>
      </c>
      <c r="G23" s="129" t="n">
        <v>0.7</v>
      </c>
      <c r="I23" s="208" t="n">
        <v>0.5</v>
      </c>
      <c r="J23" s="208" t="n">
        <v>0.2</v>
      </c>
      <c r="K23" s="208" t="n">
        <v>0.5</v>
      </c>
    </row>
    <row r="24">
      <c r="A24" s="138" t="n">
        <v>10</v>
      </c>
      <c r="B24" s="201">
        <f>EDATE(Dashboard!$C$5,A24-1)</f>
        <v/>
      </c>
      <c r="C24" s="129">
        <f>IFERROR(SUM(Dashboard!$D$21:$D$30)/Projects!$C$15,0)</f>
        <v/>
      </c>
      <c r="D24" s="129">
        <f>IFERROR(SUM(Dashboard!$G$21:$G$30)/Projects!$D$15,0)</f>
        <v/>
      </c>
      <c r="E24" s="129">
        <f>IFERROR(SUM(Dashboard!$E$21:$E$30)/Projects!$E$15,0)</f>
        <v/>
      </c>
      <c r="F24" s="129">
        <f>IFERROR(SUM(Dashboard!$F$21:$F$30)/Projects!$F$15,0)</f>
        <v/>
      </c>
      <c r="G24" s="129" t="n">
        <v>0.7</v>
      </c>
      <c r="I24" s="208" t="n">
        <v>0.5</v>
      </c>
      <c r="J24" s="208" t="n">
        <v>0.2</v>
      </c>
      <c r="K24" s="208" t="n">
        <v>0.5</v>
      </c>
    </row>
    <row r="25">
      <c r="A25" s="138" t="n">
        <v>11</v>
      </c>
      <c r="B25" s="201">
        <f>EDATE(Dashboard!$C$5,A25-1)</f>
        <v/>
      </c>
      <c r="C25" s="129">
        <f>IFERROR(SUM(Dashboard!$D$21:$D$31)/Projects!$C$15,0)</f>
        <v/>
      </c>
      <c r="D25" s="129">
        <f>IFERROR(SUM(Dashboard!$G$21:$G$31)/Projects!$D$15,0)</f>
        <v/>
      </c>
      <c r="E25" s="129">
        <f>IFERROR(SUM(Dashboard!$E$21:$E$31)/Projects!$E$15,0)</f>
        <v/>
      </c>
      <c r="F25" s="129">
        <f>IFERROR(SUM(Dashboard!$F$21:$F$31)/Projects!$F$15,0)</f>
        <v/>
      </c>
      <c r="G25" s="129" t="n">
        <v>0.7</v>
      </c>
      <c r="I25" s="208" t="n">
        <v>0.5</v>
      </c>
      <c r="J25" s="208" t="n">
        <v>0.2</v>
      </c>
      <c r="K25" s="208" t="n">
        <v>0.5</v>
      </c>
    </row>
    <row r="26">
      <c r="A26" s="138" t="n">
        <v>12</v>
      </c>
      <c r="B26" s="201">
        <f>EDATE(Dashboard!$C$5,A26-1)</f>
        <v/>
      </c>
      <c r="C26" s="129">
        <f>IFERROR(SUM(Dashboard!$D$21:$D$32)/Projects!$C$15,0)</f>
        <v/>
      </c>
      <c r="D26" s="129">
        <f>IFERROR(SUM(Dashboard!$G$21:$G$32)/Projects!$D$15,0)</f>
        <v/>
      </c>
      <c r="E26" s="129">
        <f>IFERROR(SUM(Dashboard!$E$21:$E$32)/Projects!$E$15,0)</f>
        <v/>
      </c>
      <c r="F26" s="129">
        <f>IFERROR(SUM(Dashboard!$F$21:$F$32)/Projects!$F$15,0)</f>
        <v/>
      </c>
      <c r="G26" s="129" t="n">
        <v>0.7</v>
      </c>
      <c r="I26" s="208" t="n">
        <v>0.5</v>
      </c>
      <c r="J26" s="208" t="n">
        <v>0.2</v>
      </c>
      <c r="K26" s="208" t="n">
        <v>0.5</v>
      </c>
    </row>
    <row r="27">
      <c r="A27" s="138" t="n">
        <v>13</v>
      </c>
      <c r="B27" s="201">
        <f>EDATE(Dashboard!$C$5,A27-1)</f>
        <v/>
      </c>
      <c r="C27" s="209">
        <f>IFERROR($C$26+(13-12)*AVERAGE(Dashboard!$D$30:$D$32)/Projects!$C$15,$C$26)</f>
        <v/>
      </c>
      <c r="D27" s="209">
        <f>IFERROR($D$26+(13-12)*AVERAGE(Dashboard!$G$30:$G$32)/Projects!$D$15,$D$26)</f>
        <v/>
      </c>
      <c r="E27" s="209">
        <f>IFERROR($E$26+(13-12)*AVERAGE(Dashboard!$E$30:$E$32)/Projects!$E$15,$E$26)</f>
        <v/>
      </c>
      <c r="F27" s="209">
        <f>IFERROR($F$26+(13-12)*AVERAGE(Dashboard!$F$30:$F$32)/Projects!$F$15,$F$26)</f>
        <v/>
      </c>
      <c r="G27" s="129" t="n">
        <v>0.7</v>
      </c>
      <c r="I27" s="208" t="n">
        <v>0.5</v>
      </c>
      <c r="J27" s="208" t="n">
        <v>0.2</v>
      </c>
      <c r="K27" s="208" t="n">
        <v>0.5</v>
      </c>
    </row>
    <row r="28">
      <c r="A28" s="138" t="n">
        <v>14</v>
      </c>
      <c r="B28" s="201">
        <f>EDATE(Dashboard!$C$5,A28-1)</f>
        <v/>
      </c>
      <c r="C28" s="209">
        <f>IFERROR($C$26+(14-12)*AVERAGE(Dashboard!$D$30:$D$32)/Projects!$C$15,$C$26)</f>
        <v/>
      </c>
      <c r="D28" s="209">
        <f>IFERROR($D$26+(14-12)*AVERAGE(Dashboard!$G$30:$G$32)/Projects!$D$15,$D$26)</f>
        <v/>
      </c>
      <c r="E28" s="209">
        <f>IFERROR($E$26+(14-12)*AVERAGE(Dashboard!$E$30:$E$32)/Projects!$E$15,$E$26)</f>
        <v/>
      </c>
      <c r="F28" s="209">
        <f>IFERROR($F$26+(14-12)*AVERAGE(Dashboard!$F$30:$F$32)/Projects!$F$15,$F$26)</f>
        <v/>
      </c>
      <c r="G28" s="129" t="n">
        <v>0.7</v>
      </c>
      <c r="I28" s="208" t="n">
        <v>0.5</v>
      </c>
      <c r="J28" s="208" t="n">
        <v>0.2</v>
      </c>
      <c r="K28" s="208" t="n">
        <v>0.5</v>
      </c>
    </row>
    <row r="29">
      <c r="A29" s="138" t="n">
        <v>15</v>
      </c>
      <c r="B29" s="201">
        <f>EDATE(Dashboard!$C$5,A29-1)</f>
        <v/>
      </c>
      <c r="C29" s="209">
        <f>IFERROR($C$26+(15-12)*AVERAGE(Dashboard!$D$30:$D$32)/Projects!$C$15,$C$26)</f>
        <v/>
      </c>
      <c r="D29" s="209">
        <f>IFERROR($D$26+(15-12)*AVERAGE(Dashboard!$G$30:$G$32)/Projects!$D$15,$D$26)</f>
        <v/>
      </c>
      <c r="E29" s="209">
        <f>IFERROR($E$26+(15-12)*AVERAGE(Dashboard!$E$30:$E$32)/Projects!$E$15,$E$26)</f>
        <v/>
      </c>
      <c r="F29" s="209">
        <f>IFERROR($F$26+(15-12)*AVERAGE(Dashboard!$F$30:$F$32)/Projects!$F$15,$F$26)</f>
        <v/>
      </c>
      <c r="G29" s="129" t="n">
        <v>0.7</v>
      </c>
      <c r="I29" s="208" t="n">
        <v>0.5</v>
      </c>
      <c r="J29" s="208" t="n">
        <v>0.2</v>
      </c>
      <c r="K29" s="208" t="n">
        <v>0.5</v>
      </c>
    </row>
    <row r="30">
      <c r="A30" s="138" t="n">
        <v>16</v>
      </c>
      <c r="B30" s="201">
        <f>EDATE(Dashboard!$C$5,A30-1)</f>
        <v/>
      </c>
      <c r="C30" s="209">
        <f>IFERROR($C$26+(16-12)*AVERAGE(Dashboard!$D$30:$D$32)/Projects!$C$15,$C$26)</f>
        <v/>
      </c>
      <c r="D30" s="209">
        <f>IFERROR($D$26+(16-12)*AVERAGE(Dashboard!$G$30:$G$32)/Projects!$D$15,$D$26)</f>
        <v/>
      </c>
      <c r="E30" s="209">
        <f>IFERROR($E$26+(16-12)*AVERAGE(Dashboard!$E$30:$E$32)/Projects!$E$15,$E$26)</f>
        <v/>
      </c>
      <c r="F30" s="209">
        <f>IFERROR($F$26+(16-12)*AVERAGE(Dashboard!$F$30:$F$32)/Projects!$F$15,$F$26)</f>
        <v/>
      </c>
      <c r="G30" s="129" t="n">
        <v>0.7</v>
      </c>
      <c r="I30" s="208" t="n">
        <v>0.5</v>
      </c>
      <c r="J30" s="208" t="n">
        <v>0.2</v>
      </c>
      <c r="K30" s="208" t="n">
        <v>0.5</v>
      </c>
    </row>
    <row r="31">
      <c r="A31" s="138" t="n">
        <v>17</v>
      </c>
      <c r="B31" s="201">
        <f>EDATE(Dashboard!$C$5,A31-1)</f>
        <v/>
      </c>
      <c r="C31" s="209">
        <f>IFERROR($C$26+(17-12)*AVERAGE(Dashboard!$D$30:$D$32)/Projects!$C$15,$C$26)</f>
        <v/>
      </c>
      <c r="D31" s="209">
        <f>IFERROR($D$26+(17-12)*AVERAGE(Dashboard!$G$30:$G$32)/Projects!$D$15,$D$26)</f>
        <v/>
      </c>
      <c r="E31" s="209">
        <f>IFERROR($E$26+(17-12)*AVERAGE(Dashboard!$E$30:$E$32)/Projects!$E$15,$E$26)</f>
        <v/>
      </c>
      <c r="F31" s="209">
        <f>IFERROR($F$26+(17-12)*AVERAGE(Dashboard!$F$30:$F$32)/Projects!$F$15,$F$26)</f>
        <v/>
      </c>
      <c r="G31" s="129" t="n">
        <v>0.7</v>
      </c>
      <c r="I31" s="208" t="n">
        <v>0.5</v>
      </c>
      <c r="J31" s="208" t="n">
        <v>0.2</v>
      </c>
      <c r="K31" s="208" t="n">
        <v>0.5</v>
      </c>
    </row>
    <row r="32">
      <c r="A32" s="138" t="n">
        <v>18</v>
      </c>
      <c r="B32" s="201">
        <f>EDATE(Dashboard!$C$5,A32-1)</f>
        <v/>
      </c>
      <c r="C32" s="209">
        <f>IFERROR($C$26+(18-12)*AVERAGE(Dashboard!$D$30:$D$32)/Projects!$C$15,$C$26)</f>
        <v/>
      </c>
      <c r="D32" s="209">
        <f>IFERROR($D$26+(18-12)*AVERAGE(Dashboard!$G$30:$G$32)/Projects!$D$15,$D$26)</f>
        <v/>
      </c>
      <c r="E32" s="209">
        <f>IFERROR($E$26+(18-12)*AVERAGE(Dashboard!$E$30:$E$32)/Projects!$E$15,$E$26)</f>
        <v/>
      </c>
      <c r="F32" s="209">
        <f>IFERROR($F$26+(18-12)*AVERAGE(Dashboard!$F$30:$F$32)/Projects!$F$15,$F$26)</f>
        <v/>
      </c>
      <c r="G32" s="129" t="n">
        <v>0.7</v>
      </c>
      <c r="I32" s="208" t="n">
        <v>0.5</v>
      </c>
      <c r="J32" s="208" t="n">
        <v>0.2</v>
      </c>
      <c r="K32" s="208" t="n">
        <v>0.5</v>
      </c>
    </row>
    <row r="33">
      <c r="A33" s="138" t="n">
        <v>19</v>
      </c>
      <c r="B33" s="201">
        <f>EDATE(Dashboard!$C$5,A33-1)</f>
        <v/>
      </c>
      <c r="C33" s="209">
        <f>IFERROR($C$26+(19-12)*AVERAGE(Dashboard!$D$30:$D$32)/Projects!$C$15,$C$26)</f>
        <v/>
      </c>
      <c r="D33" s="209">
        <f>IFERROR($D$26+(19-12)*AVERAGE(Dashboard!$G$30:$G$32)/Projects!$D$15,$D$26)</f>
        <v/>
      </c>
      <c r="E33" s="209">
        <f>IFERROR($E$26+(19-12)*AVERAGE(Dashboard!$E$30:$E$32)/Projects!$E$15,$E$26)</f>
        <v/>
      </c>
      <c r="F33" s="209">
        <f>IFERROR($F$26+(19-12)*AVERAGE(Dashboard!$F$30:$F$32)/Projects!$F$15,$F$26)</f>
        <v/>
      </c>
      <c r="G33" s="129" t="n">
        <v>0.7</v>
      </c>
      <c r="I33" s="208" t="n">
        <v>0.5</v>
      </c>
      <c r="J33" s="208" t="n">
        <v>0.2</v>
      </c>
      <c r="K33" s="208" t="n">
        <v>0.5</v>
      </c>
    </row>
    <row r="34">
      <c r="A34" s="138" t="n">
        <v>20</v>
      </c>
      <c r="B34" s="201">
        <f>EDATE(Dashboard!$C$5,A34-1)</f>
        <v/>
      </c>
      <c r="C34" s="209">
        <f>IFERROR($C$26+(20-12)*AVERAGE(Dashboard!$D$30:$D$32)/Projects!$C$15,$C$26)</f>
        <v/>
      </c>
      <c r="D34" s="209">
        <f>IFERROR($D$26+(20-12)*AVERAGE(Dashboard!$G$30:$G$32)/Projects!$D$15,$D$26)</f>
        <v/>
      </c>
      <c r="E34" s="209">
        <f>IFERROR($E$26+(20-12)*AVERAGE(Dashboard!$E$30:$E$32)/Projects!$E$15,$E$26)</f>
        <v/>
      </c>
      <c r="F34" s="209">
        <f>IFERROR($F$26+(20-12)*AVERAGE(Dashboard!$F$30:$F$32)/Projects!$F$15,$F$26)</f>
        <v/>
      </c>
      <c r="G34" s="129" t="n">
        <v>0.7</v>
      </c>
      <c r="I34" s="208" t="n">
        <v>0.5</v>
      </c>
      <c r="J34" s="208" t="n">
        <v>0.2</v>
      </c>
      <c r="K34" s="208" t="n">
        <v>0.5</v>
      </c>
    </row>
    <row r="35">
      <c r="A35" s="138" t="n">
        <v>21</v>
      </c>
      <c r="B35" s="201">
        <f>EDATE(Dashboard!$C$5,A35-1)</f>
        <v/>
      </c>
      <c r="C35" s="209">
        <f>IFERROR($C$26+(21-12)*AVERAGE(Dashboard!$D$30:$D$32)/Projects!$C$15,$C$26)</f>
        <v/>
      </c>
      <c r="D35" s="209">
        <f>IFERROR($D$26+(21-12)*AVERAGE(Dashboard!$G$30:$G$32)/Projects!$D$15,$D$26)</f>
        <v/>
      </c>
      <c r="E35" s="209">
        <f>IFERROR($E$26+(21-12)*AVERAGE(Dashboard!$E$30:$E$32)/Projects!$E$15,$E$26)</f>
        <v/>
      </c>
      <c r="F35" s="209">
        <f>IFERROR($F$26+(21-12)*AVERAGE(Dashboard!$F$30:$F$32)/Projects!$F$15,$F$26)</f>
        <v/>
      </c>
      <c r="G35" s="129" t="n">
        <v>0.7</v>
      </c>
      <c r="I35" s="208" t="n">
        <v>0.5</v>
      </c>
      <c r="J35" s="208" t="n">
        <v>0.2</v>
      </c>
      <c r="K35" s="208" t="n">
        <v>0.5</v>
      </c>
    </row>
    <row r="36">
      <c r="A36" s="138" t="n">
        <v>22</v>
      </c>
      <c r="B36" s="201">
        <f>EDATE(Dashboard!$C$5,A36-1)</f>
        <v/>
      </c>
      <c r="C36" s="209">
        <f>IFERROR($C$26+(22-12)*AVERAGE(Dashboard!$D$30:$D$32)/Projects!$C$15,$C$26)</f>
        <v/>
      </c>
      <c r="D36" s="209">
        <f>IFERROR($D$26+(22-12)*AVERAGE(Dashboard!$G$30:$G$32)/Projects!$D$15,$D$26)</f>
        <v/>
      </c>
      <c r="E36" s="209">
        <f>IFERROR($E$26+(22-12)*AVERAGE(Dashboard!$E$30:$E$32)/Projects!$E$15,$E$26)</f>
        <v/>
      </c>
      <c r="F36" s="209">
        <f>IFERROR($F$26+(22-12)*AVERAGE(Dashboard!$F$30:$F$32)/Projects!$F$15,$F$26)</f>
        <v/>
      </c>
      <c r="G36" s="129" t="n">
        <v>0.7</v>
      </c>
      <c r="I36" s="208" t="n">
        <v>0.5</v>
      </c>
      <c r="J36" s="208" t="n">
        <v>0.2</v>
      </c>
      <c r="K36" s="208" t="n">
        <v>0.5</v>
      </c>
    </row>
    <row r="37">
      <c r="A37" s="138" t="n">
        <v>23</v>
      </c>
      <c r="B37" s="201">
        <f>EDATE(Dashboard!$C$5,A37-1)</f>
        <v/>
      </c>
      <c r="C37" s="209">
        <f>IFERROR($C$26+(23-12)*AVERAGE(Dashboard!$D$30:$D$32)/Projects!$C$15,$C$26)</f>
        <v/>
      </c>
      <c r="D37" s="209">
        <f>IFERROR($D$26+(23-12)*AVERAGE(Dashboard!$G$30:$G$32)/Projects!$D$15,$D$26)</f>
        <v/>
      </c>
      <c r="E37" s="209">
        <f>IFERROR($E$26+(23-12)*AVERAGE(Dashboard!$E$30:$E$32)/Projects!$E$15,$E$26)</f>
        <v/>
      </c>
      <c r="F37" s="209">
        <f>IFERROR($F$26+(23-12)*AVERAGE(Dashboard!$F$30:$F$32)/Projects!$F$15,$F$26)</f>
        <v/>
      </c>
      <c r="G37" s="129" t="n">
        <v>0.7</v>
      </c>
      <c r="I37" s="208" t="n">
        <v>0.5</v>
      </c>
      <c r="J37" s="208" t="n">
        <v>0.2</v>
      </c>
      <c r="K37" s="208" t="n">
        <v>0.5</v>
      </c>
    </row>
    <row r="38">
      <c r="A38" s="138" t="n">
        <v>24</v>
      </c>
      <c r="B38" s="201">
        <f>EDATE(Dashboard!$C$5,A38-1)</f>
        <v/>
      </c>
      <c r="C38" s="209">
        <f>IFERROR($C$26+(24-12)*AVERAGE(Dashboard!$D$30:$D$32)/Projects!$C$15,$C$26)</f>
        <v/>
      </c>
      <c r="D38" s="209">
        <f>IFERROR($D$26+(24-12)*AVERAGE(Dashboard!$G$30:$G$32)/Projects!$D$15,$D$26)</f>
        <v/>
      </c>
      <c r="E38" s="209">
        <f>IFERROR($E$26+(24-12)*AVERAGE(Dashboard!$E$30:$E$32)/Projects!$E$15,$E$26)</f>
        <v/>
      </c>
      <c r="F38" s="209">
        <f>IFERROR($F$26+(24-12)*AVERAGE(Dashboard!$F$30:$F$32)/Projects!$F$15,$F$26)</f>
        <v/>
      </c>
      <c r="G38" s="129" t="n">
        <v>0.7</v>
      </c>
      <c r="I38" s="208" t="n">
        <v>0.5</v>
      </c>
      <c r="J38" s="208" t="n">
        <v>0.2</v>
      </c>
      <c r="K38" s="208" t="n">
        <v>0.5</v>
      </c>
    </row>
    <row r="40">
      <c r="A40" s="117" t="inlineStr">
        <is>
          <t>Acqlerate  ·  DoD Acquisition Training  ·  acqlerate.com</t>
        </is>
      </c>
    </row>
  </sheetData>
  <mergeCells count="1">
    <mergeCell ref="A3:K3"/>
  </mergeCells>
  <conditionalFormatting sqref="B7">
    <cfRule type="expression" priority="1" dxfId="11">
      <formula>B7&gt;=0.7</formula>
    </cfRule>
    <cfRule type="expression" priority="2" dxfId="12">
      <formula>AND(B7&gt;=0.5,B7&lt;0.7)</formula>
    </cfRule>
    <cfRule type="expression" priority="3" dxfId="13">
      <formula>B7&lt;0.5</formula>
    </cfRule>
  </conditionalFormatting>
  <conditionalFormatting sqref="B8">
    <cfRule type="expression" priority="4" dxfId="11">
      <formula>B8&gt;=0.7</formula>
    </cfRule>
    <cfRule type="expression" priority="5" dxfId="12">
      <formula>AND(B8&gt;=0.5,B8&lt;0.7)</formula>
    </cfRule>
    <cfRule type="expression" priority="6" dxfId="13">
      <formula>B8&lt;0.5</formula>
    </cfRule>
  </conditionalFormatting>
  <conditionalFormatting sqref="B9">
    <cfRule type="expression" priority="7" dxfId="11">
      <formula>B9&gt;=0.7</formula>
    </cfRule>
    <cfRule type="expression" priority="8" dxfId="12">
      <formula>AND(B9&gt;=0.5,B9&lt;0.7)</formula>
    </cfRule>
    <cfRule type="expression" priority="9" dxfId="13">
      <formula>B9&lt;0.5</formula>
    </cfRule>
  </conditionalFormatting>
  <conditionalFormatting sqref="B10">
    <cfRule type="expression" priority="10" dxfId="11">
      <formula>B10&gt;=0.7</formula>
    </cfRule>
    <cfRule type="expression" priority="11" dxfId="12">
      <formula>AND(B10&gt;=0.5,B10&lt;0.7)</formula>
    </cfRule>
    <cfRule type="expression" priority="12" dxfId="13">
      <formula>B10&lt;0.5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 filterMode="0">
    <tabColor rgb="FFEF9F27"/>
    <outlinePr summaryBelow="1" summaryRight="1"/>
    <pageSetUpPr fitToPage="0"/>
  </sheetPr>
  <dimension ref="A1:N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7" customWidth="1" style="108" min="1" max="1"/>
    <col width="12" customWidth="1" style="108" min="2" max="2"/>
    <col width="34" customWidth="1" style="108" min="3" max="3"/>
    <col width="14" customWidth="1" style="108" min="4" max="4"/>
    <col width="13" customWidth="1" style="108" min="5" max="9"/>
    <col width="14" customWidth="1" style="108" min="10" max="14"/>
  </cols>
  <sheetData>
    <row r="1" ht="21.75" customHeight="1" s="109">
      <c r="B1" s="141" t="inlineStr">
        <is>
          <t>Funding Modification Log</t>
        </is>
      </c>
      <c r="N1" s="142" t="inlineStr">
        <is>
          <t>Acqlerate  ·  acqlerate.com</t>
        </is>
      </c>
    </row>
    <row r="3" ht="42" customHeight="1" s="109">
      <c r="A3" s="164" t="inlineStr">
        <is>
          <t>HISTORICAL AUDIT LOG — for reference only. This no longer feeds the Dashboard or the CLIN Funding Status table below; those now read live TOA from the Projects tab. Keep logging mods here anyway — it's the paper trail a real contract needs, split across CLIN and (optionally) Project the same way as before.</t>
        </is>
      </c>
    </row>
    <row r="4" ht="33.75" customHeight="1" s="109">
      <c r="A4" s="151" t="inlineStr">
        <is>
          <t>Mod #</t>
        </is>
      </c>
      <c r="B4" s="151" t="inlineStr">
        <is>
          <t>Date</t>
        </is>
      </c>
      <c r="C4" s="151" t="inlineStr">
        <is>
          <t>Description</t>
        </is>
      </c>
      <c r="D4" s="210" t="inlineStr">
        <is>
          <t>Project
(optional)</t>
        </is>
      </c>
      <c r="E4" s="151" t="inlineStr">
        <is>
          <t>Labor CLIN
$</t>
        </is>
      </c>
      <c r="F4" s="151" t="inlineStr">
        <is>
          <t>Travel CLIN
$</t>
        </is>
      </c>
      <c r="G4" s="151" t="inlineStr">
        <is>
          <t>ODC CLIN
$</t>
        </is>
      </c>
      <c r="H4" s="151" t="inlineStr">
        <is>
          <t>M&amp;E CLIN
$</t>
        </is>
      </c>
      <c r="I4" s="210" t="inlineStr">
        <is>
          <t>Mod Total
$</t>
        </is>
      </c>
      <c r="J4" s="211" t="inlineStr">
        <is>
          <t>Cum. Labor
TOA $</t>
        </is>
      </c>
      <c r="K4" s="211" t="inlineStr">
        <is>
          <t>Cum. Travel
TOA $</t>
        </is>
      </c>
      <c r="L4" s="211" t="inlineStr">
        <is>
          <t>Cum. ODC
TOA $</t>
        </is>
      </c>
      <c r="M4" s="211" t="inlineStr">
        <is>
          <t>Cum. M&amp;E
TOA $</t>
        </is>
      </c>
      <c r="N4" s="211" t="inlineStr">
        <is>
          <t>Cum. Total
TOA $</t>
        </is>
      </c>
    </row>
    <row r="5" ht="15" customHeight="1" s="109">
      <c r="A5" s="165" t="inlineStr">
        <is>
          <t>P00000 (Award)</t>
        </is>
      </c>
      <c r="B5" s="169" t="n">
        <v>46023</v>
      </c>
      <c r="C5" s="165" t="inlineStr">
        <is>
          <t>Original award — base period</t>
        </is>
      </c>
      <c r="D5" s="212" t="n"/>
      <c r="E5" s="166" t="n">
        <v>1300000</v>
      </c>
      <c r="F5" s="166" t="n">
        <v>300000</v>
      </c>
      <c r="G5" s="166" t="n">
        <v>250000</v>
      </c>
      <c r="H5" s="166" t="n">
        <v>150000</v>
      </c>
      <c r="I5" s="213">
        <f>IF(A5="","",SUM(E5:H5))</f>
        <v/>
      </c>
      <c r="J5" s="154">
        <f>IF(A5="","",SUM($E$5:E5))</f>
        <v/>
      </c>
      <c r="K5" s="154">
        <f>IF(A5="","",SUM($F$5:F5))</f>
        <v/>
      </c>
      <c r="L5" s="154">
        <f>IF(A5="","",SUM($G$5:G5))</f>
        <v/>
      </c>
      <c r="M5" s="154">
        <f>IF(A5="","",SUM($H$5:H5))</f>
        <v/>
      </c>
      <c r="N5" s="214">
        <f>IF(A5="","",J5+K5+L5+M5)</f>
        <v/>
      </c>
    </row>
    <row r="6" ht="15" customHeight="1" s="109">
      <c r="A6" s="172" t="inlineStr">
        <is>
          <t>P00001</t>
        </is>
      </c>
      <c r="B6" s="176" t="n">
        <v>46143</v>
      </c>
      <c r="C6" s="172" t="inlineStr">
        <is>
          <t>Incremental funding — added scope</t>
        </is>
      </c>
      <c r="D6" s="215" t="n"/>
      <c r="E6" s="173" t="n">
        <v>250000</v>
      </c>
      <c r="F6" s="173" t="n">
        <v>50000</v>
      </c>
      <c r="G6" s="173" t="n">
        <v>30000</v>
      </c>
      <c r="H6" s="173" t="n">
        <v>20000</v>
      </c>
      <c r="I6" s="216">
        <f>IF(A6="","",SUM(E6:H6))</f>
        <v/>
      </c>
      <c r="J6" s="160">
        <f>IF(A6="","",SUM($E$5:E6))</f>
        <v/>
      </c>
      <c r="K6" s="160">
        <f>IF(A6="","",SUM($F$5:F6))</f>
        <v/>
      </c>
      <c r="L6" s="160">
        <f>IF(A6="","",SUM($G$5:G6))</f>
        <v/>
      </c>
      <c r="M6" s="160">
        <f>IF(A6="","",SUM($H$5:H6))</f>
        <v/>
      </c>
      <c r="N6" s="217">
        <f>IF(A6="","",J6+K6+L6+M6)</f>
        <v/>
      </c>
    </row>
    <row r="7" ht="15" customHeight="1" s="109">
      <c r="A7" s="165" t="n"/>
      <c r="B7" s="169" t="n"/>
      <c r="C7" s="165" t="n"/>
      <c r="D7" s="212" t="n"/>
      <c r="E7" s="166" t="n"/>
      <c r="F7" s="166" t="n"/>
      <c r="G7" s="166" t="n"/>
      <c r="H7" s="166" t="n"/>
      <c r="I7" s="213">
        <f>IF(A7="","",SUM(E7:H7))</f>
        <v/>
      </c>
      <c r="J7" s="154">
        <f>IF(A7="","",SUM($E$5:E7))</f>
        <v/>
      </c>
      <c r="K7" s="154">
        <f>IF(A7="","",SUM($F$5:F7))</f>
        <v/>
      </c>
      <c r="L7" s="154">
        <f>IF(A7="","",SUM($G$5:G7))</f>
        <v/>
      </c>
      <c r="M7" s="154">
        <f>IF(A7="","",SUM($H$5:H7))</f>
        <v/>
      </c>
      <c r="N7" s="214">
        <f>IF(A7="","",J7+K7+L7+M7)</f>
        <v/>
      </c>
    </row>
    <row r="8" ht="15" customHeight="1" s="109">
      <c r="A8" s="172" t="n"/>
      <c r="B8" s="176" t="n"/>
      <c r="C8" s="172" t="n"/>
      <c r="D8" s="215" t="n"/>
      <c r="E8" s="173" t="n"/>
      <c r="F8" s="173" t="n"/>
      <c r="G8" s="173" t="n"/>
      <c r="H8" s="173" t="n"/>
      <c r="I8" s="216">
        <f>IF(A8="","",SUM(E8:H8))</f>
        <v/>
      </c>
      <c r="J8" s="160">
        <f>IF(A8="","",SUM($E$5:E8))</f>
        <v/>
      </c>
      <c r="K8" s="160">
        <f>IF(A8="","",SUM($F$5:F8))</f>
        <v/>
      </c>
      <c r="L8" s="160">
        <f>IF(A8="","",SUM($G$5:G8))</f>
        <v/>
      </c>
      <c r="M8" s="160">
        <f>IF(A8="","",SUM($H$5:H8))</f>
        <v/>
      </c>
      <c r="N8" s="217">
        <f>IF(A8="","",J8+K8+L8+M8)</f>
        <v/>
      </c>
    </row>
    <row r="9" ht="15" customHeight="1" s="109">
      <c r="A9" s="165" t="n"/>
      <c r="B9" s="169" t="n"/>
      <c r="C9" s="165" t="n"/>
      <c r="D9" s="212" t="n"/>
      <c r="E9" s="166" t="n"/>
      <c r="F9" s="166" t="n"/>
      <c r="G9" s="166" t="n"/>
      <c r="H9" s="166" t="n"/>
      <c r="I9" s="213">
        <f>IF(A9="","",SUM(E9:H9))</f>
        <v/>
      </c>
      <c r="J9" s="154">
        <f>IF(A9="","",SUM($E$5:E9))</f>
        <v/>
      </c>
      <c r="K9" s="154">
        <f>IF(A9="","",SUM($F$5:F9))</f>
        <v/>
      </c>
      <c r="L9" s="154">
        <f>IF(A9="","",SUM($G$5:G9))</f>
        <v/>
      </c>
      <c r="M9" s="154">
        <f>IF(A9="","",SUM($H$5:H9))</f>
        <v/>
      </c>
      <c r="N9" s="214">
        <f>IF(A9="","",J9+K9+L9+M9)</f>
        <v/>
      </c>
    </row>
    <row r="10" ht="15" customHeight="1" s="109">
      <c r="A10" s="172" t="n"/>
      <c r="B10" s="176" t="n"/>
      <c r="C10" s="172" t="n"/>
      <c r="D10" s="215" t="n"/>
      <c r="E10" s="173" t="n"/>
      <c r="F10" s="173" t="n"/>
      <c r="G10" s="173" t="n"/>
      <c r="H10" s="173" t="n"/>
      <c r="I10" s="216">
        <f>IF(A10="","",SUM(E10:H10))</f>
        <v/>
      </c>
      <c r="J10" s="160">
        <f>IF(A10="","",SUM($E$5:E10))</f>
        <v/>
      </c>
      <c r="K10" s="160">
        <f>IF(A10="","",SUM($F$5:F10))</f>
        <v/>
      </c>
      <c r="L10" s="160">
        <f>IF(A10="","",SUM($G$5:G10))</f>
        <v/>
      </c>
      <c r="M10" s="160">
        <f>IF(A10="","",SUM($H$5:H10))</f>
        <v/>
      </c>
      <c r="N10" s="217">
        <f>IF(A10="","",J10+K10+L10+M10)</f>
        <v/>
      </c>
    </row>
    <row r="11" ht="15" customHeight="1" s="109">
      <c r="A11" s="165" t="n"/>
      <c r="B11" s="169" t="n"/>
      <c r="C11" s="165" t="n"/>
      <c r="D11" s="212" t="n"/>
      <c r="E11" s="166" t="n"/>
      <c r="F11" s="166" t="n"/>
      <c r="G11" s="166" t="n"/>
      <c r="H11" s="166" t="n"/>
      <c r="I11" s="213">
        <f>IF(A11="","",SUM(E11:H11))</f>
        <v/>
      </c>
      <c r="J11" s="154">
        <f>IF(A11="","",SUM($E$5:E11))</f>
        <v/>
      </c>
      <c r="K11" s="154">
        <f>IF(A11="","",SUM($F$5:F11))</f>
        <v/>
      </c>
      <c r="L11" s="154">
        <f>IF(A11="","",SUM($G$5:G11))</f>
        <v/>
      </c>
      <c r="M11" s="154">
        <f>IF(A11="","",SUM($H$5:H11))</f>
        <v/>
      </c>
      <c r="N11" s="214">
        <f>IF(A11="","",J11+K11+L11+M11)</f>
        <v/>
      </c>
    </row>
    <row r="12" ht="15" customHeight="1" s="109">
      <c r="A12" s="172" t="n"/>
      <c r="B12" s="176" t="n"/>
      <c r="C12" s="172" t="n"/>
      <c r="D12" s="215" t="n"/>
      <c r="E12" s="173" t="n"/>
      <c r="F12" s="173" t="n"/>
      <c r="G12" s="173" t="n"/>
      <c r="H12" s="173" t="n"/>
      <c r="I12" s="216">
        <f>IF(A12="","",SUM(E12:H12))</f>
        <v/>
      </c>
      <c r="J12" s="160">
        <f>IF(A12="","",SUM($E$5:E12))</f>
        <v/>
      </c>
      <c r="K12" s="160">
        <f>IF(A12="","",SUM($F$5:F12))</f>
        <v/>
      </c>
      <c r="L12" s="160">
        <f>IF(A12="","",SUM($G$5:G12))</f>
        <v/>
      </c>
      <c r="M12" s="160">
        <f>IF(A12="","",SUM($H$5:H12))</f>
        <v/>
      </c>
      <c r="N12" s="217">
        <f>IF(A12="","",J12+K12+L12+M12)</f>
        <v/>
      </c>
    </row>
    <row r="13" ht="15" customHeight="1" s="109">
      <c r="A13" s="165" t="n"/>
      <c r="B13" s="169" t="n"/>
      <c r="C13" s="165" t="n"/>
      <c r="D13" s="212" t="n"/>
      <c r="E13" s="166" t="n"/>
      <c r="F13" s="166" t="n"/>
      <c r="G13" s="166" t="n"/>
      <c r="H13" s="166" t="n"/>
      <c r="I13" s="213">
        <f>IF(A13="","",SUM(E13:H13))</f>
        <v/>
      </c>
      <c r="J13" s="154">
        <f>IF(A13="","",SUM($E$5:E13))</f>
        <v/>
      </c>
      <c r="K13" s="154">
        <f>IF(A13="","",SUM($F$5:F13))</f>
        <v/>
      </c>
      <c r="L13" s="154">
        <f>IF(A13="","",SUM($G$5:G13))</f>
        <v/>
      </c>
      <c r="M13" s="154">
        <f>IF(A13="","",SUM($H$5:H13))</f>
        <v/>
      </c>
      <c r="N13" s="214">
        <f>IF(A13="","",J13+K13+L13+M13)</f>
        <v/>
      </c>
    </row>
    <row r="14" ht="15" customHeight="1" s="109">
      <c r="A14" s="172" t="n"/>
      <c r="B14" s="176" t="n"/>
      <c r="C14" s="172" t="n"/>
      <c r="D14" s="215" t="n"/>
      <c r="E14" s="173" t="n"/>
      <c r="F14" s="173" t="n"/>
      <c r="G14" s="173" t="n"/>
      <c r="H14" s="173" t="n"/>
      <c r="I14" s="216">
        <f>IF(A14="","",SUM(E14:H14))</f>
        <v/>
      </c>
      <c r="J14" s="160">
        <f>IF(A14="","",SUM($E$5:E14))</f>
        <v/>
      </c>
      <c r="K14" s="160">
        <f>IF(A14="","",SUM($F$5:F14))</f>
        <v/>
      </c>
      <c r="L14" s="160">
        <f>IF(A14="","",SUM($G$5:G14))</f>
        <v/>
      </c>
      <c r="M14" s="160">
        <f>IF(A14="","",SUM($H$5:H14))</f>
        <v/>
      </c>
      <c r="N14" s="217">
        <f>IF(A14="","",J14+K14+L14+M14)</f>
        <v/>
      </c>
    </row>
    <row r="17" ht="15" customHeight="1" s="109">
      <c r="A17" s="115" t="inlineStr">
        <is>
          <t>CLIN Funding Status (auto — reads Projects tab, not this log)</t>
        </is>
      </c>
    </row>
    <row r="18" ht="27.75" customHeight="1" s="109">
      <c r="A18" s="151" t="inlineStr">
        <is>
          <t>CLIN</t>
        </is>
      </c>
      <c r="B18" s="151" t="inlineStr">
        <is>
          <t>Cumulative
TOA $</t>
        </is>
      </c>
      <c r="C18" s="151" t="inlineStr">
        <is>
          <t>Spent to
Date $</t>
        </is>
      </c>
      <c r="D18" s="151" t="inlineStr">
        <is>
          <t>Remaining
$</t>
        </is>
      </c>
      <c r="E18" s="151" t="inlineStr">
        <is>
          <t>% Used</t>
        </is>
      </c>
    </row>
    <row r="19" ht="15" customHeight="1" s="109">
      <c r="A19" s="218" t="inlineStr">
        <is>
          <t>Labor</t>
        </is>
      </c>
      <c r="B19" s="154">
        <f>SUM(Projects!$C$6:$C$13)</f>
        <v/>
      </c>
      <c r="C19" s="155">
        <f>SUM(Dashboard!$D$21:$D$32)</f>
        <v/>
      </c>
      <c r="D19" s="154">
        <f>B19-C19</f>
        <v/>
      </c>
      <c r="E19" s="157">
        <f>IFERROR(C19/B19,0)</f>
        <v/>
      </c>
    </row>
    <row r="20" ht="15" customHeight="1" s="109">
      <c r="A20" s="219" t="inlineStr">
        <is>
          <t>Travel</t>
        </is>
      </c>
      <c r="B20" s="160">
        <f>SUM(Projects!$D$6:$D$13)</f>
        <v/>
      </c>
      <c r="C20" s="161">
        <f>SUM(Dashboard!$G$21:$G$32)</f>
        <v/>
      </c>
      <c r="D20" s="160">
        <f>B20-C20</f>
        <v/>
      </c>
      <c r="E20" s="163">
        <f>IFERROR(C20/B20,0)</f>
        <v/>
      </c>
    </row>
    <row r="21" ht="15" customHeight="1" s="109">
      <c r="A21" s="218" t="inlineStr">
        <is>
          <t>ODC</t>
        </is>
      </c>
      <c r="B21" s="154">
        <f>SUM(Projects!$E$6:$E$13)</f>
        <v/>
      </c>
      <c r="C21" s="155">
        <f>SUM(Dashboard!$E$21:$E$32)</f>
        <v/>
      </c>
      <c r="D21" s="154">
        <f>B21-C21</f>
        <v/>
      </c>
      <c r="E21" s="157">
        <f>IFERROR(C21/B21,0)</f>
        <v/>
      </c>
    </row>
    <row r="22" ht="15" customHeight="1" s="109">
      <c r="A22" s="219" t="inlineStr">
        <is>
          <t>M&amp;E</t>
        </is>
      </c>
      <c r="B22" s="160">
        <f>SUM(Projects!$F$6:$F$13)</f>
        <v/>
      </c>
      <c r="C22" s="161">
        <f>SUM(Dashboard!$F$21:$F$32)</f>
        <v/>
      </c>
      <c r="D22" s="160">
        <f>B22-C22</f>
        <v/>
      </c>
      <c r="E22" s="163">
        <f>IFERROR(C22/B22,0)</f>
        <v/>
      </c>
    </row>
    <row r="23" ht="15" customHeight="1" s="109">
      <c r="A23" s="220" t="inlineStr">
        <is>
          <t>TOTAL</t>
        </is>
      </c>
      <c r="B23" s="221">
        <f>SUM(B19:B22)</f>
        <v/>
      </c>
      <c r="C23" s="221">
        <f>SUM(C19:C22)</f>
        <v/>
      </c>
      <c r="D23" s="221">
        <f>SUM(D19:D22)</f>
        <v/>
      </c>
      <c r="E23" s="222">
        <f>IFERROR(C23/B23,0)</f>
        <v/>
      </c>
    </row>
    <row r="26" ht="15" customHeight="1" s="109">
      <c r="A26" s="111" t="inlineStr">
        <is>
          <t>Acqlerate  ·  DoD Acquisition Training  ·  acqlerate.com</t>
        </is>
      </c>
    </row>
  </sheetData>
  <mergeCells count="1">
    <mergeCell ref="A3:N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 filterMode="0">
    <tabColor rgb="FF7A5AF8"/>
    <outlinePr summaryBelow="1" summaryRight="1"/>
    <pageSetUpPr fitToPage="0"/>
  </sheetPr>
  <dimension ref="A1:E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8" min="1" max="1"/>
    <col width="20" customWidth="1" style="108" min="2" max="2"/>
    <col width="18" customWidth="1" style="108" min="3" max="3"/>
    <col width="20" customWidth="1" style="108" min="4" max="4"/>
    <col width="40" customWidth="1" style="108" min="5" max="5"/>
  </cols>
  <sheetData>
    <row r="1" ht="21.75" customHeight="1" s="109">
      <c r="B1" s="141" t="inlineStr">
        <is>
          <t>ROM Calculator</t>
        </is>
      </c>
      <c r="E1" s="142" t="inlineStr">
        <is>
          <t>Acqlerate  ·  acqlerate.com</t>
        </is>
      </c>
    </row>
    <row r="3" ht="27.75" customHeight="1" s="109">
      <c r="A3" s="223" t="inlineStr">
        <is>
          <t>Quick answer for "what would it cost to add or change this person?" — a standalone what-if, separate from your actual Labor log. Doesn't affect Dashboard totals or Labor actuals.</t>
        </is>
      </c>
    </row>
    <row r="5" ht="15" customHeight="1" s="109">
      <c r="A5" s="224" t="inlineStr">
        <is>
          <t>SCENARIO INPUTS</t>
        </is>
      </c>
    </row>
    <row r="6" ht="15" customHeight="1" s="109">
      <c r="A6" s="111" t="inlineStr">
        <is>
          <t>Fill in the role and dates — everything below calculates automatically from your Rates tab.</t>
        </is>
      </c>
    </row>
    <row r="8" ht="19.5" customHeight="1" s="109">
      <c r="A8" s="218" t="inlineStr">
        <is>
          <t>Role / LCAT</t>
        </is>
      </c>
      <c r="B8" s="225" t="inlineStr">
        <is>
          <t>Engineer 4</t>
        </is>
      </c>
      <c r="C8" s="226" t="n"/>
      <c r="D8" s="226" t="n"/>
      <c r="E8" s="226" t="n"/>
    </row>
    <row r="9" ht="19.5" customHeight="1" s="109">
      <c r="A9" s="218" t="inlineStr">
        <is>
          <t>Employee Type</t>
        </is>
      </c>
      <c r="B9" s="225" t="inlineStr">
        <is>
          <t>Exempt</t>
        </is>
      </c>
      <c r="C9" s="226" t="n"/>
      <c r="D9" s="226" t="n"/>
      <c r="E9" s="226" t="n"/>
    </row>
    <row r="10" ht="19.5" customHeight="1" s="109">
      <c r="A10" s="218" t="inlineStr">
        <is>
          <t>Annual Salary (Exempt only)</t>
        </is>
      </c>
      <c r="B10" s="227" t="n">
        <v>150000</v>
      </c>
      <c r="C10" s="226" t="n"/>
      <c r="D10" s="226" t="n"/>
      <c r="E10" s="226" t="n"/>
    </row>
    <row r="11" ht="19.5" customHeight="1" s="109">
      <c r="A11" s="218" t="inlineStr">
        <is>
          <t>Direct Hourly Rate (Non-Exempt only)</t>
        </is>
      </c>
      <c r="B11" s="228" t="n"/>
      <c r="C11" s="226" t="n"/>
      <c r="D11" s="226" t="n"/>
      <c r="E11" s="226" t="n"/>
    </row>
    <row r="12" ht="19.5" customHeight="1" s="109">
      <c r="A12" s="218" t="inlineStr">
        <is>
          <t>Standard Annual Hours</t>
        </is>
      </c>
      <c r="B12" s="225" t="n">
        <v>2080</v>
      </c>
      <c r="C12" s="226" t="n"/>
      <c r="D12" s="226" t="n"/>
      <c r="E12" s="226" t="n"/>
    </row>
    <row r="13" ht="19.5" customHeight="1" s="109">
      <c r="A13" s="218" t="inlineStr">
        <is>
          <t>Start Date</t>
        </is>
      </c>
      <c r="B13" s="229" t="n">
        <v>46266</v>
      </c>
      <c r="C13" s="226" t="n"/>
      <c r="D13" s="226" t="n"/>
      <c r="E13" s="226" t="n"/>
    </row>
    <row r="14" ht="15" customHeight="1" s="109">
      <c r="A14" s="218" t="inlineStr">
        <is>
          <t>End Date</t>
        </is>
      </c>
      <c r="B14" s="230">
        <f>Dashboard!$C$6</f>
        <v/>
      </c>
      <c r="C14" s="231" t="inlineStr">
        <is>
          <t>Defaults to your PoP End on Dashboard — type over it for a custom end date.</t>
        </is>
      </c>
      <c r="D14" s="232" t="n"/>
      <c r="E14" s="233" t="n"/>
    </row>
    <row r="16" ht="15" customHeight="1" s="109">
      <c r="A16" s="224" t="inlineStr">
        <is>
          <t>BASE LABOR COST (auto)</t>
        </is>
      </c>
    </row>
    <row r="17" ht="15" customHeight="1" s="109">
      <c r="A17" s="111" t="inlineStr">
        <is>
          <t>Straight-line day proration over the period — a ROM approximation, not a payroll calendar.</t>
        </is>
      </c>
    </row>
    <row r="19" ht="15" customHeight="1" s="109">
      <c r="A19" s="234" t="inlineStr">
        <is>
          <t>Straight-Time Rate $/hr</t>
        </is>
      </c>
      <c r="B19" s="168">
        <f>IF(B9="Exempt",IF(B12=0,"",B10/B12),B11)</f>
        <v/>
      </c>
      <c r="C19" s="226" t="n"/>
      <c r="D19" s="226" t="n"/>
      <c r="E19" s="226" t="n"/>
    </row>
    <row r="20" ht="15" customHeight="1" s="109">
      <c r="A20" s="234" t="inlineStr">
        <is>
          <t>Days in Period</t>
        </is>
      </c>
      <c r="B20" s="235">
        <f>IF(OR(B13="",B14=""),"",B14-B13+1)</f>
        <v/>
      </c>
      <c r="C20" s="226" t="n"/>
      <c r="D20" s="226" t="n"/>
      <c r="E20" s="226" t="n"/>
    </row>
    <row r="21" ht="15" customHeight="1" s="109">
      <c r="A21" s="234" t="inlineStr">
        <is>
          <t>Estimated Hours in Period</t>
        </is>
      </c>
      <c r="B21" s="170">
        <f>IF(B20="","",B12*B20/365)</f>
        <v/>
      </c>
      <c r="C21" s="226" t="n"/>
      <c r="D21" s="226" t="n"/>
      <c r="E21" s="226" t="n"/>
    </row>
    <row r="22" ht="15" customHeight="1" s="109">
      <c r="A22" s="234" t="inlineStr">
        <is>
          <t>Direct Labor $</t>
        </is>
      </c>
      <c r="B22" s="154">
        <f>IF(OR(B21="",B19=""),"",B21*B19)</f>
        <v/>
      </c>
      <c r="C22" s="226" t="n"/>
      <c r="D22" s="226" t="n"/>
      <c r="E22" s="226" t="n"/>
    </row>
    <row r="23" ht="15" customHeight="1" s="109">
      <c r="A23" s="234" t="inlineStr">
        <is>
          <t>Fringe $</t>
        </is>
      </c>
      <c r="B23" s="154">
        <f>IF(B22="","",B22*Rates!$B$6)</f>
        <v/>
      </c>
      <c r="C23" s="226" t="n"/>
      <c r="D23" s="226" t="n"/>
      <c r="E23" s="226" t="n"/>
    </row>
    <row r="24" ht="15" customHeight="1" s="109">
      <c r="A24" s="234" t="inlineStr">
        <is>
          <t>OH $</t>
        </is>
      </c>
      <c r="B24" s="154">
        <f>IF(B22="","",(B22+B23)*Rates!$B$7)</f>
        <v/>
      </c>
      <c r="C24" s="226" t="n"/>
      <c r="D24" s="226" t="n"/>
      <c r="E24" s="226" t="n"/>
    </row>
    <row r="25" ht="25.5" customHeight="1" s="109">
      <c r="A25" s="236" t="inlineStr">
        <is>
          <t>Base Fully Burdened Labor $</t>
        </is>
      </c>
      <c r="B25" s="237">
        <f>IF(B22="","",B22+B23+B24)</f>
        <v/>
      </c>
      <c r="C25" s="238" t="n"/>
      <c r="D25" s="238" t="n"/>
      <c r="E25" s="238" t="n"/>
    </row>
    <row r="27" ht="15" customHeight="1" s="109">
      <c r="A27" s="224" t="inlineStr">
        <is>
          <t>LOCATION / ALLOWANCE ADDERS</t>
        </is>
      </c>
    </row>
    <row r="28" ht="15" customHeight="1" s="109">
      <c r="A28" s="111" t="inlineStr">
        <is>
          <t>Common OCONUS adders — edit the label or amount, or leave a row blank to skip it. Annual amounts prorate over the period above; one-time amounts don't.</t>
        </is>
      </c>
    </row>
    <row r="30" ht="23.85" customHeight="1" s="109">
      <c r="A30" s="151" t="inlineStr">
        <is>
          <t>Adder</t>
        </is>
      </c>
      <c r="B30" s="151" t="inlineStr">
        <is>
          <t>Type</t>
        </is>
      </c>
      <c r="C30" s="151" t="inlineStr">
        <is>
          <t>Amount $</t>
        </is>
      </c>
      <c r="D30" s="151" t="inlineStr">
        <is>
          <t>Cost for Period $ (auto)</t>
        </is>
      </c>
    </row>
    <row r="31" ht="15" customHeight="1" s="109">
      <c r="A31" s="165" t="inlineStr">
        <is>
          <t>COLA (Cost of Living Allowance)</t>
        </is>
      </c>
      <c r="B31" s="165" t="inlineStr">
        <is>
          <t>Annual $ (prorate)</t>
        </is>
      </c>
      <c r="C31" s="166" t="n">
        <v>8000</v>
      </c>
      <c r="D31" s="154">
        <f>IF(C31="","",IF(B31="One-Time $",C31,C31*B20/365))</f>
        <v/>
      </c>
    </row>
    <row r="32" ht="15" customHeight="1" s="109">
      <c r="A32" s="172" t="inlineStr">
        <is>
          <t>LQA (Living Quarters Allowance)</t>
        </is>
      </c>
      <c r="B32" s="172" t="inlineStr">
        <is>
          <t>Annual $ (prorate)</t>
        </is>
      </c>
      <c r="C32" s="173" t="n">
        <v>24000</v>
      </c>
      <c r="D32" s="160">
        <f>IF(C32="","",IF(B32="One-Time $",C32,C32*B20/365))</f>
        <v/>
      </c>
    </row>
    <row r="33" ht="15" customHeight="1" s="109">
      <c r="A33" s="165" t="inlineStr">
        <is>
          <t>Relocation</t>
        </is>
      </c>
      <c r="B33" s="165" t="inlineStr">
        <is>
          <t>One-Time $</t>
        </is>
      </c>
      <c r="C33" s="166" t="n">
        <v>15000</v>
      </c>
      <c r="D33" s="154">
        <f>IF(C33="","",IF(B33="One-Time $",C33,C33*B20/365))</f>
        <v/>
      </c>
    </row>
    <row r="34" ht="15" customHeight="1" s="109">
      <c r="A34" s="172" t="inlineStr">
        <is>
          <t>Other</t>
        </is>
      </c>
      <c r="B34" s="172" t="inlineStr">
        <is>
          <t>Annual $ (prorate)</t>
        </is>
      </c>
      <c r="C34" s="173" t="n"/>
      <c r="D34" s="160">
        <f>IF(C34="","",IF(B34="One-Time $",C34,C34*B20/365))</f>
        <v/>
      </c>
    </row>
    <row r="35" ht="15" customHeight="1" s="109">
      <c r="A35" s="220" t="inlineStr">
        <is>
          <t>Total Adders</t>
        </is>
      </c>
      <c r="B35" s="238" t="n"/>
      <c r="C35" s="238" t="n"/>
      <c r="D35" s="221">
        <f>SUM(D31:D34)</f>
        <v/>
      </c>
    </row>
    <row r="37" ht="15" customHeight="1" s="109">
      <c r="A37" s="224" t="inlineStr">
        <is>
          <t>ROM ESTIMATE</t>
        </is>
      </c>
    </row>
    <row r="38" ht="15" customHeight="1" s="109">
      <c r="A38" s="111" t="inlineStr">
        <is>
          <t>Same buildup as Dashboard: Labor + Adders -&gt; Subtotal -&gt; + G&amp;A -&gt; Total Cost -&gt; + Fee -&gt; fully burdened total.</t>
        </is>
      </c>
    </row>
    <row r="40" ht="15" customHeight="1" s="109">
      <c r="A40" s="234" t="inlineStr">
        <is>
          <t>Subtotal (Labor + Adders) $</t>
        </is>
      </c>
      <c r="B40" s="154">
        <f>IF(B25="","",B25+D35)</f>
        <v/>
      </c>
      <c r="C40" s="226" t="n"/>
      <c r="D40" s="226" t="n"/>
      <c r="E40" s="226" t="n"/>
    </row>
    <row r="41" ht="15" customHeight="1" s="109">
      <c r="A41" s="234" t="inlineStr">
        <is>
          <t>G&amp;A $</t>
        </is>
      </c>
      <c r="B41" s="154">
        <f>IF(B40="","",B40*Rates!$B$8)</f>
        <v/>
      </c>
      <c r="C41" s="226" t="n"/>
      <c r="D41" s="226" t="n"/>
      <c r="E41" s="226" t="n"/>
    </row>
    <row r="42" ht="15" customHeight="1" s="109">
      <c r="A42" s="234" t="inlineStr">
        <is>
          <t>Total Cost $</t>
        </is>
      </c>
      <c r="B42" s="154">
        <f>IF(B40="","",B40+B41)</f>
        <v/>
      </c>
      <c r="C42" s="226" t="n"/>
      <c r="D42" s="226" t="n"/>
      <c r="E42" s="226" t="n"/>
    </row>
    <row r="43" ht="15" customHeight="1" s="109">
      <c r="A43" s="234" t="inlineStr">
        <is>
          <t>Fee $</t>
        </is>
      </c>
      <c r="B43" s="154">
        <f>IF(B42="","",B42*Rates!$C$18)</f>
        <v/>
      </c>
      <c r="C43" s="226" t="n"/>
      <c r="D43" s="226" t="n"/>
      <c r="E43" s="226" t="n"/>
    </row>
    <row r="44" ht="30" customHeight="1" s="109">
      <c r="A44" s="239" t="inlineStr">
        <is>
          <t>TOTAL ROM ESTIMATE (fully burdened)</t>
        </is>
      </c>
      <c r="B44" s="240">
        <f>IF(B42="","",B42+B43)</f>
        <v/>
      </c>
      <c r="C44" s="238" t="n"/>
      <c r="D44" s="238" t="n"/>
      <c r="E44" s="238" t="n"/>
    </row>
    <row r="46" ht="24" customHeight="1" s="109">
      <c r="A46" s="241">
        <f>"For "&amp;B8&amp;" from "&amp;TEXT(B13,"mm/dd/yyyy")&amp;" to "&amp;TEXT(B14,"mm/dd/yyyy")&amp;" ("&amp;B20&amp;" days): "&amp;TEXT(B44,"$#,##0")&amp;" fully burdened, ROM estimate."</f>
        <v/>
      </c>
    </row>
    <row r="47" ht="15" customHeight="1" s="109">
      <c r="A47" s="111" t="inlineStr">
        <is>
          <t>Copy the line above straight into an email — everything in it flows from your Rates tab, so it stays consistent with how you bill.</t>
        </is>
      </c>
    </row>
    <row r="49" ht="15" customHeight="1" s="109">
      <c r="A49" s="111" t="inlineStr">
        <is>
          <t>Acqlerate  ·  DoD Acquisition Training  ·  acqlerate.com</t>
        </is>
      </c>
    </row>
  </sheetData>
  <mergeCells count="12">
    <mergeCell ref="C14:E14"/>
    <mergeCell ref="A38:E38"/>
    <mergeCell ref="A16:E16"/>
    <mergeCell ref="A28:E28"/>
    <mergeCell ref="A47:E47"/>
    <mergeCell ref="A5:E5"/>
    <mergeCell ref="A37:E37"/>
    <mergeCell ref="A46:E46"/>
    <mergeCell ref="A6:E6"/>
    <mergeCell ref="A17:E17"/>
    <mergeCell ref="A27:E27"/>
    <mergeCell ref="A3:E3"/>
  </mergeCells>
  <dataValidations count="5">
    <dataValidation sqref="B9" showDropDown="0" showInputMessage="0" showErrorMessage="0" allowBlank="0" type="list" errorStyle="stop" operator="between">
      <formula1>"Exempt,Non-Exempt"</formula1>
      <formula2>0</formula2>
    </dataValidation>
    <dataValidation sqref="B31" showDropDown="0" showInputMessage="0" showErrorMessage="0" allowBlank="0" type="list" errorStyle="stop" operator="between">
      <formula1>"One-Time $,Annual $ (prorate)"</formula1>
      <formula2>0</formula2>
    </dataValidation>
    <dataValidation sqref="B32" showDropDown="0" showInputMessage="0" showErrorMessage="0" allowBlank="0" type="list" errorStyle="stop" operator="between">
      <formula1>"One-Time $,Annual $ (prorate)"</formula1>
      <formula2>0</formula2>
    </dataValidation>
    <dataValidation sqref="B33" showDropDown="0" showInputMessage="0" showErrorMessage="0" allowBlank="0" type="list" errorStyle="stop" operator="between">
      <formula1>"One-Time $,Annual $ (prorate)"</formula1>
      <formula2>0</formula2>
    </dataValidation>
    <dataValidation sqref="B34" showDropDown="0" showInputMessage="0" showErrorMessage="0" allowBlank="0" type="list" errorStyle="stop" operator="between">
      <formula1>"One-Time $,Annual $ (prorate)"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2026-08-12T13:39:53Z</dcterms:created>
  <dcterms:modified xmlns:dcterms="http://purl.org/dc/terms/" xmlns:xsi="http://www.w3.org/2001/XMLSchema-instance" xsi:type="dcterms:W3CDTF">2026-08-20T08:44:11Z</dcterms:modified>
  <cp:revision>0</cp:revision>
</cp:coreProperties>
</file>