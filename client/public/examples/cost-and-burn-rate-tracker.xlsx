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Total Cost Input (fully burdened labor + ODCs + Travel + M&amp;E). Covers company-wide G&amp;A: executive, finance, HR, business development.</t>
        </is>
      </c>
    </row>
    <row r="10">
      <c r="A10" s="123" t="inlineStr">
        <is>
          <t>FEE STRUCTURE</t>
        </is>
      </c>
    </row>
    <row r="11" ht="28" customHeight="1" s="109">
      <c r="A11" s="117" t="inlineStr">
        <is>
          <t>Fixed = flat % of Total Cost (CPFF). Award = pool rate, actual earned fee depends on your award fee score. A contract can run BOTH — pick which CLINs draw from which pool in the table below.</t>
        </is>
      </c>
    </row>
    <row r="13" ht="28" customHeight="1" s="109">
      <c r="A13" s="124" t="inlineStr">
        <is>
          <t>Fixed Fee Rate (%)</t>
        </is>
      </c>
      <c r="B13" s="125" t="n">
        <v>0.07000000000000001</v>
      </c>
      <c r="C13" s="114" t="inlineStr">
        <is>
          <t>Used by any CLIN set to "Fixed" below. A flat % of that CLIN's Total Cost that doesn't vary with performance.</t>
        </is>
      </c>
    </row>
    <row r="14" ht="28" customHeight="1" s="109">
      <c r="A14" s="124" t="inlineStr">
        <is>
          <t>Target Award Fee Rate (%)</t>
        </is>
      </c>
      <c r="B14" s="125" t="n">
        <v>0.1</v>
      </c>
      <c r="C14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>
      <c r="A16" s="117" t="inlineStr"/>
    </row>
    <row r="17" ht="22" customHeight="1" s="109">
      <c r="A17" s="126" t="inlineStr">
        <is>
          <t>CLIN</t>
        </is>
      </c>
      <c r="B17" s="126" t="inlineStr">
        <is>
          <t>Fee Type</t>
        </is>
      </c>
      <c r="C17" s="126" t="inlineStr">
        <is>
          <t>Applicable
Fee Rate</t>
        </is>
      </c>
    </row>
    <row r="18">
      <c r="A18" s="127" t="inlineStr">
        <is>
          <t>Labor</t>
        </is>
      </c>
      <c r="B18" s="128" t="inlineStr">
        <is>
          <t>Award</t>
        </is>
      </c>
      <c r="C18" s="129">
        <f>IF(B18="Fixed",$B$13,IF(B18="Award",$B$14,NA()))</f>
        <v/>
      </c>
    </row>
    <row r="19">
      <c r="A19" s="127" t="inlineStr">
        <is>
          <t>Travel</t>
        </is>
      </c>
      <c r="B19" s="128" t="inlineStr">
        <is>
          <t>Fixed</t>
        </is>
      </c>
      <c r="C19" s="129">
        <f>IF(B19="Fixed",$B$13,IF(B19="Award",$B$14,NA()))</f>
        <v/>
      </c>
    </row>
    <row r="20">
      <c r="A20" s="127" t="inlineStr">
        <is>
          <t>ODC</t>
        </is>
      </c>
      <c r="B20" s="128" t="inlineStr">
        <is>
          <t>Fixed</t>
        </is>
      </c>
      <c r="C20" s="129">
        <f>IF(B20="Fixed",$B$13,IF(B20="Award",$B$14,NA()))</f>
        <v/>
      </c>
    </row>
    <row r="21">
      <c r="A21" s="127" t="inlineStr">
        <is>
          <t>M&amp;E</t>
        </is>
      </c>
      <c r="B21" s="128" t="inlineStr">
        <is>
          <t>Award</t>
        </is>
      </c>
      <c r="C21" s="129">
        <f>IF(B21="Fixed",$B$13,IF(B21="Award",$B$14,NA()))</f>
        <v/>
      </c>
    </row>
    <row r="23" ht="28" customHeight="1" s="109">
      <c r="A23" s="117" t="inlineStr">
        <is>
          <t>This is what Dashboard, Revenue Forecast, and the ROM Calculator (Labor row) use — Total Cost per CLIN times that CLIN's Applicable Fee Rate.</t>
        </is>
      </c>
    </row>
    <row r="25" ht="42" customHeight="1" s="109">
      <c r="A25" s="114" t="inlineStr">
        <is>
          <t>Fee base note: this tracker applies fee to each CLIN's Total Cost (burdened cost + that CLIN's share of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9">
    <mergeCell ref="C13:F13"/>
    <mergeCell ref="A11:F11"/>
    <mergeCell ref="C8:F8"/>
    <mergeCell ref="A23:F23"/>
    <mergeCell ref="C6:F6"/>
    <mergeCell ref="C7:F7"/>
    <mergeCell ref="A4:F4"/>
    <mergeCell ref="C14:F14"/>
    <mergeCell ref="A25:F25"/>
  </mergeCells>
  <dataValidations count="1">
    <dataValidation sqref="B18 B19 B20 B21" showDropDown="0" showInputMessage="0" showErrorMessage="0" allowBlank="0" type="list">
      <formula1>"Fixed,Award"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IF(H21="","",H21*Rates!$B$8)</f>
        <v/>
      </c>
      <c r="J21" s="154">
        <f>IF(H21="","",H21+I21)</f>
        <v/>
      </c>
      <c r="K21" s="155">
        <f>IF(H21="","",(D21+IFERROR(D21/H21*I21,0))*Rates!$C$18+(G21+IFERROR(G21/H21*I21,0))*Rates!$C$19+(E21+IFERROR(E21/H21*I21,0))*Rates!$C$20+(F21+IFERROR(F21/H21*I21,0))*Rates!$C$21)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</row>
    <row r="22" ht="15" customHeight="1" s="109">
      <c r="A22" s="158" t="n">
        <v>2</v>
      </c>
      <c r="B22" s="159">
        <f>EDATE($C$5,A22-1)</f>
        <v/>
      </c>
      <c r="C22" s="160">
        <f>$C$9*A22</f>
        <v/>
      </c>
      <c r="D22" s="161">
        <f>Labor!H30</f>
        <v/>
      </c>
      <c r="E22" s="161">
        <f>IF(D22="","",ODCs!C28)</f>
        <v/>
      </c>
      <c r="F22" s="161">
        <f>IF(D22="","",'M&amp;E'!C28)</f>
        <v/>
      </c>
      <c r="G22" s="161">
        <f>IF(D22="","",Travel!C28)</f>
        <v/>
      </c>
      <c r="H22" s="160">
        <f>IF(D22="","",D22+E22+F22+G22)</f>
        <v/>
      </c>
      <c r="I22" s="161">
        <f>IF(H22="","",H22*Rates!$B$8)</f>
        <v/>
      </c>
      <c r="J22" s="160">
        <f>IF(H22="","",H22+I22)</f>
        <v/>
      </c>
      <c r="K22" s="161">
        <f>IF(H22="","",(D22+IFERROR(D22/H22*I22,0))*Rates!$C$18+(G22+IFERROR(G22/H22*I22,0))*Rates!$C$19+(E22+IFERROR(E22/H22*I22,0))*Rates!$C$20+(F22+IFERROR(F22/H22*I22,0))*Rates!$C$21)</f>
        <v/>
      </c>
      <c r="L22" s="160">
        <f>IF(J22="","",J22+K22)</f>
        <v/>
      </c>
      <c r="M22" s="160">
        <f>IF(SUM($L$21:L22)=0,"",SUM($L$21:L22))</f>
        <v/>
      </c>
      <c r="N22" s="162">
        <f>IF(OR(M22="",C22=""),"",M22-C22)</f>
        <v/>
      </c>
      <c r="O22" s="163">
        <f>IF(OR(M22="",C22="",C22=0),"",N22/C22)</f>
        <v/>
      </c>
      <c r="P22" s="160">
        <f>IF(M22="","",$C$8-M22)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IF(H23="","",H23*Rates!$B$8)</f>
        <v/>
      </c>
      <c r="J23" s="154">
        <f>IF(H23="","",H23+I23)</f>
        <v/>
      </c>
      <c r="K23" s="155">
        <f>IF(H23="","",(D23+IFERROR(D23/H23*I23,0))*Rates!$C$18+(G23+IFERROR(G23/H23*I23,0))*Rates!$C$19+(E23+IFERROR(E23/H23*I23,0))*Rates!$C$20+(F23+IFERROR(F23/H23*I23,0))*Rates!$C$21)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</row>
    <row r="24" ht="15" customHeight="1" s="109">
      <c r="A24" s="158" t="n">
        <v>4</v>
      </c>
      <c r="B24" s="159">
        <f>EDATE($C$5,A24-1)</f>
        <v/>
      </c>
      <c r="C24" s="160">
        <f>$C$9*A24</f>
        <v/>
      </c>
      <c r="D24" s="161">
        <f>Labor!H32</f>
        <v/>
      </c>
      <c r="E24" s="161">
        <f>IF(D24="","",ODCs!C30)</f>
        <v/>
      </c>
      <c r="F24" s="161">
        <f>IF(D24="","",'M&amp;E'!C30)</f>
        <v/>
      </c>
      <c r="G24" s="161">
        <f>IF(D24="","",Travel!C30)</f>
        <v/>
      </c>
      <c r="H24" s="160">
        <f>IF(D24="","",D24+E24+F24+G24)</f>
        <v/>
      </c>
      <c r="I24" s="161">
        <f>IF(H24="","",H24*Rates!$B$8)</f>
        <v/>
      </c>
      <c r="J24" s="160">
        <f>IF(H24="","",H24+I24)</f>
        <v/>
      </c>
      <c r="K24" s="161">
        <f>IF(H24="","",(D24+IFERROR(D24/H24*I24,0))*Rates!$C$18+(G24+IFERROR(G24/H24*I24,0))*Rates!$C$19+(E24+IFERROR(E24/H24*I24,0))*Rates!$C$20+(F24+IFERROR(F24/H24*I24,0))*Rates!$C$21)</f>
        <v/>
      </c>
      <c r="L24" s="160">
        <f>IF(J24="","",J24+K24)</f>
        <v/>
      </c>
      <c r="M24" s="160">
        <f>IF(SUM($L$21:L24)=0,"",SUM($L$21:L24))</f>
        <v/>
      </c>
      <c r="N24" s="162">
        <f>IF(OR(M24="",C24=""),"",M24-C24)</f>
        <v/>
      </c>
      <c r="O24" s="163">
        <f>IF(OR(M24="",C24="",C24=0),"",N24/C24)</f>
        <v/>
      </c>
      <c r="P24" s="160">
        <f>IF(M24="","",$C$8-M24)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IF(H25="","",H25*Rates!$B$8)</f>
        <v/>
      </c>
      <c r="J25" s="154">
        <f>IF(H25="","",H25+I25)</f>
        <v/>
      </c>
      <c r="K25" s="155">
        <f>IF(H25="","",(D25+IFERROR(D25/H25*I25,0))*Rates!$C$18+(G25+IFERROR(G25/H25*I25,0))*Rates!$C$19+(E25+IFERROR(E25/H25*I25,0))*Rates!$C$20+(F25+IFERROR(F25/H25*I25,0))*Rates!$C$21)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</row>
    <row r="26" ht="15" customHeight="1" s="109">
      <c r="A26" s="158" t="n">
        <v>6</v>
      </c>
      <c r="B26" s="159">
        <f>EDATE($C$5,A26-1)</f>
        <v/>
      </c>
      <c r="C26" s="160">
        <f>$C$9*A26</f>
        <v/>
      </c>
      <c r="D26" s="161">
        <f>Labor!H34</f>
        <v/>
      </c>
      <c r="E26" s="161">
        <f>IF(D26="","",ODCs!C32)</f>
        <v/>
      </c>
      <c r="F26" s="161">
        <f>IF(D26="","",'M&amp;E'!C32)</f>
        <v/>
      </c>
      <c r="G26" s="161">
        <f>IF(D26="","",Travel!C32)</f>
        <v/>
      </c>
      <c r="H26" s="160">
        <f>IF(D26="","",D26+E26+F26+G26)</f>
        <v/>
      </c>
      <c r="I26" s="161">
        <f>IF(H26="","",H26*Rates!$B$8)</f>
        <v/>
      </c>
      <c r="J26" s="160">
        <f>IF(H26="","",H26+I26)</f>
        <v/>
      </c>
      <c r="K26" s="161">
        <f>IF(H26="","",(D26+IFERROR(D26/H26*I26,0))*Rates!$C$18+(G26+IFERROR(G26/H26*I26,0))*Rates!$C$19+(E26+IFERROR(E26/H26*I26,0))*Rates!$C$20+(F26+IFERROR(F26/H26*I26,0))*Rates!$C$21)</f>
        <v/>
      </c>
      <c r="L26" s="160">
        <f>IF(J26="","",J26+K26)</f>
        <v/>
      </c>
      <c r="M26" s="160">
        <f>IF(SUM($L$21:L26)=0,"",SUM($L$21:L26))</f>
        <v/>
      </c>
      <c r="N26" s="162">
        <f>IF(OR(M26="",C26=""),"",M26-C26)</f>
        <v/>
      </c>
      <c r="O26" s="163">
        <f>IF(OR(M26="",C26="",C26=0),"",N26/C26)</f>
        <v/>
      </c>
      <c r="P26" s="160">
        <f>IF(M26="","",$C$8-M26)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IF(H27="","",H27*Rates!$B$8)</f>
        <v/>
      </c>
      <c r="J27" s="154">
        <f>IF(H27="","",H27+I27)</f>
        <v/>
      </c>
      <c r="K27" s="155">
        <f>IF(H27="","",(D27+IFERROR(D27/H27*I27,0))*Rates!$C$18+(G27+IFERROR(G27/H27*I27,0))*Rates!$C$19+(E27+IFERROR(E27/H27*I27,0))*Rates!$C$20+(F27+IFERROR(F27/H27*I27,0))*Rates!$C$21)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</row>
    <row r="28" ht="15" customHeight="1" s="109">
      <c r="A28" s="158" t="n">
        <v>8</v>
      </c>
      <c r="B28" s="159">
        <f>EDATE($C$5,A28-1)</f>
        <v/>
      </c>
      <c r="C28" s="160">
        <f>$C$9*A28</f>
        <v/>
      </c>
      <c r="D28" s="161">
        <f>Labor!H36</f>
        <v/>
      </c>
      <c r="E28" s="161">
        <f>IF(D28="","",ODCs!C34)</f>
        <v/>
      </c>
      <c r="F28" s="161">
        <f>IF(D28="","",'M&amp;E'!C34)</f>
        <v/>
      </c>
      <c r="G28" s="161">
        <f>IF(D28="","",Travel!C34)</f>
        <v/>
      </c>
      <c r="H28" s="160">
        <f>IF(D28="","",D28+E28+F28+G28)</f>
        <v/>
      </c>
      <c r="I28" s="161">
        <f>IF(H28="","",H28*Rates!$B$8)</f>
        <v/>
      </c>
      <c r="J28" s="160">
        <f>IF(H28="","",H28+I28)</f>
        <v/>
      </c>
      <c r="K28" s="161">
        <f>IF(H28="","",(D28+IFERROR(D28/H28*I28,0))*Rates!$C$18+(G28+IFERROR(G28/H28*I28,0))*Rates!$C$19+(E28+IFERROR(E28/H28*I28,0))*Rates!$C$20+(F28+IFERROR(F28/H28*I28,0))*Rates!$C$21)</f>
        <v/>
      </c>
      <c r="L28" s="160">
        <f>IF(J28="","",J28+K28)</f>
        <v/>
      </c>
      <c r="M28" s="160">
        <f>IF(SUM($L$21:L28)=0,"",SUM($L$21:L28))</f>
        <v/>
      </c>
      <c r="N28" s="162">
        <f>IF(OR(M28="",C28=""),"",M28-C28)</f>
        <v/>
      </c>
      <c r="O28" s="163">
        <f>IF(OR(M28="",C28="",C28=0),"",N28/C28)</f>
        <v/>
      </c>
      <c r="P28" s="160">
        <f>IF(M28="","",$C$8-M28)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IF(H29="","",H29*Rates!$B$8)</f>
        <v/>
      </c>
      <c r="J29" s="154">
        <f>IF(H29="","",H29+I29)</f>
        <v/>
      </c>
      <c r="K29" s="155">
        <f>IF(H29="","",(D29+IFERROR(D29/H29*I29,0))*Rates!$C$18+(G29+IFERROR(G29/H29*I29,0))*Rates!$C$19+(E29+IFERROR(E29/H29*I29,0))*Rates!$C$20+(F29+IFERROR(F29/H29*I29,0))*Rates!$C$21)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</row>
    <row r="30" ht="15" customHeight="1" s="109">
      <c r="A30" s="158" t="n">
        <v>10</v>
      </c>
      <c r="B30" s="159">
        <f>EDATE($C$5,A30-1)</f>
        <v/>
      </c>
      <c r="C30" s="160">
        <f>$C$9*A30</f>
        <v/>
      </c>
      <c r="D30" s="161">
        <f>Labor!H38</f>
        <v/>
      </c>
      <c r="E30" s="161">
        <f>IF(D30="","",ODCs!C36)</f>
        <v/>
      </c>
      <c r="F30" s="161">
        <f>IF(D30="","",'M&amp;E'!C36)</f>
        <v/>
      </c>
      <c r="G30" s="161">
        <f>IF(D30="","",Travel!C36)</f>
        <v/>
      </c>
      <c r="H30" s="160">
        <f>IF(D30="","",D30+E30+F30+G30)</f>
        <v/>
      </c>
      <c r="I30" s="161">
        <f>IF(H30="","",H30*Rates!$B$8)</f>
        <v/>
      </c>
      <c r="J30" s="160">
        <f>IF(H30="","",H30+I30)</f>
        <v/>
      </c>
      <c r="K30" s="161">
        <f>IF(H30="","",(D30+IFERROR(D30/H30*I30,0))*Rates!$C$18+(G30+IFERROR(G30/H30*I30,0))*Rates!$C$19+(E30+IFERROR(E30/H30*I30,0))*Rates!$C$20+(F30+IFERROR(F30/H30*I30,0))*Rates!$C$21)</f>
        <v/>
      </c>
      <c r="L30" s="160">
        <f>IF(J30="","",J30+K30)</f>
        <v/>
      </c>
      <c r="M30" s="160">
        <f>IF(SUM($L$21:L30)=0,"",SUM($L$21:L30))</f>
        <v/>
      </c>
      <c r="N30" s="162">
        <f>IF(OR(M30="",C30=""),"",M30-C30)</f>
        <v/>
      </c>
      <c r="O30" s="163">
        <f>IF(OR(M30="",C30="",C30=0),"",N30/C30)</f>
        <v/>
      </c>
      <c r="P30" s="160">
        <f>IF(M30="","",$C$8-M30)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IF(H31="","",H31*Rates!$B$8)</f>
        <v/>
      </c>
      <c r="J31" s="154">
        <f>IF(H31="","",H31+I31)</f>
        <v/>
      </c>
      <c r="K31" s="155">
        <f>IF(H31="","",(D31+IFERROR(D31/H31*I31,0))*Rates!$C$18+(G31+IFERROR(G31/H31*I31,0))*Rates!$C$19+(E31+IFERROR(E31/H31*I31,0))*Rates!$C$20+(F31+IFERROR(F31/H31*I31,0))*Rates!$C$21)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</row>
    <row r="32" ht="15" customHeight="1" s="109">
      <c r="A32" s="158" t="n">
        <v>12</v>
      </c>
      <c r="B32" s="159">
        <f>EDATE($C$5,A32-1)</f>
        <v/>
      </c>
      <c r="C32" s="160">
        <f>$C$9*A32</f>
        <v/>
      </c>
      <c r="D32" s="161">
        <f>Labor!H40</f>
        <v/>
      </c>
      <c r="E32" s="161">
        <f>IF(D32="","",ODCs!C38)</f>
        <v/>
      </c>
      <c r="F32" s="161">
        <f>IF(D32="","",'M&amp;E'!C38)</f>
        <v/>
      </c>
      <c r="G32" s="161">
        <f>IF(D32="","",Travel!C38)</f>
        <v/>
      </c>
      <c r="H32" s="160">
        <f>IF(D32="","",D32+E32+F32+G32)</f>
        <v/>
      </c>
      <c r="I32" s="161">
        <f>IF(H32="","",H32*Rates!$B$8)</f>
        <v/>
      </c>
      <c r="J32" s="160">
        <f>IF(H32="","",H32+I32)</f>
        <v/>
      </c>
      <c r="K32" s="161">
        <f>IF(H32="","",(D32+IFERROR(D32/H32*I32,0))*Rates!$C$18+(G32+IFERROR(G32/H32*I32,0))*Rates!$C$19+(E32+IFERROR(E32/H32*I32,0))*Rates!$C$20+(F32+IFERROR(F32/H32*I32,0))*Rates!$C$21)</f>
        <v/>
      </c>
      <c r="L32" s="160">
        <f>IF(J32="","",J32+K32)</f>
        <v/>
      </c>
      <c r="M32" s="160">
        <f>IF(SUM($L$21:L32)=0,"",SUM($L$21:L32))</f>
        <v/>
      </c>
      <c r="N32" s="162">
        <f>IF(OR(M32="",C32=""),"",M32-C32)</f>
        <v/>
      </c>
      <c r="O32" s="163">
        <f>IF(OR(M32="",C32="",C32=0),"",N32/C32)</f>
        <v/>
      </c>
      <c r="P32" s="160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2" customWidth="1" style="108" min="12" max="15"/>
    <col width="2" customWidth="1" style="109" min="13" max="13"/>
    <col width="2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4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51" t="n"/>
      <c r="M4" s="151" t="n"/>
      <c r="N4" s="151" t="n"/>
      <c r="O4" s="151" t="n"/>
      <c r="P4" s="151" t="n"/>
    </row>
    <row r="5" ht="15" customHeight="1" s="109">
      <c r="A5" s="165" t="n">
        <v>123456</v>
      </c>
      <c r="B5" s="165" t="inlineStr">
        <is>
          <t>John Smith</t>
        </is>
      </c>
      <c r="C5" s="165" t="inlineStr">
        <is>
          <t>Engineer 4</t>
        </is>
      </c>
      <c r="D5" s="165" t="inlineStr">
        <is>
          <t>Exempt</t>
        </is>
      </c>
      <c r="E5" s="166" t="n">
        <v>150000</v>
      </c>
      <c r="F5" s="167" t="n"/>
      <c r="G5" s="165" t="n">
        <v>2080</v>
      </c>
      <c r="H5" s="168">
        <f>IF(A5="","",IF(D5="Exempt",IF(G5=0,"",E5/G5),F5))</f>
        <v/>
      </c>
      <c r="I5" s="152">
        <f>IF(A5="","",IF(D5="Non-Exempt",H5*1.5,"N/A"))</f>
        <v/>
      </c>
      <c r="J5" s="169" t="n">
        <v>46213</v>
      </c>
      <c r="K5" s="169" t="n"/>
      <c r="L5" s="165" t="n"/>
      <c r="M5" s="165" t="n"/>
      <c r="N5" s="170" t="n"/>
      <c r="O5" s="171" t="n"/>
      <c r="P5" s="170" t="n"/>
    </row>
    <row r="6" ht="15" customHeight="1" s="109">
      <c r="A6" s="172" t="n">
        <v>123457</v>
      </c>
      <c r="B6" s="172" t="inlineStr">
        <is>
          <t>Maria Alvarez</t>
        </is>
      </c>
      <c r="C6" s="172" t="inlineStr">
        <is>
          <t>Program Manager</t>
        </is>
      </c>
      <c r="D6" s="172" t="inlineStr">
        <is>
          <t>Exempt</t>
        </is>
      </c>
      <c r="E6" s="173" t="n">
        <v>165000</v>
      </c>
      <c r="F6" s="174" t="n"/>
      <c r="G6" s="172" t="n">
        <v>2080</v>
      </c>
      <c r="H6" s="175">
        <f>IF(A6="","",IF(D6="Exempt",IF(G6=0,"",E6/G6),F6))</f>
        <v/>
      </c>
      <c r="I6" s="158">
        <f>IF(A6="","",IF(D6="Non-Exempt",H6*1.5,"N/A"))</f>
        <v/>
      </c>
      <c r="J6" s="176" t="n">
        <v>46023</v>
      </c>
      <c r="K6" s="176" t="n"/>
      <c r="L6" s="172" t="n"/>
      <c r="M6" s="172" t="n"/>
      <c r="N6" s="177" t="n"/>
      <c r="O6" s="178" t="n"/>
      <c r="P6" s="177" t="n"/>
    </row>
    <row r="7" ht="15" customHeight="1" s="109">
      <c r="A7" s="165" t="n">
        <v>123458</v>
      </c>
      <c r="B7" s="165" t="inlineStr">
        <is>
          <t>Dave Chen</t>
        </is>
      </c>
      <c r="C7" s="165" t="inlineStr">
        <is>
          <t>Admin Support</t>
        </is>
      </c>
      <c r="D7" s="165" t="inlineStr">
        <is>
          <t>Non-Exempt</t>
        </is>
      </c>
      <c r="E7" s="166" t="n"/>
      <c r="F7" s="167" t="n">
        <v>28.5</v>
      </c>
      <c r="G7" s="165" t="n">
        <v>2080</v>
      </c>
      <c r="H7" s="168">
        <f>IF(A7="","",IF(D7="Exempt",IF(G7=0,"",E7/G7),F7))</f>
        <v/>
      </c>
      <c r="I7" s="168">
        <f>IF(A7="","",IF(D7="Non-Exempt",H7*1.5,"N/A"))</f>
        <v/>
      </c>
      <c r="J7" s="169" t="n">
        <v>46023</v>
      </c>
      <c r="K7" s="169" t="n"/>
      <c r="L7" s="165" t="n"/>
      <c r="M7" s="165" t="n"/>
      <c r="N7" s="170" t="n"/>
      <c r="O7" s="171" t="n"/>
      <c r="P7" s="170" t="n"/>
    </row>
    <row r="8" ht="15" customHeight="1" s="109">
      <c r="A8" s="172" t="n"/>
      <c r="B8" s="172" t="n"/>
      <c r="C8" s="172" t="n"/>
      <c r="D8" s="172" t="n"/>
      <c r="E8" s="173" t="n"/>
      <c r="F8" s="174" t="n"/>
      <c r="G8" s="172" t="n">
        <v>2080</v>
      </c>
      <c r="H8" s="175">
        <f>IF(A8="","",IF(D8="Exempt",IF(G8=0,"",E8/G8),F8))</f>
        <v/>
      </c>
      <c r="I8" s="158">
        <f>IF(A8="","",IF(D8="Non-Exempt",H8*1.5,"N/A"))</f>
        <v/>
      </c>
      <c r="J8" s="176" t="n"/>
      <c r="K8" s="176" t="n"/>
      <c r="L8" s="172" t="n"/>
      <c r="M8" s="172" t="n"/>
      <c r="N8" s="177" t="n"/>
      <c r="O8" s="178" t="n"/>
      <c r="P8" s="177" t="n"/>
    </row>
    <row r="9" ht="15" customHeight="1" s="109">
      <c r="A9" s="165" t="n"/>
      <c r="B9" s="165" t="n"/>
      <c r="C9" s="165" t="n"/>
      <c r="D9" s="165" t="n"/>
      <c r="E9" s="166" t="n"/>
      <c r="F9" s="167" t="n"/>
      <c r="G9" s="165" t="n">
        <v>2080</v>
      </c>
      <c r="H9" s="168">
        <f>IF(A9="","",IF(D9="Exempt",IF(G9=0,"",E9/G9),F9))</f>
        <v/>
      </c>
      <c r="I9" s="152">
        <f>IF(A9="","",IF(D9="Non-Exempt",H9*1.5,"N/A"))</f>
        <v/>
      </c>
      <c r="J9" s="169" t="n"/>
      <c r="K9" s="169" t="n"/>
      <c r="L9" s="165" t="n"/>
      <c r="M9" s="165" t="n"/>
      <c r="N9" s="170" t="n"/>
      <c r="O9" s="171" t="n"/>
      <c r="P9" s="170" t="n"/>
    </row>
    <row r="10" ht="15" customHeight="1" s="109">
      <c r="A10" s="172" t="n"/>
      <c r="B10" s="172" t="n"/>
      <c r="C10" s="172" t="n"/>
      <c r="D10" s="172" t="n"/>
      <c r="E10" s="173" t="n"/>
      <c r="F10" s="174" t="n"/>
      <c r="G10" s="172" t="n">
        <v>2080</v>
      </c>
      <c r="H10" s="175">
        <f>IF(A10="","",IF(D10="Exempt",IF(G10=0,"",E10/G10),F10))</f>
        <v/>
      </c>
      <c r="I10" s="158">
        <f>IF(A10="","",IF(D10="Non-Exempt",H10*1.5,"N/A"))</f>
        <v/>
      </c>
      <c r="J10" s="176" t="n"/>
      <c r="K10" s="176" t="n"/>
      <c r="L10" s="172" t="n"/>
      <c r="M10" s="172" t="n"/>
      <c r="N10" s="177" t="n"/>
      <c r="O10" s="178" t="n"/>
      <c r="P10" s="177" t="n"/>
    </row>
    <row r="11" ht="15" customHeight="1" s="109">
      <c r="A11" s="165" t="n"/>
      <c r="B11" s="165" t="n"/>
      <c r="C11" s="165" t="n"/>
      <c r="D11" s="165" t="n"/>
      <c r="E11" s="166" t="n"/>
      <c r="F11" s="167" t="n"/>
      <c r="G11" s="165" t="n">
        <v>2080</v>
      </c>
      <c r="H11" s="168">
        <f>IF(A11="","",IF(D11="Exempt",IF(G11=0,"",E11/G11),F11))</f>
        <v/>
      </c>
      <c r="I11" s="152">
        <f>IF(A11="","",IF(D11="Non-Exempt",H11*1.5,"N/A"))</f>
        <v/>
      </c>
      <c r="J11" s="169" t="n"/>
      <c r="K11" s="169" t="n"/>
      <c r="L11" s="165" t="n"/>
      <c r="M11" s="165" t="n"/>
      <c r="N11" s="170" t="n"/>
      <c r="O11" s="171" t="n"/>
      <c r="P11" s="170" t="n"/>
    </row>
    <row r="12" ht="15" customHeight="1" s="109">
      <c r="A12" s="172" t="n"/>
      <c r="B12" s="172" t="n"/>
      <c r="C12" s="172" t="n"/>
      <c r="D12" s="172" t="n"/>
      <c r="E12" s="173" t="n"/>
      <c r="F12" s="174" t="n"/>
      <c r="G12" s="172" t="n">
        <v>2080</v>
      </c>
      <c r="H12" s="175">
        <f>IF(A12="","",IF(D12="Exempt",IF(G12=0,"",E12/G12),F12))</f>
        <v/>
      </c>
      <c r="I12" s="158">
        <f>IF(A12="","",IF(D12="Non-Exempt",H12*1.5,"N/A"))</f>
        <v/>
      </c>
      <c r="J12" s="176" t="n"/>
      <c r="K12" s="176" t="n"/>
      <c r="L12" s="172" t="n"/>
      <c r="M12" s="172" t="n"/>
      <c r="N12" s="177" t="n"/>
      <c r="O12" s="178" t="n"/>
      <c r="P12" s="177" t="n"/>
    </row>
    <row r="13" ht="15" customHeight="1" s="109">
      <c r="A13" s="165" t="n"/>
      <c r="B13" s="165" t="n"/>
      <c r="C13" s="165" t="n"/>
      <c r="D13" s="165" t="n"/>
      <c r="E13" s="166" t="n"/>
      <c r="F13" s="167" t="n"/>
      <c r="G13" s="165" t="n">
        <v>2080</v>
      </c>
      <c r="H13" s="168">
        <f>IF(A13="","",IF(D13="Exempt",IF(G13=0,"",E13/G13),F13))</f>
        <v/>
      </c>
      <c r="I13" s="152">
        <f>IF(A13="","",IF(D13="Non-Exempt",H13*1.5,"N/A"))</f>
        <v/>
      </c>
      <c r="J13" s="169" t="n"/>
      <c r="K13" s="169" t="n"/>
      <c r="L13" s="165" t="n"/>
      <c r="M13" s="165" t="n"/>
      <c r="N13" s="170" t="n"/>
      <c r="O13" s="171" t="n"/>
      <c r="P13" s="170" t="n"/>
    </row>
    <row r="14" ht="15" customHeight="1" s="109">
      <c r="A14" s="172" t="n"/>
      <c r="B14" s="172" t="n"/>
      <c r="C14" s="172" t="n"/>
      <c r="D14" s="172" t="n"/>
      <c r="E14" s="173" t="n"/>
      <c r="F14" s="174" t="n"/>
      <c r="G14" s="172" t="n">
        <v>2080</v>
      </c>
      <c r="H14" s="175">
        <f>IF(A14="","",IF(D14="Exempt",IF(G14=0,"",E14/G14),F14))</f>
        <v/>
      </c>
      <c r="I14" s="158">
        <f>IF(A14="","",IF(D14="Non-Exempt",H14*1.5,"N/A"))</f>
        <v/>
      </c>
      <c r="J14" s="176" t="n"/>
      <c r="K14" s="176" t="n"/>
      <c r="L14" s="172" t="n"/>
      <c r="M14" s="172" t="n"/>
      <c r="N14" s="177" t="n"/>
      <c r="O14" s="178" t="n"/>
      <c r="P14" s="177" t="n"/>
    </row>
    <row r="15" ht="15" customHeight="1" s="109">
      <c r="A15" s="165" t="n"/>
      <c r="B15" s="165" t="n"/>
      <c r="C15" s="165" t="n"/>
      <c r="D15" s="165" t="n"/>
      <c r="E15" s="166" t="n"/>
      <c r="F15" s="167" t="n"/>
      <c r="G15" s="165" t="n">
        <v>2080</v>
      </c>
      <c r="H15" s="168">
        <f>IF(A15="","",IF(D15="Exempt",IF(G15=0,"",E15/G15),F15))</f>
        <v/>
      </c>
      <c r="I15" s="152">
        <f>IF(A15="","",IF(D15="Non-Exempt",H15*1.5,"N/A"))</f>
        <v/>
      </c>
      <c r="J15" s="169" t="n"/>
      <c r="K15" s="169" t="n"/>
      <c r="L15" s="165" t="n"/>
      <c r="M15" s="165" t="n"/>
      <c r="N15" s="170" t="n"/>
      <c r="O15" s="171" t="n"/>
      <c r="P15" s="170" t="n"/>
    </row>
    <row r="16" ht="15" customHeight="1" s="109">
      <c r="A16" s="172" t="n"/>
      <c r="B16" s="172" t="n"/>
      <c r="C16" s="172" t="n"/>
      <c r="D16" s="172" t="n"/>
      <c r="E16" s="173" t="n"/>
      <c r="F16" s="174" t="n"/>
      <c r="G16" s="172" t="n">
        <v>2080</v>
      </c>
      <c r="H16" s="175">
        <f>IF(A16="","",IF(D16="Exempt",IF(G16=0,"",E16/G16),F16))</f>
        <v/>
      </c>
      <c r="I16" s="158">
        <f>IF(A16="","",IF(D16="Non-Exempt",H16*1.5,"N/A"))</f>
        <v/>
      </c>
      <c r="J16" s="176" t="n"/>
      <c r="K16" s="176" t="n"/>
      <c r="L16" s="172" t="n"/>
      <c r="M16" s="172" t="n"/>
      <c r="N16" s="177" t="n"/>
      <c r="O16" s="178" t="n"/>
      <c r="P16" s="177" t="n"/>
    </row>
    <row r="17" ht="15" customHeight="1" s="109">
      <c r="A17" s="165" t="n"/>
      <c r="B17" s="165" t="n"/>
      <c r="C17" s="165" t="n"/>
      <c r="D17" s="165" t="n"/>
      <c r="E17" s="166" t="n"/>
      <c r="F17" s="167" t="n"/>
      <c r="G17" s="165" t="n">
        <v>2080</v>
      </c>
      <c r="H17" s="168">
        <f>IF(A17="","",IF(D17="Exempt",IF(G17=0,"",E17/G17),F17))</f>
        <v/>
      </c>
      <c r="I17" s="152">
        <f>IF(A17="","",IF(D17="Non-Exempt",H17*1.5,"N/A"))</f>
        <v/>
      </c>
      <c r="J17" s="169" t="n"/>
      <c r="K17" s="169" t="n"/>
      <c r="L17" s="165" t="n"/>
      <c r="M17" s="165" t="n"/>
      <c r="N17" s="170" t="n"/>
      <c r="O17" s="171" t="n"/>
      <c r="P17" s="170" t="n"/>
    </row>
    <row r="18" ht="15" customHeight="1" s="109">
      <c r="A18" s="172" t="n"/>
      <c r="B18" s="172" t="n"/>
      <c r="C18" s="172" t="n"/>
      <c r="D18" s="172" t="n"/>
      <c r="E18" s="173" t="n"/>
      <c r="F18" s="174" t="n"/>
      <c r="G18" s="172" t="n">
        <v>2080</v>
      </c>
      <c r="H18" s="175">
        <f>IF(A18="","",IF(D18="Exempt",IF(G18=0,"",E18/G18),F18))</f>
        <v/>
      </c>
      <c r="I18" s="158">
        <f>IF(A18="","",IF(D18="Non-Exempt",H18*1.5,"N/A"))</f>
        <v/>
      </c>
      <c r="J18" s="176" t="n"/>
      <c r="K18" s="176" t="n"/>
      <c r="L18" s="172" t="n"/>
      <c r="M18" s="172" t="n"/>
      <c r="N18" s="177" t="n"/>
      <c r="O18" s="178" t="n"/>
      <c r="P18" s="177" t="n"/>
    </row>
    <row r="19" ht="15" customHeight="1" s="109">
      <c r="A19" s="165" t="n"/>
      <c r="B19" s="165" t="n"/>
      <c r="C19" s="165" t="n"/>
      <c r="D19" s="165" t="n"/>
      <c r="E19" s="166" t="n"/>
      <c r="F19" s="167" t="n"/>
      <c r="G19" s="165" t="n">
        <v>2080</v>
      </c>
      <c r="H19" s="168">
        <f>IF(A19="","",IF(D19="Exempt",IF(G19=0,"",E19/G19),F19))</f>
        <v/>
      </c>
      <c r="I19" s="152">
        <f>IF(A19="","",IF(D19="Non-Exempt",H19*1.5,"N/A"))</f>
        <v/>
      </c>
      <c r="J19" s="169" t="n"/>
      <c r="K19" s="169" t="n"/>
      <c r="L19" s="165" t="n"/>
      <c r="M19" s="165" t="n"/>
      <c r="N19" s="170" t="n"/>
      <c r="O19" s="171" t="n"/>
      <c r="P19" s="170" t="n"/>
    </row>
    <row r="20"/>
    <row r="21" ht="15" customHeight="1" s="109">
      <c r="A21" s="111" t="inlineStr">
        <is>
          <t>Acqlerate  ·  DoD Acquisition Training  ·  acqlerate.com</t>
        </is>
      </c>
    </row>
  </sheetData>
  <dataValidations count="1">
    <dataValidation sqref="D5:D19" showDropDown="0" showInputMessage="0" showErrorMessage="0" allowBlank="1" type="list" errorStyle="stop" operator="between">
      <formula1>"Exempt,Non-Exempt"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79" t="inlineStr">
        <is>
          <t>Jan</t>
        </is>
      </c>
      <c r="E4" s="180" t="n"/>
      <c r="F4" s="179" t="inlineStr">
        <is>
          <t>Feb</t>
        </is>
      </c>
      <c r="G4" s="180" t="n"/>
      <c r="H4" s="179" t="inlineStr">
        <is>
          <t>Mar</t>
        </is>
      </c>
      <c r="I4" s="180" t="n"/>
      <c r="J4" s="179" t="inlineStr">
        <is>
          <t>Apr</t>
        </is>
      </c>
      <c r="K4" s="180" t="n"/>
      <c r="L4" s="179" t="inlineStr">
        <is>
          <t>May</t>
        </is>
      </c>
      <c r="M4" s="180" t="n"/>
      <c r="N4" s="179" t="inlineStr">
        <is>
          <t>Jun</t>
        </is>
      </c>
      <c r="O4" s="180" t="n"/>
      <c r="P4" s="179" t="inlineStr">
        <is>
          <t>Jul</t>
        </is>
      </c>
      <c r="Q4" s="180" t="n"/>
      <c r="R4" s="179" t="inlineStr">
        <is>
          <t>Aug</t>
        </is>
      </c>
      <c r="S4" s="180" t="n"/>
      <c r="T4" s="179" t="inlineStr">
        <is>
          <t>Sep</t>
        </is>
      </c>
      <c r="U4" s="180" t="n"/>
      <c r="V4" s="179" t="inlineStr">
        <is>
          <t>Oct</t>
        </is>
      </c>
      <c r="W4" s="180" t="n"/>
      <c r="X4" s="179" t="inlineStr">
        <is>
          <t>Nov</t>
        </is>
      </c>
      <c r="Y4" s="180" t="n"/>
      <c r="Z4" s="179" t="inlineStr">
        <is>
          <t>Dec</t>
        </is>
      </c>
      <c r="AA4" s="180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1" t="n"/>
      <c r="B5" s="181" t="n"/>
      <c r="C5" s="181" t="n"/>
      <c r="D5" s="137" t="inlineStr">
        <is>
          <t>Planned
Hrs</t>
        </is>
      </c>
      <c r="E5" s="182" t="inlineStr">
        <is>
          <t>Actual
Hrs</t>
        </is>
      </c>
      <c r="F5" s="137" t="inlineStr">
        <is>
          <t>Planned
Hrs</t>
        </is>
      </c>
      <c r="G5" s="182" t="inlineStr">
        <is>
          <t>Actual
Hrs</t>
        </is>
      </c>
      <c r="H5" s="137" t="inlineStr">
        <is>
          <t>Planned
Hrs</t>
        </is>
      </c>
      <c r="I5" s="182" t="inlineStr">
        <is>
          <t>Actual
Hrs</t>
        </is>
      </c>
      <c r="J5" s="137" t="inlineStr">
        <is>
          <t>Planned
Hrs</t>
        </is>
      </c>
      <c r="K5" s="182" t="inlineStr">
        <is>
          <t>Actual
Hrs</t>
        </is>
      </c>
      <c r="L5" s="137" t="inlineStr">
        <is>
          <t>Planned
Hrs</t>
        </is>
      </c>
      <c r="M5" s="182" t="inlineStr">
        <is>
          <t>Actual
Hrs</t>
        </is>
      </c>
      <c r="N5" s="137" t="inlineStr">
        <is>
          <t>Planned
Hrs</t>
        </is>
      </c>
      <c r="O5" s="182" t="inlineStr">
        <is>
          <t>Actual
Hrs</t>
        </is>
      </c>
      <c r="P5" s="137" t="inlineStr">
        <is>
          <t>Planned
Hrs</t>
        </is>
      </c>
      <c r="Q5" s="182" t="inlineStr">
        <is>
          <t>Actual
Hrs</t>
        </is>
      </c>
      <c r="R5" s="137" t="inlineStr">
        <is>
          <t>Planned
Hrs</t>
        </is>
      </c>
      <c r="S5" s="182" t="inlineStr">
        <is>
          <t>Actual
Hrs</t>
        </is>
      </c>
      <c r="T5" s="137" t="inlineStr">
        <is>
          <t>Planned
Hrs</t>
        </is>
      </c>
      <c r="U5" s="182" t="inlineStr">
        <is>
          <t>Actual
Hrs</t>
        </is>
      </c>
      <c r="V5" s="137" t="inlineStr">
        <is>
          <t>Planned
Hrs</t>
        </is>
      </c>
      <c r="W5" s="182" t="inlineStr">
        <is>
          <t>Actual
Hrs</t>
        </is>
      </c>
      <c r="X5" s="137" t="inlineStr">
        <is>
          <t>Planned
Hrs</t>
        </is>
      </c>
      <c r="Y5" s="182" t="inlineStr">
        <is>
          <t>Actual
Hrs</t>
        </is>
      </c>
      <c r="Z5" s="137" t="inlineStr">
        <is>
          <t>Planned
Hrs</t>
        </is>
      </c>
      <c r="AA5" s="182" t="inlineStr">
        <is>
          <t>Actual
Hrs</t>
        </is>
      </c>
      <c r="AB5" s="181" t="n"/>
      <c r="AC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4" t="n"/>
      <c r="E6" s="185" t="n"/>
      <c r="F6" s="184" t="n"/>
      <c r="G6" s="185" t="n"/>
      <c r="H6" s="184" t="n"/>
      <c r="I6" s="185" t="n"/>
      <c r="J6" s="184" t="n"/>
      <c r="K6" s="185" t="n"/>
      <c r="L6" s="184" t="n"/>
      <c r="M6" s="185" t="n"/>
      <c r="N6" s="184" t="n"/>
      <c r="O6" s="185" t="n"/>
      <c r="P6" s="184" t="n"/>
      <c r="Q6" s="185" t="n"/>
      <c r="R6" s="184" t="n">
        <v>40</v>
      </c>
      <c r="S6" s="185" t="n"/>
      <c r="T6" s="184" t="n"/>
      <c r="U6" s="185" t="n"/>
      <c r="V6" s="184" t="n"/>
      <c r="W6" s="185" t="n"/>
      <c r="X6" s="184" t="n"/>
      <c r="Y6" s="185" t="n"/>
      <c r="Z6" s="184" t="n"/>
      <c r="AA6" s="185" t="n"/>
      <c r="AB6" s="186">
        <f>IF(A6="","",SUM(D6,F6,H6,J6,L6,N6,P6,R6,T6,V6,X6,Z6))</f>
        <v/>
      </c>
      <c r="AC6" s="186">
        <f>IF(A6="","",SUM(E6,G6,I6,K6,M6,O6,Q6,S6,U6,W6,Y6,AA6))</f>
        <v/>
      </c>
    </row>
    <row r="7" ht="15" customHeight="1" s="109">
      <c r="A7" s="128" t="n">
        <v>123457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4" t="n"/>
      <c r="E7" s="185" t="n"/>
      <c r="F7" s="184" t="n"/>
      <c r="G7" s="185" t="n"/>
      <c r="H7" s="184" t="n"/>
      <c r="I7" s="185" t="n">
        <v>16</v>
      </c>
      <c r="J7" s="184" t="n"/>
      <c r="K7" s="185" t="n"/>
      <c r="L7" s="184" t="n"/>
      <c r="M7" s="185" t="n"/>
      <c r="N7" s="184" t="n"/>
      <c r="O7" s="185" t="n"/>
      <c r="P7" s="184" t="n"/>
      <c r="Q7" s="185" t="n"/>
      <c r="R7" s="184" t="n"/>
      <c r="S7" s="185" t="n"/>
      <c r="T7" s="184" t="n"/>
      <c r="U7" s="185" t="n"/>
      <c r="V7" s="184" t="n"/>
      <c r="W7" s="185" t="n"/>
      <c r="X7" s="184" t="n"/>
      <c r="Y7" s="185" t="n"/>
      <c r="Z7" s="184" t="n"/>
      <c r="AA7" s="185" t="n"/>
      <c r="AB7" s="186">
        <f>IF(A7="","",SUM(D7,F7,H7,J7,L7,N7,P7,R7,T7,V7,X7,Z7))</f>
        <v/>
      </c>
      <c r="AC7" s="186">
        <f>IF(A7="","",SUM(E7,G7,I7,K7,M7,O7,Q7,S7,U7,W7,Y7,AA7))</f>
        <v/>
      </c>
    </row>
    <row r="8" ht="15" customHeight="1" s="109">
      <c r="A8" s="128" t="n">
        <v>123458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4" t="n"/>
      <c r="E8" s="185" t="n"/>
      <c r="F8" s="184" t="n"/>
      <c r="G8" s="185" t="n"/>
      <c r="H8" s="184" t="n"/>
      <c r="I8" s="185" t="n"/>
      <c r="J8" s="184" t="n"/>
      <c r="K8" s="185" t="n"/>
      <c r="L8" s="184" t="n"/>
      <c r="M8" s="185" t="n"/>
      <c r="N8" s="184" t="n"/>
      <c r="O8" s="185" t="n"/>
      <c r="P8" s="184" t="n"/>
      <c r="Q8" s="185" t="n"/>
      <c r="R8" s="184" t="n"/>
      <c r="S8" s="185" t="n"/>
      <c r="T8" s="184" t="n"/>
      <c r="U8" s="185" t="n"/>
      <c r="V8" s="184" t="n"/>
      <c r="W8" s="185" t="n"/>
      <c r="X8" s="184" t="n"/>
      <c r="Y8" s="185" t="n"/>
      <c r="Z8" s="184" t="n"/>
      <c r="AA8" s="185" t="n"/>
      <c r="AB8" s="186">
        <f>IF(A8="","",SUM(D8,F8,H8,J8,L8,N8,P8,R8,T8,V8,X8,Z8))</f>
        <v/>
      </c>
      <c r="AC8" s="186">
        <f>IF(A8="","",SUM(E8,G8,I8,K8,M8,O8,Q8,S8,U8,W8,Y8,AA8))</f>
        <v/>
      </c>
    </row>
    <row r="9" ht="15" customHeight="1" s="109">
      <c r="A9" s="128" t="n"/>
      <c r="B9" s="183" t="n"/>
      <c r="C9" s="183" t="n"/>
      <c r="D9" s="184" t="n"/>
      <c r="E9" s="185" t="n"/>
      <c r="F9" s="184" t="n"/>
      <c r="G9" s="185" t="n"/>
      <c r="H9" s="184" t="n"/>
      <c r="I9" s="185" t="n"/>
      <c r="J9" s="184" t="n"/>
      <c r="K9" s="185" t="n"/>
      <c r="L9" s="184" t="n"/>
      <c r="M9" s="185" t="n"/>
      <c r="N9" s="184" t="n"/>
      <c r="O9" s="185" t="n"/>
      <c r="P9" s="184" t="n"/>
      <c r="Q9" s="185" t="n"/>
      <c r="R9" s="184" t="n"/>
      <c r="S9" s="185" t="n"/>
      <c r="T9" s="184" t="n"/>
      <c r="U9" s="185" t="n"/>
      <c r="V9" s="184" t="n"/>
      <c r="W9" s="185" t="n"/>
      <c r="X9" s="184" t="n"/>
      <c r="Y9" s="185" t="n"/>
      <c r="Z9" s="184" t="n"/>
      <c r="AA9" s="185" t="n"/>
      <c r="AB9" s="186">
        <f>IF(A9="","",SUM(D9,F9,H9,J9,L9,N9,P9,R9,T9,V9,X9,Z9))</f>
        <v/>
      </c>
      <c r="AC9" s="186">
        <f>IF(A9="","",SUM(E9,G9,I9,K9,M9,O9,Q9,S9,U9,W9,Y9,AA9))</f>
        <v/>
      </c>
    </row>
    <row r="10" ht="15" customHeight="1" s="109">
      <c r="A10" s="128" t="n"/>
      <c r="B10" s="183" t="n"/>
      <c r="C10" s="183" t="n"/>
      <c r="D10" s="184" t="n"/>
      <c r="E10" s="185" t="n"/>
      <c r="F10" s="184" t="n"/>
      <c r="G10" s="185" t="n"/>
      <c r="H10" s="184" t="n"/>
      <c r="I10" s="185" t="n"/>
      <c r="J10" s="184" t="n"/>
      <c r="K10" s="185" t="n"/>
      <c r="L10" s="184" t="n"/>
      <c r="M10" s="185" t="n"/>
      <c r="N10" s="184" t="n"/>
      <c r="O10" s="185" t="n"/>
      <c r="P10" s="184" t="n"/>
      <c r="Q10" s="185" t="n"/>
      <c r="R10" s="184" t="n"/>
      <c r="S10" s="185" t="n"/>
      <c r="T10" s="184" t="n"/>
      <c r="U10" s="185" t="n"/>
      <c r="V10" s="184" t="n"/>
      <c r="W10" s="185" t="n"/>
      <c r="X10" s="184" t="n"/>
      <c r="Y10" s="185" t="n"/>
      <c r="Z10" s="184" t="n"/>
      <c r="AA10" s="185" t="n"/>
      <c r="AB10" s="186">
        <f>IF(A10="","",SUM(D10,F10,H10,J10,L10,N10,P10,R10,T10,V10,X10,Z10))</f>
        <v/>
      </c>
      <c r="AC10" s="186">
        <f>IF(A10="","",SUM(E10,G10,I10,K10,M10,O10,Q10,S10,U10,W10,Y10,AA10))</f>
        <v/>
      </c>
    </row>
    <row r="11" ht="15" customHeight="1" s="109">
      <c r="A11" s="128" t="n"/>
      <c r="B11" s="183" t="n"/>
      <c r="C11" s="183" t="n"/>
      <c r="D11" s="184" t="n"/>
      <c r="E11" s="185" t="n"/>
      <c r="F11" s="184" t="n"/>
      <c r="G11" s="185" t="n"/>
      <c r="H11" s="184" t="n"/>
      <c r="I11" s="185" t="n"/>
      <c r="J11" s="184" t="n"/>
      <c r="K11" s="185" t="n"/>
      <c r="L11" s="184" t="n"/>
      <c r="M11" s="185" t="n"/>
      <c r="N11" s="184" t="n"/>
      <c r="O11" s="185" t="n"/>
      <c r="P11" s="184" t="n"/>
      <c r="Q11" s="185" t="n"/>
      <c r="R11" s="184" t="n"/>
      <c r="S11" s="185" t="n"/>
      <c r="T11" s="184" t="n"/>
      <c r="U11" s="185" t="n"/>
      <c r="V11" s="184" t="n"/>
      <c r="W11" s="185" t="n"/>
      <c r="X11" s="184" t="n"/>
      <c r="Y11" s="185" t="n"/>
      <c r="Z11" s="184" t="n"/>
      <c r="AA11" s="185" t="n"/>
      <c r="AB11" s="186">
        <f>IF(A11="","",SUM(D11,F11,H11,J11,L11,N11,P11,R11,T11,V11,X11,Z11))</f>
        <v/>
      </c>
      <c r="AC11" s="186">
        <f>IF(A11="","",SUM(E11,G11,I11,K11,M11,O11,Q11,S11,U11,W11,Y11,AA11))</f>
        <v/>
      </c>
    </row>
    <row r="12" ht="15" customHeight="1" s="109">
      <c r="A12" s="128" t="n"/>
      <c r="B12" s="183" t="n"/>
      <c r="C12" s="183" t="n"/>
      <c r="D12" s="184" t="n"/>
      <c r="E12" s="185" t="n"/>
      <c r="F12" s="184" t="n"/>
      <c r="G12" s="185" t="n"/>
      <c r="H12" s="184" t="n"/>
      <c r="I12" s="185" t="n"/>
      <c r="J12" s="184" t="n"/>
      <c r="K12" s="185" t="n"/>
      <c r="L12" s="184" t="n"/>
      <c r="M12" s="185" t="n"/>
      <c r="N12" s="184" t="n"/>
      <c r="O12" s="185" t="n"/>
      <c r="P12" s="184" t="n"/>
      <c r="Q12" s="185" t="n"/>
      <c r="R12" s="184" t="n"/>
      <c r="S12" s="185" t="n"/>
      <c r="T12" s="184" t="n"/>
      <c r="U12" s="185" t="n"/>
      <c r="V12" s="184" t="n"/>
      <c r="W12" s="185" t="n"/>
      <c r="X12" s="184" t="n"/>
      <c r="Y12" s="185" t="n"/>
      <c r="Z12" s="184" t="n"/>
      <c r="AA12" s="185" t="n"/>
      <c r="AB12" s="186">
        <f>IF(A12="","",SUM(D12,F12,H12,J12,L12,N12,P12,R12,T12,V12,X12,Z12))</f>
        <v/>
      </c>
      <c r="AC12" s="186">
        <f>IF(A12="","",SUM(E12,G12,I12,K12,M12,O12,Q12,S12,U12,W12,Y12,AA12))</f>
        <v/>
      </c>
    </row>
    <row r="13" ht="15" customHeight="1" s="109">
      <c r="A13" s="128" t="n"/>
      <c r="B13" s="183" t="n"/>
      <c r="C13" s="183" t="n"/>
      <c r="D13" s="184" t="n"/>
      <c r="E13" s="185" t="n"/>
      <c r="F13" s="184" t="n"/>
      <c r="G13" s="185" t="n"/>
      <c r="H13" s="184" t="n"/>
      <c r="I13" s="185" t="n"/>
      <c r="J13" s="184" t="n"/>
      <c r="K13" s="185" t="n"/>
      <c r="L13" s="184" t="n"/>
      <c r="M13" s="185" t="n"/>
      <c r="N13" s="184" t="n"/>
      <c r="O13" s="185" t="n"/>
      <c r="P13" s="184" t="n"/>
      <c r="Q13" s="185" t="n"/>
      <c r="R13" s="184" t="n"/>
      <c r="S13" s="185" t="n"/>
      <c r="T13" s="184" t="n"/>
      <c r="U13" s="185" t="n"/>
      <c r="V13" s="184" t="n"/>
      <c r="W13" s="185" t="n"/>
      <c r="X13" s="184" t="n"/>
      <c r="Y13" s="185" t="n"/>
      <c r="Z13" s="184" t="n"/>
      <c r="AA13" s="185" t="n"/>
      <c r="AB13" s="186">
        <f>IF(A13="","",SUM(D13,F13,H13,J13,L13,N13,P13,R13,T13,V13,X13,Z13))</f>
        <v/>
      </c>
      <c r="AC13" s="186">
        <f>IF(A13="","",SUM(E13,G13,I13,K13,M13,O13,Q13,S13,U13,W13,Y13,AA13))</f>
        <v/>
      </c>
    </row>
    <row r="14" ht="15" customHeight="1" s="109">
      <c r="A14" s="128" t="n"/>
      <c r="B14" s="183" t="n"/>
      <c r="C14" s="183" t="n"/>
      <c r="D14" s="184" t="n"/>
      <c r="E14" s="185" t="n"/>
      <c r="F14" s="184" t="n"/>
      <c r="G14" s="185" t="n"/>
      <c r="H14" s="184" t="n"/>
      <c r="I14" s="185" t="n"/>
      <c r="J14" s="184" t="n"/>
      <c r="K14" s="185" t="n"/>
      <c r="L14" s="184" t="n"/>
      <c r="M14" s="185" t="n"/>
      <c r="N14" s="184" t="n"/>
      <c r="O14" s="185" t="n"/>
      <c r="P14" s="184" t="n"/>
      <c r="Q14" s="185" t="n"/>
      <c r="R14" s="184" t="n"/>
      <c r="S14" s="185" t="n"/>
      <c r="T14" s="184" t="n"/>
      <c r="U14" s="185" t="n"/>
      <c r="V14" s="184" t="n"/>
      <c r="W14" s="185" t="n"/>
      <c r="X14" s="184" t="n"/>
      <c r="Y14" s="185" t="n"/>
      <c r="Z14" s="184" t="n"/>
      <c r="AA14" s="185" t="n"/>
      <c r="AB14" s="186">
        <f>IF(A14="","",SUM(D14,F14,H14,J14,L14,N14,P14,R14,T14,V14,X14,Z14))</f>
        <v/>
      </c>
      <c r="AC14" s="186">
        <f>IF(A14="","",SUM(E14,G14,I14,K14,M14,O14,Q14,S14,U14,W14,Y14,AA14))</f>
        <v/>
      </c>
    </row>
    <row r="15" ht="15" customHeight="1" s="109">
      <c r="A15" s="128" t="n"/>
      <c r="B15" s="183" t="n"/>
      <c r="C15" s="183" t="n"/>
      <c r="D15" s="184" t="n"/>
      <c r="E15" s="185" t="n"/>
      <c r="F15" s="184" t="n"/>
      <c r="G15" s="185" t="n"/>
      <c r="H15" s="184" t="n"/>
      <c r="I15" s="185" t="n"/>
      <c r="J15" s="184" t="n"/>
      <c r="K15" s="185" t="n"/>
      <c r="L15" s="184" t="n"/>
      <c r="M15" s="185" t="n"/>
      <c r="N15" s="184" t="n"/>
      <c r="O15" s="185" t="n"/>
      <c r="P15" s="184" t="n"/>
      <c r="Q15" s="185" t="n"/>
      <c r="R15" s="184" t="n"/>
      <c r="S15" s="185" t="n"/>
      <c r="T15" s="184" t="n"/>
      <c r="U15" s="185" t="n"/>
      <c r="V15" s="184" t="n"/>
      <c r="W15" s="185" t="n"/>
      <c r="X15" s="184" t="n"/>
      <c r="Y15" s="185" t="n"/>
      <c r="Z15" s="184" t="n"/>
      <c r="AA15" s="185" t="n"/>
      <c r="AB15" s="186">
        <f>IF(A15="","",SUM(D15,F15,H15,J15,L15,N15,P15,R15,T15,V15,X15,Z15))</f>
        <v/>
      </c>
      <c r="AC15" s="186">
        <f>IF(A15="","",SUM(E15,G15,I15,K15,M15,O15,Q15,S15,U15,W15,Y15,AA15))</f>
        <v/>
      </c>
    </row>
    <row r="16" ht="15" customHeight="1" s="109">
      <c r="A16" s="128" t="n"/>
      <c r="B16" s="183" t="n"/>
      <c r="C16" s="183" t="n"/>
      <c r="D16" s="184" t="n"/>
      <c r="E16" s="185" t="n"/>
      <c r="F16" s="184" t="n"/>
      <c r="G16" s="185" t="n"/>
      <c r="H16" s="184" t="n"/>
      <c r="I16" s="185" t="n"/>
      <c r="J16" s="184" t="n"/>
      <c r="K16" s="185" t="n"/>
      <c r="L16" s="184" t="n"/>
      <c r="M16" s="185" t="n"/>
      <c r="N16" s="184" t="n"/>
      <c r="O16" s="185" t="n"/>
      <c r="P16" s="184" t="n"/>
      <c r="Q16" s="185" t="n"/>
      <c r="R16" s="184" t="n"/>
      <c r="S16" s="185" t="n"/>
      <c r="T16" s="184" t="n"/>
      <c r="U16" s="185" t="n"/>
      <c r="V16" s="184" t="n"/>
      <c r="W16" s="185" t="n"/>
      <c r="X16" s="184" t="n"/>
      <c r="Y16" s="185" t="n"/>
      <c r="Z16" s="184" t="n"/>
      <c r="AA16" s="185" t="n"/>
      <c r="AB16" s="186">
        <f>IF(A16="","",SUM(D16,F16,H16,J16,L16,N16,P16,R16,T16,V16,X16,Z16))</f>
        <v/>
      </c>
      <c r="AC16" s="186">
        <f>IF(A16="","",SUM(E16,G16,I16,K16,M16,O16,Q16,S16,U16,W16,Y16,AA16))</f>
        <v/>
      </c>
    </row>
    <row r="17" ht="15" customHeight="1" s="109">
      <c r="A17" s="128" t="n"/>
      <c r="B17" s="183" t="n"/>
      <c r="C17" s="183" t="n"/>
      <c r="D17" s="184" t="n"/>
      <c r="E17" s="185" t="n"/>
      <c r="F17" s="184" t="n"/>
      <c r="G17" s="185" t="n"/>
      <c r="H17" s="184" t="n"/>
      <c r="I17" s="185" t="n"/>
      <c r="J17" s="184" t="n"/>
      <c r="K17" s="185" t="n"/>
      <c r="L17" s="184" t="n"/>
      <c r="M17" s="185" t="n"/>
      <c r="N17" s="184" t="n"/>
      <c r="O17" s="185" t="n"/>
      <c r="P17" s="184" t="n"/>
      <c r="Q17" s="185" t="n"/>
      <c r="R17" s="184" t="n"/>
      <c r="S17" s="185" t="n"/>
      <c r="T17" s="184" t="n"/>
      <c r="U17" s="185" t="n"/>
      <c r="V17" s="184" t="n"/>
      <c r="W17" s="185" t="n"/>
      <c r="X17" s="184" t="n"/>
      <c r="Y17" s="185" t="n"/>
      <c r="Z17" s="184" t="n"/>
      <c r="AA17" s="185" t="n"/>
      <c r="AB17" s="186">
        <f>IF(A17="","",SUM(D17,F17,H17,J17,L17,N17,P17,R17,T17,V17,X17,Z17))</f>
        <v/>
      </c>
      <c r="AC17" s="186">
        <f>IF(A17="","",SUM(E17,G17,I17,K17,M17,O17,Q17,S17,U17,W17,Y17,AA17))</f>
        <v/>
      </c>
    </row>
    <row r="18" ht="15" customHeight="1" s="109">
      <c r="A18" s="128" t="n"/>
      <c r="B18" s="183" t="n"/>
      <c r="C18" s="183" t="n"/>
      <c r="D18" s="184" t="n"/>
      <c r="E18" s="185" t="n"/>
      <c r="F18" s="184" t="n"/>
      <c r="G18" s="185" t="n"/>
      <c r="H18" s="184" t="n"/>
      <c r="I18" s="185" t="n"/>
      <c r="J18" s="184" t="n"/>
      <c r="K18" s="185" t="n"/>
      <c r="L18" s="184" t="n"/>
      <c r="M18" s="185" t="n"/>
      <c r="N18" s="184" t="n"/>
      <c r="O18" s="185" t="n"/>
      <c r="P18" s="184" t="n"/>
      <c r="Q18" s="185" t="n"/>
      <c r="R18" s="184" t="n"/>
      <c r="S18" s="185" t="n"/>
      <c r="T18" s="184" t="n"/>
      <c r="U18" s="185" t="n"/>
      <c r="V18" s="184" t="n"/>
      <c r="W18" s="185" t="n"/>
      <c r="X18" s="184" t="n"/>
      <c r="Y18" s="185" t="n"/>
      <c r="Z18" s="184" t="n"/>
      <c r="AA18" s="185" t="n"/>
      <c r="AB18" s="186">
        <f>IF(A18="","",SUM(D18,F18,H18,J18,L18,N18,P18,R18,T18,V18,X18,Z18))</f>
        <v/>
      </c>
      <c r="AC18" s="186">
        <f>IF(A18="","",SUM(E18,G18,I18,K18,M18,O18,Q18,S18,U18,W18,Y18,AA18))</f>
        <v/>
      </c>
    </row>
    <row r="19" ht="15" customHeight="1" s="109">
      <c r="A19" s="128" t="n"/>
      <c r="B19" s="183" t="n"/>
      <c r="C19" s="183" t="n"/>
      <c r="D19" s="184" t="n"/>
      <c r="E19" s="185" t="n"/>
      <c r="F19" s="184" t="n"/>
      <c r="G19" s="185" t="n"/>
      <c r="H19" s="184" t="n"/>
      <c r="I19" s="185" t="n"/>
      <c r="J19" s="184" t="n"/>
      <c r="K19" s="185" t="n"/>
      <c r="L19" s="184" t="n"/>
      <c r="M19" s="185" t="n"/>
      <c r="N19" s="184" t="n"/>
      <c r="O19" s="185" t="n"/>
      <c r="P19" s="184" t="n"/>
      <c r="Q19" s="185" t="n"/>
      <c r="R19" s="184" t="n"/>
      <c r="S19" s="185" t="n"/>
      <c r="T19" s="184" t="n"/>
      <c r="U19" s="185" t="n"/>
      <c r="V19" s="184" t="n"/>
      <c r="W19" s="185" t="n"/>
      <c r="X19" s="184" t="n"/>
      <c r="Y19" s="185" t="n"/>
      <c r="Z19" s="184" t="n"/>
      <c r="AA19" s="185" t="n"/>
      <c r="AB19" s="186">
        <f>IF(A19="","",SUM(D19,F19,H19,J19,L19,N19,P19,R19,T19,V19,X19,Z19))</f>
        <v/>
      </c>
      <c r="AC19" s="186">
        <f>IF(A19="","",SUM(E19,G19,I19,K19,M19,O19,Q19,S19,U19,W19,Y19,AA19))</f>
        <v/>
      </c>
    </row>
    <row r="20" ht="15" customHeight="1" s="109">
      <c r="A20" s="128" t="n"/>
      <c r="B20" s="183" t="n"/>
      <c r="C20" s="183" t="n"/>
      <c r="D20" s="184" t="n"/>
      <c r="E20" s="185" t="n"/>
      <c r="F20" s="184" t="n"/>
      <c r="G20" s="185" t="n"/>
      <c r="H20" s="184" t="n"/>
      <c r="I20" s="185" t="n"/>
      <c r="J20" s="184" t="n"/>
      <c r="K20" s="185" t="n"/>
      <c r="L20" s="184" t="n"/>
      <c r="M20" s="185" t="n"/>
      <c r="N20" s="184" t="n"/>
      <c r="O20" s="185" t="n"/>
      <c r="P20" s="184" t="n"/>
      <c r="Q20" s="185" t="n"/>
      <c r="R20" s="184" t="n"/>
      <c r="S20" s="185" t="n"/>
      <c r="T20" s="184" t="n"/>
      <c r="U20" s="185" t="n"/>
      <c r="V20" s="184" t="n"/>
      <c r="W20" s="185" t="n"/>
      <c r="X20" s="184" t="n"/>
      <c r="Y20" s="185" t="n"/>
      <c r="Z20" s="184" t="n"/>
      <c r="AA20" s="185" t="n"/>
      <c r="AB20" s="186">
        <f>IF(A20="","",SUM(D20,F20,H20,J20,L20,N20,P20,R20,T20,V20,X20,Z20))</f>
        <v/>
      </c>
      <c r="AC20" s="186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79" t="inlineStr">
        <is>
          <t>Jan</t>
        </is>
      </c>
      <c r="I4" s="187" t="n"/>
      <c r="J4" s="187" t="n"/>
      <c r="K4" s="180" t="n"/>
      <c r="L4" s="179" t="inlineStr">
        <is>
          <t>Feb</t>
        </is>
      </c>
      <c r="M4" s="187" t="n"/>
      <c r="N4" s="187" t="n"/>
      <c r="O4" s="180" t="n"/>
      <c r="P4" s="179" t="inlineStr">
        <is>
          <t>Mar</t>
        </is>
      </c>
      <c r="Q4" s="187" t="n"/>
      <c r="R4" s="187" t="n"/>
      <c r="S4" s="180" t="n"/>
      <c r="T4" s="179" t="inlineStr">
        <is>
          <t>Apr</t>
        </is>
      </c>
      <c r="U4" s="187" t="n"/>
      <c r="V4" s="187" t="n"/>
      <c r="W4" s="180" t="n"/>
      <c r="X4" s="179" t="inlineStr">
        <is>
          <t>May</t>
        </is>
      </c>
      <c r="Y4" s="187" t="n"/>
      <c r="Z4" s="187" t="n"/>
      <c r="AA4" s="180" t="n"/>
      <c r="AB4" s="179" t="inlineStr">
        <is>
          <t>Jun</t>
        </is>
      </c>
      <c r="AC4" s="187" t="n"/>
      <c r="AD4" s="187" t="n"/>
      <c r="AE4" s="180" t="n"/>
      <c r="AF4" s="179" t="inlineStr">
        <is>
          <t>Jul</t>
        </is>
      </c>
      <c r="AG4" s="187" t="n"/>
      <c r="AH4" s="187" t="n"/>
      <c r="AI4" s="180" t="n"/>
      <c r="AJ4" s="179" t="inlineStr">
        <is>
          <t>Aug</t>
        </is>
      </c>
      <c r="AK4" s="187" t="n"/>
      <c r="AL4" s="187" t="n"/>
      <c r="AM4" s="180" t="n"/>
      <c r="AN4" s="179" t="inlineStr">
        <is>
          <t>Sep</t>
        </is>
      </c>
      <c r="AO4" s="187" t="n"/>
      <c r="AP4" s="187" t="n"/>
      <c r="AQ4" s="180" t="n"/>
      <c r="AR4" s="179" t="inlineStr">
        <is>
          <t>Oct</t>
        </is>
      </c>
      <c r="AS4" s="187" t="n"/>
      <c r="AT4" s="187" t="n"/>
      <c r="AU4" s="180" t="n"/>
      <c r="AV4" s="179" t="inlineStr">
        <is>
          <t>Nov</t>
        </is>
      </c>
      <c r="AW4" s="187" t="n"/>
      <c r="AX4" s="187" t="n"/>
      <c r="AY4" s="180" t="n"/>
      <c r="AZ4" s="179" t="inlineStr">
        <is>
          <t>Dec</t>
        </is>
      </c>
      <c r="BA4" s="187" t="n"/>
      <c r="BB4" s="187" t="n"/>
      <c r="BC4" s="180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1" t="n"/>
      <c r="B5" s="181" t="n"/>
      <c r="C5" s="181" t="n"/>
      <c r="D5" s="181" t="n"/>
      <c r="E5" s="181" t="n"/>
      <c r="F5" s="181" t="n"/>
      <c r="G5" s="181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2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2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2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2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2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2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2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2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2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2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2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2" t="inlineStr">
        <is>
          <t>Unburdened
$</t>
        </is>
      </c>
      <c r="BD5" s="181" t="n"/>
      <c r="BE5" s="181" t="n"/>
      <c r="BF5" s="181" t="n"/>
      <c r="BG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3">
        <f>IF(A6="","",IFERROR(INDEX(Personnel!$H$5:$H$19,MATCH($A6,Personnel!$A$5:$A$19,0)),""))</f>
        <v/>
      </c>
      <c r="E6" s="128" t="inlineStr">
        <is>
          <t>Prime</t>
        </is>
      </c>
      <c r="F6" s="183">
        <f>IF(A6="","",IFERROR(INDEX(Personnel!$D$5:$D$19,MATCH($A6,Personnel!$A$5:$A$19,0)),""))</f>
        <v/>
      </c>
      <c r="G6" s="128" t="inlineStr">
        <is>
          <t>PMO</t>
        </is>
      </c>
      <c r="H6" s="188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89" t="n"/>
      <c r="J6" s="189" t="n"/>
      <c r="K6" s="190">
        <f>IF(A6="","",I6*$D6+IF(OR($F6="Exempt",$E6="Sub"),0,J6*$D6*1.5))</f>
        <v/>
      </c>
      <c r="L6" s="188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89" t="n"/>
      <c r="N6" s="189" t="n"/>
      <c r="O6" s="190">
        <f>IF(A6="","",M6*$D6+IF(OR($F6="Exempt",$E6="Sub"),0,N6*$D6*1.5))</f>
        <v/>
      </c>
      <c r="P6" s="188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89" t="n"/>
      <c r="R6" s="189" t="n"/>
      <c r="S6" s="190">
        <f>IF(A6="","",Q6*$D6+IF(OR($F6="Exempt",$E6="Sub"),0,R6*$D6*1.5))</f>
        <v/>
      </c>
      <c r="T6" s="191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2" t="n"/>
      <c r="V6" s="192" t="n"/>
      <c r="W6" s="193">
        <f>IF(A6="","",U6*$D6+IF(OR($F6="Exempt",$E6="Sub"),0,V6*$D6*1.5))</f>
        <v/>
      </c>
      <c r="X6" s="191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2" t="n"/>
      <c r="Z6" s="192" t="n"/>
      <c r="AA6" s="193">
        <f>IF(A6="","",Y6*$D6+IF(OR($F6="Exempt",$E6="Sub"),0,Z6*$D6*1.5))</f>
        <v/>
      </c>
      <c r="AB6" s="191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2" t="n"/>
      <c r="AD6" s="192" t="n"/>
      <c r="AE6" s="193">
        <f>IF(A6="","",AC6*$D6+IF(OR($F6="Exempt",$E6="Sub"),0,AD6*$D6*1.5))</f>
        <v/>
      </c>
      <c r="AF6" s="194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195" t="n">
        <v>60</v>
      </c>
      <c r="AH6" s="195" t="n"/>
      <c r="AI6" s="196">
        <f>IF(A6="","",AG6*$D6+IF(OR($F6="Exempt",$E6="Sub"),0,AH6*$D6*1.5))</f>
        <v/>
      </c>
      <c r="AJ6" s="194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195" t="n"/>
      <c r="AL6" s="195" t="n"/>
      <c r="AM6" s="196">
        <f>IF(A6="","",AK6*$D6+IF(OR($F6="Exempt",$E6="Sub"),0,AL6*$D6*1.5))</f>
        <v/>
      </c>
      <c r="AN6" s="194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195" t="n"/>
      <c r="AP6" s="195" t="n"/>
      <c r="AQ6" s="196">
        <f>IF(A6="","",AO6*$D6+IF(OR($F6="Exempt",$E6="Sub"),0,AP6*$D6*1.5))</f>
        <v/>
      </c>
      <c r="AR6" s="197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198" t="n"/>
      <c r="AT6" s="198" t="n"/>
      <c r="AU6" s="199">
        <f>IF(A6="","",AS6*$D6+IF(OR($F6="Exempt",$E6="Sub"),0,AT6*$D6*1.5))</f>
        <v/>
      </c>
      <c r="AV6" s="197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198" t="n"/>
      <c r="AX6" s="198" t="n"/>
      <c r="AY6" s="199">
        <f>IF(A6="","",AW6*$D6+IF(OR($F6="Exempt",$E6="Sub"),0,AX6*$D6*1.5))</f>
        <v/>
      </c>
      <c r="AZ6" s="197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198" t="n"/>
      <c r="BB6" s="198" t="n"/>
      <c r="BC6" s="199">
        <f>IF(A6="","",BA6*$D6+IF(OR($F6="Exempt",$E6="Sub"),0,BB6*$D6*1.5))</f>
        <v/>
      </c>
      <c r="BD6" s="186">
        <f>IF(A6="","",SUM(H6,L6,P6,T6,X6,AB6,AF6,AJ6,AN6,AR6,AV6,AZ6))</f>
        <v/>
      </c>
      <c r="BE6" s="186">
        <f>IF(A6="","",SUM(I6,J6,M6,N6,Q6,R6,U6,V6,Y6,Z6,AC6,AD6,AG6,AH6,AK6,AL6,AO6,AP6,AS6,AT6,AW6,AX6,BA6,BB6))</f>
        <v/>
      </c>
      <c r="BF6" s="200">
        <f>IF(A6="","",BD6*$D6)</f>
        <v/>
      </c>
      <c r="BG6" s="200">
        <f>IF(A6="","",SUM(K6,O6,S6,W6,AA6,AE6,AI6,AM6,AQ6,AU6,AY6,BC6))</f>
        <v/>
      </c>
    </row>
    <row r="7" ht="15" customHeight="1" s="109">
      <c r="A7" s="128" t="n">
        <v>123456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3">
        <f>IF(A7="","",IFERROR(INDEX(Personnel!$H$5:$H$19,MATCH($A7,Personnel!$A$5:$A$19,0)),""))</f>
        <v/>
      </c>
      <c r="E7" s="128" t="inlineStr">
        <is>
          <t>Prime</t>
        </is>
      </c>
      <c r="F7" s="183">
        <f>IF(A7="","",IFERROR(INDEX(Personnel!$D$5:$D$19,MATCH($A7,Personnel!$A$5:$A$19,0)),""))</f>
        <v/>
      </c>
      <c r="G7" s="128" t="inlineStr">
        <is>
          <t>P1</t>
        </is>
      </c>
      <c r="H7" s="188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89" t="n"/>
      <c r="J7" s="189" t="n"/>
      <c r="K7" s="190">
        <f>IF(A7="","",I7*$D7+IF(OR($F7="Exempt",$E7="Sub"),0,J7*$D7*1.5))</f>
        <v/>
      </c>
      <c r="L7" s="188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89" t="n"/>
      <c r="N7" s="189" t="n"/>
      <c r="O7" s="190">
        <f>IF(A7="","",M7*$D7+IF(OR($F7="Exempt",$E7="Sub"),0,N7*$D7*1.5))</f>
        <v/>
      </c>
      <c r="P7" s="188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89" t="n"/>
      <c r="R7" s="189" t="n"/>
      <c r="S7" s="190">
        <f>IF(A7="","",Q7*$D7+IF(OR($F7="Exempt",$E7="Sub"),0,R7*$D7*1.5))</f>
        <v/>
      </c>
      <c r="T7" s="191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2" t="n"/>
      <c r="V7" s="192" t="n"/>
      <c r="W7" s="193">
        <f>IF(A7="","",U7*$D7+IF(OR($F7="Exempt",$E7="Sub"),0,V7*$D7*1.5))</f>
        <v/>
      </c>
      <c r="X7" s="191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2" t="n"/>
      <c r="Z7" s="192" t="n"/>
      <c r="AA7" s="193">
        <f>IF(A7="","",Y7*$D7+IF(OR($F7="Exempt",$E7="Sub"),0,Z7*$D7*1.5))</f>
        <v/>
      </c>
      <c r="AB7" s="191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2" t="n"/>
      <c r="AD7" s="192" t="n"/>
      <c r="AE7" s="193">
        <f>IF(A7="","",AC7*$D7+IF(OR($F7="Exempt",$E7="Sub"),0,AD7*$D7*1.5))</f>
        <v/>
      </c>
      <c r="AF7" s="194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195" t="n"/>
      <c r="AH7" s="195" t="n"/>
      <c r="AI7" s="196">
        <f>IF(A7="","",AG7*$D7+IF(OR($F7="Exempt",$E7="Sub"),0,AH7*$D7*1.5))</f>
        <v/>
      </c>
      <c r="AJ7" s="194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195" t="n">
        <v>173.33</v>
      </c>
      <c r="AL7" s="195" t="n"/>
      <c r="AM7" s="196">
        <f>IF(A7="","",AK7*$D7+IF(OR($F7="Exempt",$E7="Sub"),0,AL7*$D7*1.5))</f>
        <v/>
      </c>
      <c r="AN7" s="194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195" t="n"/>
      <c r="AP7" s="195" t="n"/>
      <c r="AQ7" s="196">
        <f>IF(A7="","",AO7*$D7+IF(OR($F7="Exempt",$E7="Sub"),0,AP7*$D7*1.5))</f>
        <v/>
      </c>
      <c r="AR7" s="197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198" t="n">
        <v>160</v>
      </c>
      <c r="AT7" s="198" t="n"/>
      <c r="AU7" s="199">
        <f>IF(A7="","",AS7*$D7+IF(OR($F7="Exempt",$E7="Sub"),0,AT7*$D7*1.5))</f>
        <v/>
      </c>
      <c r="AV7" s="197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198" t="n">
        <v>165</v>
      </c>
      <c r="AX7" s="198" t="n"/>
      <c r="AY7" s="199">
        <f>IF(A7="","",AW7*$D7+IF(OR($F7="Exempt",$E7="Sub"),0,AX7*$D7*1.5))</f>
        <v/>
      </c>
      <c r="AZ7" s="197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198" t="n">
        <v>170</v>
      </c>
      <c r="BB7" s="198" t="n"/>
      <c r="BC7" s="199">
        <f>IF(A7="","",BA7*$D7+IF(OR($F7="Exempt",$E7="Sub"),0,BB7*$D7*1.5))</f>
        <v/>
      </c>
      <c r="BD7" s="186">
        <f>IF(A7="","",SUM(H7,L7,P7,T7,X7,AB7,AF7,AJ7,AN7,AR7,AV7,AZ7))</f>
        <v/>
      </c>
      <c r="BE7" s="186">
        <f>IF(A7="","",SUM(I7,J7,M7,N7,Q7,R7,U7,V7,Y7,Z7,AC7,AD7,AG7,AH7,AK7,AL7,AO7,AP7,AS7,AT7,AW7,AX7,BA7,BB7))</f>
        <v/>
      </c>
      <c r="BF7" s="200">
        <f>IF(A7="","",BD7*$D7)</f>
        <v/>
      </c>
      <c r="BG7" s="200">
        <f>IF(A7="","",SUM(K7,O7,S7,W7,AA7,AE7,AI7,AM7,AQ7,AU7,AY7,BC7))</f>
        <v/>
      </c>
    </row>
    <row r="8" ht="15" customHeight="1" s="109">
      <c r="A8" s="128" t="n">
        <v>123457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3">
        <f>IF(A8="","",IFERROR(INDEX(Personnel!$H$5:$H$19,MATCH($A8,Personnel!$A$5:$A$19,0)),""))</f>
        <v/>
      </c>
      <c r="E8" s="128" t="inlineStr">
        <is>
          <t>Prime</t>
        </is>
      </c>
      <c r="F8" s="183">
        <f>IF(A8="","",IFERROR(INDEX(Personnel!$D$5:$D$19,MATCH($A8,Personnel!$A$5:$A$19,0)),""))</f>
        <v/>
      </c>
      <c r="G8" s="128" t="inlineStr">
        <is>
          <t>P2</t>
        </is>
      </c>
      <c r="H8" s="188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89" t="n">
        <v>173.33</v>
      </c>
      <c r="J8" s="189" t="n"/>
      <c r="K8" s="190">
        <f>IF(A8="","",I8*$D8+IF(OR($F8="Exempt",$E8="Sub"),0,J8*$D8*1.5))</f>
        <v/>
      </c>
      <c r="L8" s="188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89" t="n"/>
      <c r="N8" s="189" t="n"/>
      <c r="O8" s="190">
        <f>IF(A8="","",M8*$D8+IF(OR($F8="Exempt",$E8="Sub"),0,N8*$D8*1.5))</f>
        <v/>
      </c>
      <c r="P8" s="188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89" t="n"/>
      <c r="R8" s="189" t="n"/>
      <c r="S8" s="190">
        <f>IF(A8="","",Q8*$D8+IF(OR($F8="Exempt",$E8="Sub"),0,R8*$D8*1.5))</f>
        <v/>
      </c>
      <c r="T8" s="191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2" t="n"/>
      <c r="V8" s="192" t="n"/>
      <c r="W8" s="193">
        <f>IF(A8="","",U8*$D8+IF(OR($F8="Exempt",$E8="Sub"),0,V8*$D8*1.5))</f>
        <v/>
      </c>
      <c r="X8" s="191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2" t="n"/>
      <c r="Z8" s="192" t="n"/>
      <c r="AA8" s="193">
        <f>IF(A8="","",Y8*$D8+IF(OR($F8="Exempt",$E8="Sub"),0,Z8*$D8*1.5))</f>
        <v/>
      </c>
      <c r="AB8" s="191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2" t="n"/>
      <c r="AD8" s="192" t="n"/>
      <c r="AE8" s="193">
        <f>IF(A8="","",AC8*$D8+IF(OR($F8="Exempt",$E8="Sub"),0,AD8*$D8*1.5))</f>
        <v/>
      </c>
      <c r="AF8" s="194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195" t="n"/>
      <c r="AH8" s="195" t="n"/>
      <c r="AI8" s="196">
        <f>IF(A8="","",AG8*$D8+IF(OR($F8="Exempt",$E8="Sub"),0,AH8*$D8*1.5))</f>
        <v/>
      </c>
      <c r="AJ8" s="194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195" t="n"/>
      <c r="AL8" s="195" t="n"/>
      <c r="AM8" s="196">
        <f>IF(A8="","",AK8*$D8+IF(OR($F8="Exempt",$E8="Sub"),0,AL8*$D8*1.5))</f>
        <v/>
      </c>
      <c r="AN8" s="194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195" t="n"/>
      <c r="AP8" s="195" t="n"/>
      <c r="AQ8" s="196">
        <f>IF(A8="","",AO8*$D8+IF(OR($F8="Exempt",$E8="Sub"),0,AP8*$D8*1.5))</f>
        <v/>
      </c>
      <c r="AR8" s="197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198" t="n">
        <v>150</v>
      </c>
      <c r="AT8" s="198" t="n"/>
      <c r="AU8" s="199">
        <f>IF(A8="","",AS8*$D8+IF(OR($F8="Exempt",$E8="Sub"),0,AT8*$D8*1.5))</f>
        <v/>
      </c>
      <c r="AV8" s="197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198" t="n">
        <v>155</v>
      </c>
      <c r="AX8" s="198" t="n"/>
      <c r="AY8" s="199">
        <f>IF(A8="","",AW8*$D8+IF(OR($F8="Exempt",$E8="Sub"),0,AX8*$D8*1.5))</f>
        <v/>
      </c>
      <c r="AZ8" s="197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198" t="n">
        <v>160</v>
      </c>
      <c r="BB8" s="198" t="n"/>
      <c r="BC8" s="199">
        <f>IF(A8="","",BA8*$D8+IF(OR($F8="Exempt",$E8="Sub"),0,BB8*$D8*1.5))</f>
        <v/>
      </c>
      <c r="BD8" s="186">
        <f>IF(A8="","",SUM(H8,L8,P8,T8,X8,AB8,AF8,AJ8,AN8,AR8,AV8,AZ8))</f>
        <v/>
      </c>
      <c r="BE8" s="186">
        <f>IF(A8="","",SUM(I8,J8,M8,N8,Q8,R8,U8,V8,Y8,Z8,AC8,AD8,AG8,AH8,AK8,AL8,AO8,AP8,AS8,AT8,AW8,AX8,BA8,BB8))</f>
        <v/>
      </c>
      <c r="BF8" s="200">
        <f>IF(A8="","",BD8*$D8)</f>
        <v/>
      </c>
      <c r="BG8" s="200">
        <f>IF(A8="","",SUM(K8,O8,S8,W8,AA8,AE8,AI8,AM8,AQ8,AU8,AY8,BC8))</f>
        <v/>
      </c>
    </row>
    <row r="9" ht="15" customHeight="1" s="109">
      <c r="A9" s="128" t="n">
        <v>123458</v>
      </c>
      <c r="B9" s="183">
        <f>IF(A9="","",IFERROR(INDEX(Personnel!$B$5:$B$19,MATCH($A9,Personnel!$A$5:$A$19,0)),"-- not found --"))</f>
        <v/>
      </c>
      <c r="C9" s="183">
        <f>IF(A9="","",IFERROR(INDEX(Personnel!$C$5:$C$19,MATCH($A9,Personnel!$A$5:$A$19,0)),""))</f>
        <v/>
      </c>
      <c r="D9" s="183">
        <f>IF(A9="","",IFERROR(INDEX(Personnel!$H$5:$H$19,MATCH($A9,Personnel!$A$5:$A$19,0)),""))</f>
        <v/>
      </c>
      <c r="E9" s="128" t="inlineStr">
        <is>
          <t>Prime</t>
        </is>
      </c>
      <c r="F9" s="183">
        <f>IF(A9="","",IFERROR(INDEX(Personnel!$D$5:$D$19,MATCH($A9,Personnel!$A$5:$A$19,0)),""))</f>
        <v/>
      </c>
      <c r="G9" s="128" t="inlineStr">
        <is>
          <t>PMO</t>
        </is>
      </c>
      <c r="H9" s="188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89" t="n"/>
      <c r="J9" s="189" t="n"/>
      <c r="K9" s="190">
        <f>IF(A9="","",I9*$D9+IF(OR($F9="Exempt",$E9="Sub"),0,J9*$D9*1.5))</f>
        <v/>
      </c>
      <c r="L9" s="188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89" t="n"/>
      <c r="N9" s="189" t="n"/>
      <c r="O9" s="190">
        <f>IF(A9="","",M9*$D9+IF(OR($F9="Exempt",$E9="Sub"),0,N9*$D9*1.5))</f>
        <v/>
      </c>
      <c r="P9" s="188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89" t="n"/>
      <c r="R9" s="189" t="n"/>
      <c r="S9" s="190">
        <f>IF(A9="","",Q9*$D9+IF(OR($F9="Exempt",$E9="Sub"),0,R9*$D9*1.5))</f>
        <v/>
      </c>
      <c r="T9" s="191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2" t="n"/>
      <c r="V9" s="192" t="n"/>
      <c r="W9" s="193">
        <f>IF(A9="","",U9*$D9+IF(OR($F9="Exempt",$E9="Sub"),0,V9*$D9*1.5))</f>
        <v/>
      </c>
      <c r="X9" s="191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2" t="n"/>
      <c r="Z9" s="192" t="n"/>
      <c r="AA9" s="193">
        <f>IF(A9="","",Y9*$D9+IF(OR($F9="Exempt",$E9="Sub"),0,Z9*$D9*1.5))</f>
        <v/>
      </c>
      <c r="AB9" s="191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2" t="n"/>
      <c r="AD9" s="192" t="n"/>
      <c r="AE9" s="193">
        <f>IF(A9="","",AC9*$D9+IF(OR($F9="Exempt",$E9="Sub"),0,AD9*$D9*1.5))</f>
        <v/>
      </c>
      <c r="AF9" s="194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195" t="n"/>
      <c r="AH9" s="195" t="n"/>
      <c r="AI9" s="196">
        <f>IF(A9="","",AG9*$D9+IF(OR($F9="Exempt",$E9="Sub"),0,AH9*$D9*1.5))</f>
        <v/>
      </c>
      <c r="AJ9" s="194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195" t="n"/>
      <c r="AL9" s="195" t="n"/>
      <c r="AM9" s="196">
        <f>IF(A9="","",AK9*$D9+IF(OR($F9="Exempt",$E9="Sub"),0,AL9*$D9*1.5))</f>
        <v/>
      </c>
      <c r="AN9" s="194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195" t="n"/>
      <c r="AP9" s="195" t="n"/>
      <c r="AQ9" s="196">
        <f>IF(A9="","",AO9*$D9+IF(OR($F9="Exempt",$E9="Sub"),0,AP9*$D9*1.5))</f>
        <v/>
      </c>
      <c r="AR9" s="197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198" t="n"/>
      <c r="AT9" s="198" t="n"/>
      <c r="AU9" s="199">
        <f>IF(A9="","",AS9*$D9+IF(OR($F9="Exempt",$E9="Sub"),0,AT9*$D9*1.5))</f>
        <v/>
      </c>
      <c r="AV9" s="197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198" t="n"/>
      <c r="AX9" s="198" t="n"/>
      <c r="AY9" s="199">
        <f>IF(A9="","",AW9*$D9+IF(OR($F9="Exempt",$E9="Sub"),0,AX9*$D9*1.5))</f>
        <v/>
      </c>
      <c r="AZ9" s="197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198" t="n"/>
      <c r="BB9" s="198" t="n"/>
      <c r="BC9" s="199">
        <f>IF(A9="","",BA9*$D9+IF(OR($F9="Exempt",$E9="Sub"),0,BB9*$D9*1.5))</f>
        <v/>
      </c>
      <c r="BD9" s="186">
        <f>IF(A9="","",SUM(H9,L9,P9,T9,X9,AB9,AF9,AJ9,AN9,AR9,AV9,AZ9))</f>
        <v/>
      </c>
      <c r="BE9" s="186">
        <f>IF(A9="","",SUM(I9,J9,M9,N9,Q9,R9,U9,V9,Y9,Z9,AC9,AD9,AG9,AH9,AK9,AL9,AO9,AP9,AS9,AT9,AW9,AX9,BA9,BB9))</f>
        <v/>
      </c>
      <c r="BF9" s="200">
        <f>IF(A9="","",BD9*$D9)</f>
        <v/>
      </c>
      <c r="BG9" s="200">
        <f>IF(A9="","",SUM(K9,O9,S9,W9,AA9,AE9,AI9,AM9,AQ9,AU9,AY9,BC9))</f>
        <v/>
      </c>
    </row>
    <row r="10" ht="15" customHeight="1" s="109">
      <c r="A10" s="128" t="n"/>
      <c r="B10" s="183" t="n"/>
      <c r="C10" s="183" t="n"/>
      <c r="D10" s="183" t="n"/>
      <c r="E10" s="128" t="n"/>
      <c r="F10" s="183" t="n"/>
      <c r="G10" s="128" t="n"/>
      <c r="H10" s="188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89" t="n"/>
      <c r="J10" s="189" t="n"/>
      <c r="K10" s="190">
        <f>IF(A10="","",I10*$D10+IF(OR($F10="Exempt",$E10="Sub"),0,J10*$D10*1.5))</f>
        <v/>
      </c>
      <c r="L10" s="188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89" t="n"/>
      <c r="N10" s="189" t="n"/>
      <c r="O10" s="190">
        <f>IF(A10="","",M10*$D10+IF(OR($F10="Exempt",$E10="Sub"),0,N10*$D10*1.5))</f>
        <v/>
      </c>
      <c r="P10" s="188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89" t="n"/>
      <c r="R10" s="189" t="n"/>
      <c r="S10" s="190">
        <f>IF(A10="","",Q10*$D10+IF(OR($F10="Exempt",$E10="Sub"),0,R10*$D10*1.5))</f>
        <v/>
      </c>
      <c r="T10" s="191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2" t="n"/>
      <c r="V10" s="192" t="n"/>
      <c r="W10" s="193">
        <f>IF(A10="","",U10*$D10+IF(OR($F10="Exempt",$E10="Sub"),0,V10*$D10*1.5))</f>
        <v/>
      </c>
      <c r="X10" s="191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2" t="n"/>
      <c r="Z10" s="192" t="n"/>
      <c r="AA10" s="193">
        <f>IF(A10="","",Y10*$D10+IF(OR($F10="Exempt",$E10="Sub"),0,Z10*$D10*1.5))</f>
        <v/>
      </c>
      <c r="AB10" s="191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2" t="n"/>
      <c r="AD10" s="192" t="n"/>
      <c r="AE10" s="193">
        <f>IF(A10="","",AC10*$D10+IF(OR($F10="Exempt",$E10="Sub"),0,AD10*$D10*1.5))</f>
        <v/>
      </c>
      <c r="AF10" s="194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195" t="n"/>
      <c r="AH10" s="195" t="n"/>
      <c r="AI10" s="196">
        <f>IF(A10="","",AG10*$D10+IF(OR($F10="Exempt",$E10="Sub"),0,AH10*$D10*1.5))</f>
        <v/>
      </c>
      <c r="AJ10" s="194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195" t="n"/>
      <c r="AL10" s="195" t="n"/>
      <c r="AM10" s="196">
        <f>IF(A10="","",AK10*$D10+IF(OR($F10="Exempt",$E10="Sub"),0,AL10*$D10*1.5))</f>
        <v/>
      </c>
      <c r="AN10" s="194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195" t="n"/>
      <c r="AP10" s="195" t="n"/>
      <c r="AQ10" s="196">
        <f>IF(A10="","",AO10*$D10+IF(OR($F10="Exempt",$E10="Sub"),0,AP10*$D10*1.5))</f>
        <v/>
      </c>
      <c r="AR10" s="197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198" t="n"/>
      <c r="AT10" s="198" t="n"/>
      <c r="AU10" s="199">
        <f>IF(A10="","",AS10*$D10+IF(OR($F10="Exempt",$E10="Sub"),0,AT10*$D10*1.5))</f>
        <v/>
      </c>
      <c r="AV10" s="197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198" t="n"/>
      <c r="AX10" s="198" t="n"/>
      <c r="AY10" s="199">
        <f>IF(A10="","",AW10*$D10+IF(OR($F10="Exempt",$E10="Sub"),0,AX10*$D10*1.5))</f>
        <v/>
      </c>
      <c r="AZ10" s="197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198" t="n"/>
      <c r="BB10" s="198" t="n"/>
      <c r="BC10" s="199">
        <f>IF(A10="","",BA10*$D10+IF(OR($F10="Exempt",$E10="Sub"),0,BB10*$D10*1.5))</f>
        <v/>
      </c>
      <c r="BD10" s="186">
        <f>IF(A10="","",SUM(H10,L10,P10,T10,X10,AB10,AF10,AJ10,AN10,AR10,AV10,AZ10))</f>
        <v/>
      </c>
      <c r="BE10" s="186">
        <f>IF(A10="","",SUM(I10,J10,M10,N10,Q10,R10,U10,V10,Y10,Z10,AC10,AD10,AG10,AH10,AK10,AL10,AO10,AP10,AS10,AT10,AW10,AX10,BA10,BB10))</f>
        <v/>
      </c>
      <c r="BF10" s="200">
        <f>IF(A10="","",BD10*$D10)</f>
        <v/>
      </c>
      <c r="BG10" s="200">
        <f>IF(A10="","",SUM(K10,O10,S10,W10,AA10,AE10,AI10,AM10,AQ10,AU10,AY10,BC10))</f>
        <v/>
      </c>
    </row>
    <row r="11" ht="15" customHeight="1" s="109">
      <c r="A11" s="128" t="n"/>
      <c r="B11" s="183" t="n"/>
      <c r="C11" s="183" t="n"/>
      <c r="D11" s="183" t="n"/>
      <c r="E11" s="128" t="n"/>
      <c r="F11" s="183" t="n"/>
      <c r="G11" s="128" t="n"/>
      <c r="H11" s="188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89" t="n"/>
      <c r="J11" s="189" t="n"/>
      <c r="K11" s="190">
        <f>IF(A11="","",I11*$D11+IF(OR($F11="Exempt",$E11="Sub"),0,J11*$D11*1.5))</f>
        <v/>
      </c>
      <c r="L11" s="188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89" t="n"/>
      <c r="N11" s="189" t="n"/>
      <c r="O11" s="190">
        <f>IF(A11="","",M11*$D11+IF(OR($F11="Exempt",$E11="Sub"),0,N11*$D11*1.5))</f>
        <v/>
      </c>
      <c r="P11" s="188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89" t="n"/>
      <c r="R11" s="189" t="n"/>
      <c r="S11" s="190">
        <f>IF(A11="","",Q11*$D11+IF(OR($F11="Exempt",$E11="Sub"),0,R11*$D11*1.5))</f>
        <v/>
      </c>
      <c r="T11" s="191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2" t="n"/>
      <c r="V11" s="192" t="n"/>
      <c r="W11" s="193">
        <f>IF(A11="","",U11*$D11+IF(OR($F11="Exempt",$E11="Sub"),0,V11*$D11*1.5))</f>
        <v/>
      </c>
      <c r="X11" s="191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2" t="n"/>
      <c r="Z11" s="192" t="n"/>
      <c r="AA11" s="193">
        <f>IF(A11="","",Y11*$D11+IF(OR($F11="Exempt",$E11="Sub"),0,Z11*$D11*1.5))</f>
        <v/>
      </c>
      <c r="AB11" s="191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2" t="n"/>
      <c r="AD11" s="192" t="n"/>
      <c r="AE11" s="193">
        <f>IF(A11="","",AC11*$D11+IF(OR($F11="Exempt",$E11="Sub"),0,AD11*$D11*1.5))</f>
        <v/>
      </c>
      <c r="AF11" s="194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195" t="n"/>
      <c r="AH11" s="195" t="n"/>
      <c r="AI11" s="196">
        <f>IF(A11="","",AG11*$D11+IF(OR($F11="Exempt",$E11="Sub"),0,AH11*$D11*1.5))</f>
        <v/>
      </c>
      <c r="AJ11" s="194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195" t="n"/>
      <c r="AL11" s="195" t="n"/>
      <c r="AM11" s="196">
        <f>IF(A11="","",AK11*$D11+IF(OR($F11="Exempt",$E11="Sub"),0,AL11*$D11*1.5))</f>
        <v/>
      </c>
      <c r="AN11" s="194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195" t="n"/>
      <c r="AP11" s="195" t="n"/>
      <c r="AQ11" s="196">
        <f>IF(A11="","",AO11*$D11+IF(OR($F11="Exempt",$E11="Sub"),0,AP11*$D11*1.5))</f>
        <v/>
      </c>
      <c r="AR11" s="197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198" t="n"/>
      <c r="AT11" s="198" t="n"/>
      <c r="AU11" s="199">
        <f>IF(A11="","",AS11*$D11+IF(OR($F11="Exempt",$E11="Sub"),0,AT11*$D11*1.5))</f>
        <v/>
      </c>
      <c r="AV11" s="197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198" t="n"/>
      <c r="AX11" s="198" t="n"/>
      <c r="AY11" s="199">
        <f>IF(A11="","",AW11*$D11+IF(OR($F11="Exempt",$E11="Sub"),0,AX11*$D11*1.5))</f>
        <v/>
      </c>
      <c r="AZ11" s="197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198" t="n"/>
      <c r="BB11" s="198" t="n"/>
      <c r="BC11" s="199">
        <f>IF(A11="","",BA11*$D11+IF(OR($F11="Exempt",$E11="Sub"),0,BB11*$D11*1.5))</f>
        <v/>
      </c>
      <c r="BD11" s="186">
        <f>IF(A11="","",SUM(H11,L11,P11,T11,X11,AB11,AF11,AJ11,AN11,AR11,AV11,AZ11))</f>
        <v/>
      </c>
      <c r="BE11" s="186">
        <f>IF(A11="","",SUM(I11,J11,M11,N11,Q11,R11,U11,V11,Y11,Z11,AC11,AD11,AG11,AH11,AK11,AL11,AO11,AP11,AS11,AT11,AW11,AX11,BA11,BB11))</f>
        <v/>
      </c>
      <c r="BF11" s="200">
        <f>IF(A11="","",BD11*$D11)</f>
        <v/>
      </c>
      <c r="BG11" s="200">
        <f>IF(A11="","",SUM(K11,O11,S11,W11,AA11,AE11,AI11,AM11,AQ11,AU11,AY11,BC11))</f>
        <v/>
      </c>
    </row>
    <row r="12" ht="15" customHeight="1" s="109">
      <c r="A12" s="128" t="n"/>
      <c r="B12" s="183" t="n"/>
      <c r="C12" s="183" t="n"/>
      <c r="D12" s="183" t="n"/>
      <c r="E12" s="128" t="n"/>
      <c r="F12" s="183" t="n"/>
      <c r="G12" s="128" t="n"/>
      <c r="H12" s="188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89" t="n"/>
      <c r="J12" s="189" t="n"/>
      <c r="K12" s="190">
        <f>IF(A12="","",I12*$D12+IF(OR($F12="Exempt",$E12="Sub"),0,J12*$D12*1.5))</f>
        <v/>
      </c>
      <c r="L12" s="188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89" t="n"/>
      <c r="N12" s="189" t="n"/>
      <c r="O12" s="190">
        <f>IF(A12="","",M12*$D12+IF(OR($F12="Exempt",$E12="Sub"),0,N12*$D12*1.5))</f>
        <v/>
      </c>
      <c r="P12" s="188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89" t="n"/>
      <c r="R12" s="189" t="n"/>
      <c r="S12" s="190">
        <f>IF(A12="","",Q12*$D12+IF(OR($F12="Exempt",$E12="Sub"),0,R12*$D12*1.5))</f>
        <v/>
      </c>
      <c r="T12" s="191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2" t="n"/>
      <c r="V12" s="192" t="n"/>
      <c r="W12" s="193">
        <f>IF(A12="","",U12*$D12+IF(OR($F12="Exempt",$E12="Sub"),0,V12*$D12*1.5))</f>
        <v/>
      </c>
      <c r="X12" s="191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2" t="n"/>
      <c r="Z12" s="192" t="n"/>
      <c r="AA12" s="193">
        <f>IF(A12="","",Y12*$D12+IF(OR($F12="Exempt",$E12="Sub"),0,Z12*$D12*1.5))</f>
        <v/>
      </c>
      <c r="AB12" s="191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2" t="n"/>
      <c r="AD12" s="192" t="n"/>
      <c r="AE12" s="193">
        <f>IF(A12="","",AC12*$D12+IF(OR($F12="Exempt",$E12="Sub"),0,AD12*$D12*1.5))</f>
        <v/>
      </c>
      <c r="AF12" s="194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195" t="n"/>
      <c r="AH12" s="195" t="n"/>
      <c r="AI12" s="196">
        <f>IF(A12="","",AG12*$D12+IF(OR($F12="Exempt",$E12="Sub"),0,AH12*$D12*1.5))</f>
        <v/>
      </c>
      <c r="AJ12" s="194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195" t="n"/>
      <c r="AL12" s="195" t="n"/>
      <c r="AM12" s="196">
        <f>IF(A12="","",AK12*$D12+IF(OR($F12="Exempt",$E12="Sub"),0,AL12*$D12*1.5))</f>
        <v/>
      </c>
      <c r="AN12" s="194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195" t="n"/>
      <c r="AP12" s="195" t="n"/>
      <c r="AQ12" s="196">
        <f>IF(A12="","",AO12*$D12+IF(OR($F12="Exempt",$E12="Sub"),0,AP12*$D12*1.5))</f>
        <v/>
      </c>
      <c r="AR12" s="197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198" t="n"/>
      <c r="AT12" s="198" t="n"/>
      <c r="AU12" s="199">
        <f>IF(A12="","",AS12*$D12+IF(OR($F12="Exempt",$E12="Sub"),0,AT12*$D12*1.5))</f>
        <v/>
      </c>
      <c r="AV12" s="197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198" t="n"/>
      <c r="AX12" s="198" t="n"/>
      <c r="AY12" s="199">
        <f>IF(A12="","",AW12*$D12+IF(OR($F12="Exempt",$E12="Sub"),0,AX12*$D12*1.5))</f>
        <v/>
      </c>
      <c r="AZ12" s="197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198" t="n"/>
      <c r="BB12" s="198" t="n"/>
      <c r="BC12" s="199">
        <f>IF(A12="","",BA12*$D12+IF(OR($F12="Exempt",$E12="Sub"),0,BB12*$D12*1.5))</f>
        <v/>
      </c>
      <c r="BD12" s="186">
        <f>IF(A12="","",SUM(H12,L12,P12,T12,X12,AB12,AF12,AJ12,AN12,AR12,AV12,AZ12))</f>
        <v/>
      </c>
      <c r="BE12" s="186">
        <f>IF(A12="","",SUM(I12,J12,M12,N12,Q12,R12,U12,V12,Y12,Z12,AC12,AD12,AG12,AH12,AK12,AL12,AO12,AP12,AS12,AT12,AW12,AX12,BA12,BB12))</f>
        <v/>
      </c>
      <c r="BF12" s="200">
        <f>IF(A12="","",BD12*$D12)</f>
        <v/>
      </c>
      <c r="BG12" s="200">
        <f>IF(A12="","",SUM(K12,O12,S12,W12,AA12,AE12,AI12,AM12,AQ12,AU12,AY12,BC12))</f>
        <v/>
      </c>
    </row>
    <row r="13" ht="15" customHeight="1" s="109">
      <c r="A13" s="128" t="n"/>
      <c r="B13" s="183" t="n"/>
      <c r="C13" s="183" t="n"/>
      <c r="D13" s="183" t="n"/>
      <c r="E13" s="128" t="n"/>
      <c r="F13" s="183" t="n"/>
      <c r="G13" s="128" t="n"/>
      <c r="H13" s="188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89" t="n"/>
      <c r="J13" s="189" t="n"/>
      <c r="K13" s="190">
        <f>IF(A13="","",I13*$D13+IF(OR($F13="Exempt",$E13="Sub"),0,J13*$D13*1.5))</f>
        <v/>
      </c>
      <c r="L13" s="188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89" t="n"/>
      <c r="N13" s="189" t="n"/>
      <c r="O13" s="190">
        <f>IF(A13="","",M13*$D13+IF(OR($F13="Exempt",$E13="Sub"),0,N13*$D13*1.5))</f>
        <v/>
      </c>
      <c r="P13" s="188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89" t="n"/>
      <c r="R13" s="189" t="n"/>
      <c r="S13" s="190">
        <f>IF(A13="","",Q13*$D13+IF(OR($F13="Exempt",$E13="Sub"),0,R13*$D13*1.5))</f>
        <v/>
      </c>
      <c r="T13" s="191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2" t="n"/>
      <c r="V13" s="192" t="n"/>
      <c r="W13" s="193">
        <f>IF(A13="","",U13*$D13+IF(OR($F13="Exempt",$E13="Sub"),0,V13*$D13*1.5))</f>
        <v/>
      </c>
      <c r="X13" s="191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2" t="n"/>
      <c r="Z13" s="192" t="n"/>
      <c r="AA13" s="193">
        <f>IF(A13="","",Y13*$D13+IF(OR($F13="Exempt",$E13="Sub"),0,Z13*$D13*1.5))</f>
        <v/>
      </c>
      <c r="AB13" s="191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2" t="n"/>
      <c r="AD13" s="192" t="n"/>
      <c r="AE13" s="193">
        <f>IF(A13="","",AC13*$D13+IF(OR($F13="Exempt",$E13="Sub"),0,AD13*$D13*1.5))</f>
        <v/>
      </c>
      <c r="AF13" s="194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195" t="n"/>
      <c r="AH13" s="195" t="n"/>
      <c r="AI13" s="196">
        <f>IF(A13="","",AG13*$D13+IF(OR($F13="Exempt",$E13="Sub"),0,AH13*$D13*1.5))</f>
        <v/>
      </c>
      <c r="AJ13" s="194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195" t="n"/>
      <c r="AL13" s="195" t="n"/>
      <c r="AM13" s="196">
        <f>IF(A13="","",AK13*$D13+IF(OR($F13="Exempt",$E13="Sub"),0,AL13*$D13*1.5))</f>
        <v/>
      </c>
      <c r="AN13" s="194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195" t="n"/>
      <c r="AP13" s="195" t="n"/>
      <c r="AQ13" s="196">
        <f>IF(A13="","",AO13*$D13+IF(OR($F13="Exempt",$E13="Sub"),0,AP13*$D13*1.5))</f>
        <v/>
      </c>
      <c r="AR13" s="197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198" t="n"/>
      <c r="AT13" s="198" t="n"/>
      <c r="AU13" s="199">
        <f>IF(A13="","",AS13*$D13+IF(OR($F13="Exempt",$E13="Sub"),0,AT13*$D13*1.5))</f>
        <v/>
      </c>
      <c r="AV13" s="197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198" t="n"/>
      <c r="AX13" s="198" t="n"/>
      <c r="AY13" s="199">
        <f>IF(A13="","",AW13*$D13+IF(OR($F13="Exempt",$E13="Sub"),0,AX13*$D13*1.5))</f>
        <v/>
      </c>
      <c r="AZ13" s="197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198" t="n"/>
      <c r="BB13" s="198" t="n"/>
      <c r="BC13" s="199">
        <f>IF(A13="","",BA13*$D13+IF(OR($F13="Exempt",$E13="Sub"),0,BB13*$D13*1.5))</f>
        <v/>
      </c>
      <c r="BD13" s="186">
        <f>IF(A13="","",SUM(H13,L13,P13,T13,X13,AB13,AF13,AJ13,AN13,AR13,AV13,AZ13))</f>
        <v/>
      </c>
      <c r="BE13" s="186">
        <f>IF(A13="","",SUM(I13,J13,M13,N13,Q13,R13,U13,V13,Y13,Z13,AC13,AD13,AG13,AH13,AK13,AL13,AO13,AP13,AS13,AT13,AW13,AX13,BA13,BB13))</f>
        <v/>
      </c>
      <c r="BF13" s="200">
        <f>IF(A13="","",BD13*$D13)</f>
        <v/>
      </c>
      <c r="BG13" s="200">
        <f>IF(A13="","",SUM(K13,O13,S13,W13,AA13,AE13,AI13,AM13,AQ13,AU13,AY13,BC13))</f>
        <v/>
      </c>
    </row>
    <row r="14" ht="15" customHeight="1" s="109">
      <c r="A14" s="128" t="n"/>
      <c r="B14" s="183" t="n"/>
      <c r="C14" s="183" t="n"/>
      <c r="D14" s="183" t="n"/>
      <c r="E14" s="128" t="n"/>
      <c r="F14" s="183" t="n"/>
      <c r="G14" s="128" t="n"/>
      <c r="H14" s="188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89" t="n"/>
      <c r="J14" s="189" t="n"/>
      <c r="K14" s="190">
        <f>IF(A14="","",I14*$D14+IF(OR($F14="Exempt",$E14="Sub"),0,J14*$D14*1.5))</f>
        <v/>
      </c>
      <c r="L14" s="188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89" t="n"/>
      <c r="N14" s="189" t="n"/>
      <c r="O14" s="190">
        <f>IF(A14="","",M14*$D14+IF(OR($F14="Exempt",$E14="Sub"),0,N14*$D14*1.5))</f>
        <v/>
      </c>
      <c r="P14" s="188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89" t="n"/>
      <c r="R14" s="189" t="n"/>
      <c r="S14" s="190">
        <f>IF(A14="","",Q14*$D14+IF(OR($F14="Exempt",$E14="Sub"),0,R14*$D14*1.5))</f>
        <v/>
      </c>
      <c r="T14" s="191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2" t="n"/>
      <c r="V14" s="192" t="n"/>
      <c r="W14" s="193">
        <f>IF(A14="","",U14*$D14+IF(OR($F14="Exempt",$E14="Sub"),0,V14*$D14*1.5))</f>
        <v/>
      </c>
      <c r="X14" s="191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2" t="n"/>
      <c r="Z14" s="192" t="n"/>
      <c r="AA14" s="193">
        <f>IF(A14="","",Y14*$D14+IF(OR($F14="Exempt",$E14="Sub"),0,Z14*$D14*1.5))</f>
        <v/>
      </c>
      <c r="AB14" s="191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2" t="n"/>
      <c r="AD14" s="192" t="n"/>
      <c r="AE14" s="193">
        <f>IF(A14="","",AC14*$D14+IF(OR($F14="Exempt",$E14="Sub"),0,AD14*$D14*1.5))</f>
        <v/>
      </c>
      <c r="AF14" s="194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195" t="n"/>
      <c r="AH14" s="195" t="n"/>
      <c r="AI14" s="196">
        <f>IF(A14="","",AG14*$D14+IF(OR($F14="Exempt",$E14="Sub"),0,AH14*$D14*1.5))</f>
        <v/>
      </c>
      <c r="AJ14" s="194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195" t="n"/>
      <c r="AL14" s="195" t="n"/>
      <c r="AM14" s="196">
        <f>IF(A14="","",AK14*$D14+IF(OR($F14="Exempt",$E14="Sub"),0,AL14*$D14*1.5))</f>
        <v/>
      </c>
      <c r="AN14" s="194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195" t="n"/>
      <c r="AP14" s="195" t="n"/>
      <c r="AQ14" s="196">
        <f>IF(A14="","",AO14*$D14+IF(OR($F14="Exempt",$E14="Sub"),0,AP14*$D14*1.5))</f>
        <v/>
      </c>
      <c r="AR14" s="197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198" t="n"/>
      <c r="AT14" s="198" t="n"/>
      <c r="AU14" s="199">
        <f>IF(A14="","",AS14*$D14+IF(OR($F14="Exempt",$E14="Sub"),0,AT14*$D14*1.5))</f>
        <v/>
      </c>
      <c r="AV14" s="197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198" t="n"/>
      <c r="AX14" s="198" t="n"/>
      <c r="AY14" s="199">
        <f>IF(A14="","",AW14*$D14+IF(OR($F14="Exempt",$E14="Sub"),0,AX14*$D14*1.5))</f>
        <v/>
      </c>
      <c r="AZ14" s="197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198" t="n"/>
      <c r="BB14" s="198" t="n"/>
      <c r="BC14" s="199">
        <f>IF(A14="","",BA14*$D14+IF(OR($F14="Exempt",$E14="Sub"),0,BB14*$D14*1.5))</f>
        <v/>
      </c>
      <c r="BD14" s="186">
        <f>IF(A14="","",SUM(H14,L14,P14,T14,X14,AB14,AF14,AJ14,AN14,AR14,AV14,AZ14))</f>
        <v/>
      </c>
      <c r="BE14" s="186">
        <f>IF(A14="","",SUM(I14,J14,M14,N14,Q14,R14,U14,V14,Y14,Z14,AC14,AD14,AG14,AH14,AK14,AL14,AO14,AP14,AS14,AT14,AW14,AX14,BA14,BB14))</f>
        <v/>
      </c>
      <c r="BF14" s="200">
        <f>IF(A14="","",BD14*$D14)</f>
        <v/>
      </c>
      <c r="BG14" s="200">
        <f>IF(A14="","",SUM(K14,O14,S14,W14,AA14,AE14,AI14,AM14,AQ14,AU14,AY14,BC14))</f>
        <v/>
      </c>
    </row>
    <row r="15" ht="15" customHeight="1" s="109">
      <c r="A15" s="128" t="n"/>
      <c r="B15" s="183" t="n"/>
      <c r="C15" s="183" t="n"/>
      <c r="D15" s="183" t="n"/>
      <c r="E15" s="128" t="n"/>
      <c r="F15" s="183" t="n"/>
      <c r="G15" s="128" t="n"/>
      <c r="H15" s="188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89" t="n"/>
      <c r="J15" s="189" t="n"/>
      <c r="K15" s="190">
        <f>IF(A15="","",I15*$D15+IF(OR($F15="Exempt",$E15="Sub"),0,J15*$D15*1.5))</f>
        <v/>
      </c>
      <c r="L15" s="188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89" t="n"/>
      <c r="N15" s="189" t="n"/>
      <c r="O15" s="190">
        <f>IF(A15="","",M15*$D15+IF(OR($F15="Exempt",$E15="Sub"),0,N15*$D15*1.5))</f>
        <v/>
      </c>
      <c r="P15" s="188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89" t="n"/>
      <c r="R15" s="189" t="n"/>
      <c r="S15" s="190">
        <f>IF(A15="","",Q15*$D15+IF(OR($F15="Exempt",$E15="Sub"),0,R15*$D15*1.5))</f>
        <v/>
      </c>
      <c r="T15" s="191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2" t="n"/>
      <c r="V15" s="192" t="n"/>
      <c r="W15" s="193">
        <f>IF(A15="","",U15*$D15+IF(OR($F15="Exempt",$E15="Sub"),0,V15*$D15*1.5))</f>
        <v/>
      </c>
      <c r="X15" s="191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2" t="n"/>
      <c r="Z15" s="192" t="n"/>
      <c r="AA15" s="193">
        <f>IF(A15="","",Y15*$D15+IF(OR($F15="Exempt",$E15="Sub"),0,Z15*$D15*1.5))</f>
        <v/>
      </c>
      <c r="AB15" s="191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2" t="n"/>
      <c r="AD15" s="192" t="n"/>
      <c r="AE15" s="193">
        <f>IF(A15="","",AC15*$D15+IF(OR($F15="Exempt",$E15="Sub"),0,AD15*$D15*1.5))</f>
        <v/>
      </c>
      <c r="AF15" s="194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195" t="n"/>
      <c r="AH15" s="195" t="n"/>
      <c r="AI15" s="196">
        <f>IF(A15="","",AG15*$D15+IF(OR($F15="Exempt",$E15="Sub"),0,AH15*$D15*1.5))</f>
        <v/>
      </c>
      <c r="AJ15" s="194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195" t="n"/>
      <c r="AL15" s="195" t="n"/>
      <c r="AM15" s="196">
        <f>IF(A15="","",AK15*$D15+IF(OR($F15="Exempt",$E15="Sub"),0,AL15*$D15*1.5))</f>
        <v/>
      </c>
      <c r="AN15" s="194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195" t="n"/>
      <c r="AP15" s="195" t="n"/>
      <c r="AQ15" s="196">
        <f>IF(A15="","",AO15*$D15+IF(OR($F15="Exempt",$E15="Sub"),0,AP15*$D15*1.5))</f>
        <v/>
      </c>
      <c r="AR15" s="197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198" t="n"/>
      <c r="AT15" s="198" t="n"/>
      <c r="AU15" s="199">
        <f>IF(A15="","",AS15*$D15+IF(OR($F15="Exempt",$E15="Sub"),0,AT15*$D15*1.5))</f>
        <v/>
      </c>
      <c r="AV15" s="197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198" t="n"/>
      <c r="AX15" s="198" t="n"/>
      <c r="AY15" s="199">
        <f>IF(A15="","",AW15*$D15+IF(OR($F15="Exempt",$E15="Sub"),0,AX15*$D15*1.5))</f>
        <v/>
      </c>
      <c r="AZ15" s="197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198" t="n"/>
      <c r="BB15" s="198" t="n"/>
      <c r="BC15" s="199">
        <f>IF(A15="","",BA15*$D15+IF(OR($F15="Exempt",$E15="Sub"),0,BB15*$D15*1.5))</f>
        <v/>
      </c>
      <c r="BD15" s="186">
        <f>IF(A15="","",SUM(H15,L15,P15,T15,X15,AB15,AF15,AJ15,AN15,AR15,AV15,AZ15))</f>
        <v/>
      </c>
      <c r="BE15" s="186">
        <f>IF(A15="","",SUM(I15,J15,M15,N15,Q15,R15,U15,V15,Y15,Z15,AC15,AD15,AG15,AH15,AK15,AL15,AO15,AP15,AS15,AT15,AW15,AX15,BA15,BB15))</f>
        <v/>
      </c>
      <c r="BF15" s="200">
        <f>IF(A15="","",BD15*$D15)</f>
        <v/>
      </c>
      <c r="BG15" s="200">
        <f>IF(A15="","",SUM(K15,O15,S15,W15,AA15,AE15,AI15,AM15,AQ15,AU15,AY15,BC15))</f>
        <v/>
      </c>
    </row>
    <row r="16" ht="15" customHeight="1" s="109">
      <c r="A16" s="128" t="n"/>
      <c r="B16" s="183" t="n"/>
      <c r="C16" s="183" t="n"/>
      <c r="D16" s="183" t="n"/>
      <c r="E16" s="128" t="n"/>
      <c r="F16" s="183" t="n"/>
      <c r="G16" s="128" t="n"/>
      <c r="H16" s="188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89" t="n"/>
      <c r="J16" s="189" t="n"/>
      <c r="K16" s="190">
        <f>IF(A16="","",I16*$D16+IF(OR($F16="Exempt",$E16="Sub"),0,J16*$D16*1.5))</f>
        <v/>
      </c>
      <c r="L16" s="188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89" t="n"/>
      <c r="N16" s="189" t="n"/>
      <c r="O16" s="190">
        <f>IF(A16="","",M16*$D16+IF(OR($F16="Exempt",$E16="Sub"),0,N16*$D16*1.5))</f>
        <v/>
      </c>
      <c r="P16" s="188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89" t="n"/>
      <c r="R16" s="189" t="n"/>
      <c r="S16" s="190">
        <f>IF(A16="","",Q16*$D16+IF(OR($F16="Exempt",$E16="Sub"),0,R16*$D16*1.5))</f>
        <v/>
      </c>
      <c r="T16" s="191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2" t="n"/>
      <c r="V16" s="192" t="n"/>
      <c r="W16" s="193">
        <f>IF(A16="","",U16*$D16+IF(OR($F16="Exempt",$E16="Sub"),0,V16*$D16*1.5))</f>
        <v/>
      </c>
      <c r="X16" s="191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2" t="n"/>
      <c r="Z16" s="192" t="n"/>
      <c r="AA16" s="193">
        <f>IF(A16="","",Y16*$D16+IF(OR($F16="Exempt",$E16="Sub"),0,Z16*$D16*1.5))</f>
        <v/>
      </c>
      <c r="AB16" s="191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2" t="n"/>
      <c r="AD16" s="192" t="n"/>
      <c r="AE16" s="193">
        <f>IF(A16="","",AC16*$D16+IF(OR($F16="Exempt",$E16="Sub"),0,AD16*$D16*1.5))</f>
        <v/>
      </c>
      <c r="AF16" s="194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195" t="n"/>
      <c r="AH16" s="195" t="n"/>
      <c r="AI16" s="196">
        <f>IF(A16="","",AG16*$D16+IF(OR($F16="Exempt",$E16="Sub"),0,AH16*$D16*1.5))</f>
        <v/>
      </c>
      <c r="AJ16" s="194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195" t="n"/>
      <c r="AL16" s="195" t="n"/>
      <c r="AM16" s="196">
        <f>IF(A16="","",AK16*$D16+IF(OR($F16="Exempt",$E16="Sub"),0,AL16*$D16*1.5))</f>
        <v/>
      </c>
      <c r="AN16" s="194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195" t="n"/>
      <c r="AP16" s="195" t="n"/>
      <c r="AQ16" s="196">
        <f>IF(A16="","",AO16*$D16+IF(OR($F16="Exempt",$E16="Sub"),0,AP16*$D16*1.5))</f>
        <v/>
      </c>
      <c r="AR16" s="197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198" t="n"/>
      <c r="AT16" s="198" t="n"/>
      <c r="AU16" s="199">
        <f>IF(A16="","",AS16*$D16+IF(OR($F16="Exempt",$E16="Sub"),0,AT16*$D16*1.5))</f>
        <v/>
      </c>
      <c r="AV16" s="197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198" t="n"/>
      <c r="AX16" s="198" t="n"/>
      <c r="AY16" s="199">
        <f>IF(A16="","",AW16*$D16+IF(OR($F16="Exempt",$E16="Sub"),0,AX16*$D16*1.5))</f>
        <v/>
      </c>
      <c r="AZ16" s="197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198" t="n"/>
      <c r="BB16" s="198" t="n"/>
      <c r="BC16" s="199">
        <f>IF(A16="","",BA16*$D16+IF(OR($F16="Exempt",$E16="Sub"),0,BB16*$D16*1.5))</f>
        <v/>
      </c>
      <c r="BD16" s="186">
        <f>IF(A16="","",SUM(H16,L16,P16,T16,X16,AB16,AF16,AJ16,AN16,AR16,AV16,AZ16))</f>
        <v/>
      </c>
      <c r="BE16" s="186">
        <f>IF(A16="","",SUM(I16,J16,M16,N16,Q16,R16,U16,V16,Y16,Z16,AC16,AD16,AG16,AH16,AK16,AL16,AO16,AP16,AS16,AT16,AW16,AX16,BA16,BB16))</f>
        <v/>
      </c>
      <c r="BF16" s="200">
        <f>IF(A16="","",BD16*$D16)</f>
        <v/>
      </c>
      <c r="BG16" s="200">
        <f>IF(A16="","",SUM(K16,O16,S16,W16,AA16,AE16,AI16,AM16,AQ16,AU16,AY16,BC16))</f>
        <v/>
      </c>
    </row>
    <row r="17" ht="15" customHeight="1" s="109">
      <c r="A17" s="128" t="n"/>
      <c r="B17" s="183" t="n"/>
      <c r="C17" s="183" t="n"/>
      <c r="D17" s="183" t="n"/>
      <c r="E17" s="128" t="n"/>
      <c r="F17" s="183" t="n"/>
      <c r="G17" s="128" t="n"/>
      <c r="H17" s="188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89" t="n"/>
      <c r="J17" s="189" t="n"/>
      <c r="K17" s="190">
        <f>IF(A17="","",I17*$D17+IF(OR($F17="Exempt",$E17="Sub"),0,J17*$D17*1.5))</f>
        <v/>
      </c>
      <c r="L17" s="188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89" t="n"/>
      <c r="N17" s="189" t="n"/>
      <c r="O17" s="190">
        <f>IF(A17="","",M17*$D17+IF(OR($F17="Exempt",$E17="Sub"),0,N17*$D17*1.5))</f>
        <v/>
      </c>
      <c r="P17" s="188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89" t="n"/>
      <c r="R17" s="189" t="n"/>
      <c r="S17" s="190">
        <f>IF(A17="","",Q17*$D17+IF(OR($F17="Exempt",$E17="Sub"),0,R17*$D17*1.5))</f>
        <v/>
      </c>
      <c r="T17" s="191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2" t="n"/>
      <c r="V17" s="192" t="n"/>
      <c r="W17" s="193">
        <f>IF(A17="","",U17*$D17+IF(OR($F17="Exempt",$E17="Sub"),0,V17*$D17*1.5))</f>
        <v/>
      </c>
      <c r="X17" s="191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2" t="n"/>
      <c r="Z17" s="192" t="n"/>
      <c r="AA17" s="193">
        <f>IF(A17="","",Y17*$D17+IF(OR($F17="Exempt",$E17="Sub"),0,Z17*$D17*1.5))</f>
        <v/>
      </c>
      <c r="AB17" s="191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2" t="n"/>
      <c r="AD17" s="192" t="n"/>
      <c r="AE17" s="193">
        <f>IF(A17="","",AC17*$D17+IF(OR($F17="Exempt",$E17="Sub"),0,AD17*$D17*1.5))</f>
        <v/>
      </c>
      <c r="AF17" s="194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195" t="n"/>
      <c r="AH17" s="195" t="n"/>
      <c r="AI17" s="196">
        <f>IF(A17="","",AG17*$D17+IF(OR($F17="Exempt",$E17="Sub"),0,AH17*$D17*1.5))</f>
        <v/>
      </c>
      <c r="AJ17" s="194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195" t="n"/>
      <c r="AL17" s="195" t="n"/>
      <c r="AM17" s="196">
        <f>IF(A17="","",AK17*$D17+IF(OR($F17="Exempt",$E17="Sub"),0,AL17*$D17*1.5))</f>
        <v/>
      </c>
      <c r="AN17" s="194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195" t="n"/>
      <c r="AP17" s="195" t="n"/>
      <c r="AQ17" s="196">
        <f>IF(A17="","",AO17*$D17+IF(OR($F17="Exempt",$E17="Sub"),0,AP17*$D17*1.5))</f>
        <v/>
      </c>
      <c r="AR17" s="197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198" t="n"/>
      <c r="AT17" s="198" t="n"/>
      <c r="AU17" s="199">
        <f>IF(A17="","",AS17*$D17+IF(OR($F17="Exempt",$E17="Sub"),0,AT17*$D17*1.5))</f>
        <v/>
      </c>
      <c r="AV17" s="197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198" t="n"/>
      <c r="AX17" s="198" t="n"/>
      <c r="AY17" s="199">
        <f>IF(A17="","",AW17*$D17+IF(OR($F17="Exempt",$E17="Sub"),0,AX17*$D17*1.5))</f>
        <v/>
      </c>
      <c r="AZ17" s="197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198" t="n"/>
      <c r="BB17" s="198" t="n"/>
      <c r="BC17" s="199">
        <f>IF(A17="","",BA17*$D17+IF(OR($F17="Exempt",$E17="Sub"),0,BB17*$D17*1.5))</f>
        <v/>
      </c>
      <c r="BD17" s="186">
        <f>IF(A17="","",SUM(H17,L17,P17,T17,X17,AB17,AF17,AJ17,AN17,AR17,AV17,AZ17))</f>
        <v/>
      </c>
      <c r="BE17" s="186">
        <f>IF(A17="","",SUM(I17,J17,M17,N17,Q17,R17,U17,V17,Y17,Z17,AC17,AD17,AG17,AH17,AK17,AL17,AO17,AP17,AS17,AT17,AW17,AX17,BA17,BB17))</f>
        <v/>
      </c>
      <c r="BF17" s="200">
        <f>IF(A17="","",BD17*$D17)</f>
        <v/>
      </c>
      <c r="BG17" s="200">
        <f>IF(A17="","",SUM(K17,O17,S17,W17,AA17,AE17,AI17,AM17,AQ17,AU17,AY17,BC17))</f>
        <v/>
      </c>
    </row>
    <row r="18" ht="15" customHeight="1" s="109">
      <c r="A18" s="128" t="n"/>
      <c r="B18" s="183" t="n"/>
      <c r="C18" s="183" t="n"/>
      <c r="D18" s="183" t="n"/>
      <c r="E18" s="128" t="n"/>
      <c r="F18" s="183" t="n"/>
      <c r="G18" s="128" t="n"/>
      <c r="H18" s="188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89" t="n"/>
      <c r="J18" s="189" t="n"/>
      <c r="K18" s="190">
        <f>IF(A18="","",I18*$D18+IF(OR($F18="Exempt",$E18="Sub"),0,J18*$D18*1.5))</f>
        <v/>
      </c>
      <c r="L18" s="188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89" t="n"/>
      <c r="N18" s="189" t="n"/>
      <c r="O18" s="190">
        <f>IF(A18="","",M18*$D18+IF(OR($F18="Exempt",$E18="Sub"),0,N18*$D18*1.5))</f>
        <v/>
      </c>
      <c r="P18" s="188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89" t="n"/>
      <c r="R18" s="189" t="n"/>
      <c r="S18" s="190">
        <f>IF(A18="","",Q18*$D18+IF(OR($F18="Exempt",$E18="Sub"),0,R18*$D18*1.5))</f>
        <v/>
      </c>
      <c r="T18" s="191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2" t="n"/>
      <c r="V18" s="192" t="n"/>
      <c r="W18" s="193">
        <f>IF(A18="","",U18*$D18+IF(OR($F18="Exempt",$E18="Sub"),0,V18*$D18*1.5))</f>
        <v/>
      </c>
      <c r="X18" s="191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2" t="n"/>
      <c r="Z18" s="192" t="n"/>
      <c r="AA18" s="193">
        <f>IF(A18="","",Y18*$D18+IF(OR($F18="Exempt",$E18="Sub"),0,Z18*$D18*1.5))</f>
        <v/>
      </c>
      <c r="AB18" s="191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2" t="n"/>
      <c r="AD18" s="192" t="n"/>
      <c r="AE18" s="193">
        <f>IF(A18="","",AC18*$D18+IF(OR($F18="Exempt",$E18="Sub"),0,AD18*$D18*1.5))</f>
        <v/>
      </c>
      <c r="AF18" s="194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195" t="n"/>
      <c r="AH18" s="195" t="n"/>
      <c r="AI18" s="196">
        <f>IF(A18="","",AG18*$D18+IF(OR($F18="Exempt",$E18="Sub"),0,AH18*$D18*1.5))</f>
        <v/>
      </c>
      <c r="AJ18" s="194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195" t="n"/>
      <c r="AL18" s="195" t="n"/>
      <c r="AM18" s="196">
        <f>IF(A18="","",AK18*$D18+IF(OR($F18="Exempt",$E18="Sub"),0,AL18*$D18*1.5))</f>
        <v/>
      </c>
      <c r="AN18" s="194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195" t="n"/>
      <c r="AP18" s="195" t="n"/>
      <c r="AQ18" s="196">
        <f>IF(A18="","",AO18*$D18+IF(OR($F18="Exempt",$E18="Sub"),0,AP18*$D18*1.5))</f>
        <v/>
      </c>
      <c r="AR18" s="197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198" t="n"/>
      <c r="AT18" s="198" t="n"/>
      <c r="AU18" s="199">
        <f>IF(A18="","",AS18*$D18+IF(OR($F18="Exempt",$E18="Sub"),0,AT18*$D18*1.5))</f>
        <v/>
      </c>
      <c r="AV18" s="197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198" t="n"/>
      <c r="AX18" s="198" t="n"/>
      <c r="AY18" s="199">
        <f>IF(A18="","",AW18*$D18+IF(OR($F18="Exempt",$E18="Sub"),0,AX18*$D18*1.5))</f>
        <v/>
      </c>
      <c r="AZ18" s="197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198" t="n"/>
      <c r="BB18" s="198" t="n"/>
      <c r="BC18" s="199">
        <f>IF(A18="","",BA18*$D18+IF(OR($F18="Exempt",$E18="Sub"),0,BB18*$D18*1.5))</f>
        <v/>
      </c>
      <c r="BD18" s="186">
        <f>IF(A18="","",SUM(H18,L18,P18,T18,X18,AB18,AF18,AJ18,AN18,AR18,AV18,AZ18))</f>
        <v/>
      </c>
      <c r="BE18" s="186">
        <f>IF(A18="","",SUM(I18,J18,M18,N18,Q18,R18,U18,V18,Y18,Z18,AC18,AD18,AG18,AH18,AK18,AL18,AO18,AP18,AS18,AT18,AW18,AX18,BA18,BB18))</f>
        <v/>
      </c>
      <c r="BF18" s="200">
        <f>IF(A18="","",BD18*$D18)</f>
        <v/>
      </c>
      <c r="BG18" s="200">
        <f>IF(A18="","",SUM(K18,O18,S18,W18,AA18,AE18,AI18,AM18,AQ18,AU18,AY18,BC18))</f>
        <v/>
      </c>
    </row>
    <row r="19" ht="15" customHeight="1" s="109">
      <c r="A19" s="128" t="n"/>
      <c r="B19" s="183" t="n"/>
      <c r="C19" s="183" t="n"/>
      <c r="D19" s="183" t="n"/>
      <c r="E19" s="128" t="n"/>
      <c r="F19" s="183" t="n"/>
      <c r="G19" s="128" t="n"/>
      <c r="H19" s="188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89" t="n"/>
      <c r="J19" s="189" t="n"/>
      <c r="K19" s="190">
        <f>IF(A19="","",I19*$D19+IF(OR($F19="Exempt",$E19="Sub"),0,J19*$D19*1.5))</f>
        <v/>
      </c>
      <c r="L19" s="188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89" t="n"/>
      <c r="N19" s="189" t="n"/>
      <c r="O19" s="190">
        <f>IF(A19="","",M19*$D19+IF(OR($F19="Exempt",$E19="Sub"),0,N19*$D19*1.5))</f>
        <v/>
      </c>
      <c r="P19" s="188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89" t="n"/>
      <c r="R19" s="189" t="n"/>
      <c r="S19" s="190">
        <f>IF(A19="","",Q19*$D19+IF(OR($F19="Exempt",$E19="Sub"),0,R19*$D19*1.5))</f>
        <v/>
      </c>
      <c r="T19" s="191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2" t="n"/>
      <c r="V19" s="192" t="n"/>
      <c r="W19" s="193">
        <f>IF(A19="","",U19*$D19+IF(OR($F19="Exempt",$E19="Sub"),0,V19*$D19*1.5))</f>
        <v/>
      </c>
      <c r="X19" s="191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2" t="n"/>
      <c r="Z19" s="192" t="n"/>
      <c r="AA19" s="193">
        <f>IF(A19="","",Y19*$D19+IF(OR($F19="Exempt",$E19="Sub"),0,Z19*$D19*1.5))</f>
        <v/>
      </c>
      <c r="AB19" s="191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2" t="n"/>
      <c r="AD19" s="192" t="n"/>
      <c r="AE19" s="193">
        <f>IF(A19="","",AC19*$D19+IF(OR($F19="Exempt",$E19="Sub"),0,AD19*$D19*1.5))</f>
        <v/>
      </c>
      <c r="AF19" s="194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195" t="n"/>
      <c r="AH19" s="195" t="n"/>
      <c r="AI19" s="196">
        <f>IF(A19="","",AG19*$D19+IF(OR($F19="Exempt",$E19="Sub"),0,AH19*$D19*1.5))</f>
        <v/>
      </c>
      <c r="AJ19" s="194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195" t="n"/>
      <c r="AL19" s="195" t="n"/>
      <c r="AM19" s="196">
        <f>IF(A19="","",AK19*$D19+IF(OR($F19="Exempt",$E19="Sub"),0,AL19*$D19*1.5))</f>
        <v/>
      </c>
      <c r="AN19" s="194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195" t="n"/>
      <c r="AP19" s="195" t="n"/>
      <c r="AQ19" s="196">
        <f>IF(A19="","",AO19*$D19+IF(OR($F19="Exempt",$E19="Sub"),0,AP19*$D19*1.5))</f>
        <v/>
      </c>
      <c r="AR19" s="197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198" t="n"/>
      <c r="AT19" s="198" t="n"/>
      <c r="AU19" s="199">
        <f>IF(A19="","",AS19*$D19+IF(OR($F19="Exempt",$E19="Sub"),0,AT19*$D19*1.5))</f>
        <v/>
      </c>
      <c r="AV19" s="197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198" t="n"/>
      <c r="AX19" s="198" t="n"/>
      <c r="AY19" s="199">
        <f>IF(A19="","",AW19*$D19+IF(OR($F19="Exempt",$E19="Sub"),0,AX19*$D19*1.5))</f>
        <v/>
      </c>
      <c r="AZ19" s="197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198" t="n"/>
      <c r="BB19" s="198" t="n"/>
      <c r="BC19" s="199">
        <f>IF(A19="","",BA19*$D19+IF(OR($F19="Exempt",$E19="Sub"),0,BB19*$D19*1.5))</f>
        <v/>
      </c>
      <c r="BD19" s="186">
        <f>IF(A19="","",SUM(H19,L19,P19,T19,X19,AB19,AF19,AJ19,AN19,AR19,AV19,AZ19))</f>
        <v/>
      </c>
      <c r="BE19" s="186">
        <f>IF(A19="","",SUM(I19,J19,M19,N19,Q19,R19,U19,V19,Y19,Z19,AC19,AD19,AG19,AH19,AK19,AL19,AO19,AP19,AS19,AT19,AW19,AX19,BA19,BB19))</f>
        <v/>
      </c>
      <c r="BF19" s="200">
        <f>IF(A19="","",BD19*$D19)</f>
        <v/>
      </c>
      <c r="BG19" s="200">
        <f>IF(A19="","",SUM(K19,O19,S19,W19,AA19,AE19,AI19,AM19,AQ19,AU19,AY19,BC19))</f>
        <v/>
      </c>
    </row>
    <row r="20" ht="15" customHeight="1" s="109">
      <c r="A20" s="128" t="n"/>
      <c r="B20" s="183" t="n"/>
      <c r="C20" s="183" t="n"/>
      <c r="D20" s="183" t="n"/>
      <c r="E20" s="128" t="n"/>
      <c r="F20" s="183" t="n"/>
      <c r="G20" s="128" t="n"/>
      <c r="H20" s="188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89" t="n"/>
      <c r="J20" s="189" t="n"/>
      <c r="K20" s="190">
        <f>IF(A20="","",I20*$D20+IF(OR($F20="Exempt",$E20="Sub"),0,J20*$D20*1.5))</f>
        <v/>
      </c>
      <c r="L20" s="188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89" t="n"/>
      <c r="N20" s="189" t="n"/>
      <c r="O20" s="190">
        <f>IF(A20="","",M20*$D20+IF(OR($F20="Exempt",$E20="Sub"),0,N20*$D20*1.5))</f>
        <v/>
      </c>
      <c r="P20" s="188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89" t="n"/>
      <c r="R20" s="189" t="n"/>
      <c r="S20" s="190">
        <f>IF(A20="","",Q20*$D20+IF(OR($F20="Exempt",$E20="Sub"),0,R20*$D20*1.5))</f>
        <v/>
      </c>
      <c r="T20" s="191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2" t="n"/>
      <c r="V20" s="192" t="n"/>
      <c r="W20" s="193">
        <f>IF(A20="","",U20*$D20+IF(OR($F20="Exempt",$E20="Sub"),0,V20*$D20*1.5))</f>
        <v/>
      </c>
      <c r="X20" s="191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2" t="n"/>
      <c r="Z20" s="192" t="n"/>
      <c r="AA20" s="193">
        <f>IF(A20="","",Y20*$D20+IF(OR($F20="Exempt",$E20="Sub"),0,Z20*$D20*1.5))</f>
        <v/>
      </c>
      <c r="AB20" s="191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2" t="n"/>
      <c r="AD20" s="192" t="n"/>
      <c r="AE20" s="193">
        <f>IF(A20="","",AC20*$D20+IF(OR($F20="Exempt",$E20="Sub"),0,AD20*$D20*1.5))</f>
        <v/>
      </c>
      <c r="AF20" s="194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195" t="n"/>
      <c r="AH20" s="195" t="n"/>
      <c r="AI20" s="196">
        <f>IF(A20="","",AG20*$D20+IF(OR($F20="Exempt",$E20="Sub"),0,AH20*$D20*1.5))</f>
        <v/>
      </c>
      <c r="AJ20" s="194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195" t="n"/>
      <c r="AL20" s="195" t="n"/>
      <c r="AM20" s="196">
        <f>IF(A20="","",AK20*$D20+IF(OR($F20="Exempt",$E20="Sub"),0,AL20*$D20*1.5))</f>
        <v/>
      </c>
      <c r="AN20" s="194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195" t="n"/>
      <c r="AP20" s="195" t="n"/>
      <c r="AQ20" s="196">
        <f>IF(A20="","",AO20*$D20+IF(OR($F20="Exempt",$E20="Sub"),0,AP20*$D20*1.5))</f>
        <v/>
      </c>
      <c r="AR20" s="197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198" t="n"/>
      <c r="AT20" s="198" t="n"/>
      <c r="AU20" s="199">
        <f>IF(A20="","",AS20*$D20+IF(OR($F20="Exempt",$E20="Sub"),0,AT20*$D20*1.5))</f>
        <v/>
      </c>
      <c r="AV20" s="197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198" t="n"/>
      <c r="AX20" s="198" t="n"/>
      <c r="AY20" s="199">
        <f>IF(A20="","",AW20*$D20+IF(OR($F20="Exempt",$E20="Sub"),0,AX20*$D20*1.5))</f>
        <v/>
      </c>
      <c r="AZ20" s="197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198" t="n"/>
      <c r="BB20" s="198" t="n"/>
      <c r="BC20" s="199">
        <f>IF(A20="","",BA20*$D20+IF(OR($F20="Exempt",$E20="Sub"),0,BB20*$D20*1.5))</f>
        <v/>
      </c>
      <c r="BD20" s="186">
        <f>IF(A20="","",SUM(H20,L20,P20,T20,X20,AB20,AF20,AJ20,AN20,AR20,AV20,AZ20))</f>
        <v/>
      </c>
      <c r="BE20" s="186">
        <f>IF(A20="","",SUM(I20,J20,M20,N20,Q20,R20,U20,V20,Y20,Z20,AC20,AD20,AG20,AH20,AK20,AL20,AO20,AP20,AS20,AT20,AW20,AX20,BA20,BB20))</f>
        <v/>
      </c>
      <c r="BF20" s="200">
        <f>IF(A20="","",BD20*$D20)</f>
        <v/>
      </c>
      <c r="BG20" s="200">
        <f>IF(A20="","",SUM(K20,O20,S20,W20,AA20,AE20,AI20,AM20,AQ20,AU20,AY20,BC20))</f>
        <v/>
      </c>
    </row>
    <row r="21" ht="15" customHeight="1" s="109">
      <c r="A21" s="128" t="n"/>
      <c r="B21" s="183" t="n"/>
      <c r="C21" s="183" t="n"/>
      <c r="D21" s="183" t="n"/>
      <c r="E21" s="128" t="n"/>
      <c r="F21" s="183" t="n"/>
      <c r="G21" s="128" t="n"/>
      <c r="H21" s="188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89" t="n"/>
      <c r="J21" s="189" t="n"/>
      <c r="K21" s="190">
        <f>IF(A21="","",I21*$D21+IF(OR($F21="Exempt",$E21="Sub"),0,J21*$D21*1.5))</f>
        <v/>
      </c>
      <c r="L21" s="188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89" t="n"/>
      <c r="N21" s="189" t="n"/>
      <c r="O21" s="190">
        <f>IF(A21="","",M21*$D21+IF(OR($F21="Exempt",$E21="Sub"),0,N21*$D21*1.5))</f>
        <v/>
      </c>
      <c r="P21" s="188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89" t="n"/>
      <c r="R21" s="189" t="n"/>
      <c r="S21" s="190">
        <f>IF(A21="","",Q21*$D21+IF(OR($F21="Exempt",$E21="Sub"),0,R21*$D21*1.5))</f>
        <v/>
      </c>
      <c r="T21" s="191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2" t="n"/>
      <c r="V21" s="192" t="n"/>
      <c r="W21" s="193">
        <f>IF(A21="","",U21*$D21+IF(OR($F21="Exempt",$E21="Sub"),0,V21*$D21*1.5))</f>
        <v/>
      </c>
      <c r="X21" s="191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2" t="n"/>
      <c r="Z21" s="192" t="n"/>
      <c r="AA21" s="193">
        <f>IF(A21="","",Y21*$D21+IF(OR($F21="Exempt",$E21="Sub"),0,Z21*$D21*1.5))</f>
        <v/>
      </c>
      <c r="AB21" s="191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2" t="n"/>
      <c r="AD21" s="192" t="n"/>
      <c r="AE21" s="193">
        <f>IF(A21="","",AC21*$D21+IF(OR($F21="Exempt",$E21="Sub"),0,AD21*$D21*1.5))</f>
        <v/>
      </c>
      <c r="AF21" s="194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195" t="n"/>
      <c r="AH21" s="195" t="n"/>
      <c r="AI21" s="196">
        <f>IF(A21="","",AG21*$D21+IF(OR($F21="Exempt",$E21="Sub"),0,AH21*$D21*1.5))</f>
        <v/>
      </c>
      <c r="AJ21" s="194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195" t="n"/>
      <c r="AL21" s="195" t="n"/>
      <c r="AM21" s="196">
        <f>IF(A21="","",AK21*$D21+IF(OR($F21="Exempt",$E21="Sub"),0,AL21*$D21*1.5))</f>
        <v/>
      </c>
      <c r="AN21" s="194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195" t="n"/>
      <c r="AP21" s="195" t="n"/>
      <c r="AQ21" s="196">
        <f>IF(A21="","",AO21*$D21+IF(OR($F21="Exempt",$E21="Sub"),0,AP21*$D21*1.5))</f>
        <v/>
      </c>
      <c r="AR21" s="197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198" t="n"/>
      <c r="AT21" s="198" t="n"/>
      <c r="AU21" s="199">
        <f>IF(A21="","",AS21*$D21+IF(OR($F21="Exempt",$E21="Sub"),0,AT21*$D21*1.5))</f>
        <v/>
      </c>
      <c r="AV21" s="197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198" t="n"/>
      <c r="AX21" s="198" t="n"/>
      <c r="AY21" s="199">
        <f>IF(A21="","",AW21*$D21+IF(OR($F21="Exempt",$E21="Sub"),0,AX21*$D21*1.5))</f>
        <v/>
      </c>
      <c r="AZ21" s="197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198" t="n"/>
      <c r="BB21" s="198" t="n"/>
      <c r="BC21" s="199">
        <f>IF(A21="","",BA21*$D21+IF(OR($F21="Exempt",$E21="Sub"),0,BB21*$D21*1.5))</f>
        <v/>
      </c>
      <c r="BD21" s="186">
        <f>IF(A21="","",SUM(H21,L21,P21,T21,X21,AB21,AF21,AJ21,AN21,AR21,AV21,AZ21))</f>
        <v/>
      </c>
      <c r="BE21" s="186">
        <f>IF(A21="","",SUM(I21,J21,M21,N21,Q21,R21,U21,V21,Y21,Z21,AC21,AD21,AG21,AH21,AK21,AL21,AO21,AP21,AS21,AT21,AW21,AX21,BA21,BB21))</f>
        <v/>
      </c>
      <c r="BF21" s="200">
        <f>IF(A21="","",BD21*$D21)</f>
        <v/>
      </c>
      <c r="BG21" s="200">
        <f>IF(A21="","",SUM(K21,O21,S21,W21,AA21,AE21,AI21,AM21,AQ21,AU21,AY21,BC21))</f>
        <v/>
      </c>
    </row>
    <row r="22" ht="15" customHeight="1" s="109">
      <c r="A22" s="128" t="n"/>
      <c r="B22" s="183" t="n"/>
      <c r="C22" s="183" t="n"/>
      <c r="D22" s="183" t="n"/>
      <c r="E22" s="128" t="n"/>
      <c r="F22" s="183" t="n"/>
      <c r="G22" s="128" t="n"/>
      <c r="H22" s="188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89" t="n"/>
      <c r="J22" s="189" t="n"/>
      <c r="K22" s="190">
        <f>IF(A22="","",I22*$D22+IF(OR($F22="Exempt",$E22="Sub"),0,J22*$D22*1.5))</f>
        <v/>
      </c>
      <c r="L22" s="188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89" t="n"/>
      <c r="N22" s="189" t="n"/>
      <c r="O22" s="190">
        <f>IF(A22="","",M22*$D22+IF(OR($F22="Exempt",$E22="Sub"),0,N22*$D22*1.5))</f>
        <v/>
      </c>
      <c r="P22" s="188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89" t="n"/>
      <c r="R22" s="189" t="n"/>
      <c r="S22" s="190">
        <f>IF(A22="","",Q22*$D22+IF(OR($F22="Exempt",$E22="Sub"),0,R22*$D22*1.5))</f>
        <v/>
      </c>
      <c r="T22" s="191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2" t="n"/>
      <c r="V22" s="192" t="n"/>
      <c r="W22" s="193">
        <f>IF(A22="","",U22*$D22+IF(OR($F22="Exempt",$E22="Sub"),0,V22*$D22*1.5))</f>
        <v/>
      </c>
      <c r="X22" s="191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2" t="n"/>
      <c r="Z22" s="192" t="n"/>
      <c r="AA22" s="193">
        <f>IF(A22="","",Y22*$D22+IF(OR($F22="Exempt",$E22="Sub"),0,Z22*$D22*1.5))</f>
        <v/>
      </c>
      <c r="AB22" s="191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2" t="n"/>
      <c r="AD22" s="192" t="n"/>
      <c r="AE22" s="193">
        <f>IF(A22="","",AC22*$D22+IF(OR($F22="Exempt",$E22="Sub"),0,AD22*$D22*1.5))</f>
        <v/>
      </c>
      <c r="AF22" s="194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195" t="n"/>
      <c r="AH22" s="195" t="n"/>
      <c r="AI22" s="196">
        <f>IF(A22="","",AG22*$D22+IF(OR($F22="Exempt",$E22="Sub"),0,AH22*$D22*1.5))</f>
        <v/>
      </c>
      <c r="AJ22" s="194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195" t="n"/>
      <c r="AL22" s="195" t="n"/>
      <c r="AM22" s="196">
        <f>IF(A22="","",AK22*$D22+IF(OR($F22="Exempt",$E22="Sub"),0,AL22*$D22*1.5))</f>
        <v/>
      </c>
      <c r="AN22" s="194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195" t="n"/>
      <c r="AP22" s="195" t="n"/>
      <c r="AQ22" s="196">
        <f>IF(A22="","",AO22*$D22+IF(OR($F22="Exempt",$E22="Sub"),0,AP22*$D22*1.5))</f>
        <v/>
      </c>
      <c r="AR22" s="197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198" t="n"/>
      <c r="AT22" s="198" t="n"/>
      <c r="AU22" s="199">
        <f>IF(A22="","",AS22*$D22+IF(OR($F22="Exempt",$E22="Sub"),0,AT22*$D22*1.5))</f>
        <v/>
      </c>
      <c r="AV22" s="197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198" t="n"/>
      <c r="AX22" s="198" t="n"/>
      <c r="AY22" s="199">
        <f>IF(A22="","",AW22*$D22+IF(OR($F22="Exempt",$E22="Sub"),0,AX22*$D22*1.5))</f>
        <v/>
      </c>
      <c r="AZ22" s="197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198" t="n"/>
      <c r="BB22" s="198" t="n"/>
      <c r="BC22" s="199">
        <f>IF(A22="","",BA22*$D22+IF(OR($F22="Exempt",$E22="Sub"),0,BB22*$D22*1.5))</f>
        <v/>
      </c>
      <c r="BD22" s="186">
        <f>IF(A22="","",SUM(H22,L22,P22,T22,X22,AB22,AF22,AJ22,AN22,AR22,AV22,AZ22))</f>
        <v/>
      </c>
      <c r="BE22" s="186">
        <f>IF(A22="","",SUM(I22,J22,M22,N22,Q22,R22,U22,V22,Y22,Z22,AC22,AD22,AG22,AH22,AK22,AL22,AO22,AP22,AS22,AT22,AW22,AX22,BA22,BB22))</f>
        <v/>
      </c>
      <c r="BF22" s="200">
        <f>IF(A22="","",BD22*$D22)</f>
        <v/>
      </c>
      <c r="BG22" s="200">
        <f>IF(A22="","",SUM(K22,O22,S22,W22,AA22,AE22,AI22,AM22,AQ22,AU22,AY22,BC22))</f>
        <v/>
      </c>
    </row>
    <row r="23" ht="15" customHeight="1" s="109">
      <c r="A23" s="128" t="n"/>
      <c r="B23" s="183" t="n"/>
      <c r="C23" s="183" t="n"/>
      <c r="D23" s="183" t="n"/>
      <c r="E23" s="128" t="n"/>
      <c r="F23" s="183" t="n"/>
      <c r="G23" s="128" t="n"/>
      <c r="H23" s="188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89" t="n"/>
      <c r="J23" s="189" t="n"/>
      <c r="K23" s="190">
        <f>IF(A23="","",I23*$D23+IF(OR($F23="Exempt",$E23="Sub"),0,J23*$D23*1.5))</f>
        <v/>
      </c>
      <c r="L23" s="188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89" t="n"/>
      <c r="N23" s="189" t="n"/>
      <c r="O23" s="190">
        <f>IF(A23="","",M23*$D23+IF(OR($F23="Exempt",$E23="Sub"),0,N23*$D23*1.5))</f>
        <v/>
      </c>
      <c r="P23" s="188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89" t="n"/>
      <c r="R23" s="189" t="n"/>
      <c r="S23" s="190">
        <f>IF(A23="","",Q23*$D23+IF(OR($F23="Exempt",$E23="Sub"),0,R23*$D23*1.5))</f>
        <v/>
      </c>
      <c r="T23" s="191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2" t="n"/>
      <c r="V23" s="192" t="n"/>
      <c r="W23" s="193">
        <f>IF(A23="","",U23*$D23+IF(OR($F23="Exempt",$E23="Sub"),0,V23*$D23*1.5))</f>
        <v/>
      </c>
      <c r="X23" s="191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2" t="n"/>
      <c r="Z23" s="192" t="n"/>
      <c r="AA23" s="193">
        <f>IF(A23="","",Y23*$D23+IF(OR($F23="Exempt",$E23="Sub"),0,Z23*$D23*1.5))</f>
        <v/>
      </c>
      <c r="AB23" s="191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2" t="n"/>
      <c r="AD23" s="192" t="n"/>
      <c r="AE23" s="193">
        <f>IF(A23="","",AC23*$D23+IF(OR($F23="Exempt",$E23="Sub"),0,AD23*$D23*1.5))</f>
        <v/>
      </c>
      <c r="AF23" s="194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195" t="n"/>
      <c r="AH23" s="195" t="n"/>
      <c r="AI23" s="196">
        <f>IF(A23="","",AG23*$D23+IF(OR($F23="Exempt",$E23="Sub"),0,AH23*$D23*1.5))</f>
        <v/>
      </c>
      <c r="AJ23" s="194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195" t="n"/>
      <c r="AL23" s="195" t="n"/>
      <c r="AM23" s="196">
        <f>IF(A23="","",AK23*$D23+IF(OR($F23="Exempt",$E23="Sub"),0,AL23*$D23*1.5))</f>
        <v/>
      </c>
      <c r="AN23" s="194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195" t="n"/>
      <c r="AP23" s="195" t="n"/>
      <c r="AQ23" s="196">
        <f>IF(A23="","",AO23*$D23+IF(OR($F23="Exempt",$E23="Sub"),0,AP23*$D23*1.5))</f>
        <v/>
      </c>
      <c r="AR23" s="197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198" t="n"/>
      <c r="AT23" s="198" t="n"/>
      <c r="AU23" s="199">
        <f>IF(A23="","",AS23*$D23+IF(OR($F23="Exempt",$E23="Sub"),0,AT23*$D23*1.5))</f>
        <v/>
      </c>
      <c r="AV23" s="197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198" t="n"/>
      <c r="AX23" s="198" t="n"/>
      <c r="AY23" s="199">
        <f>IF(A23="","",AW23*$D23+IF(OR($F23="Exempt",$E23="Sub"),0,AX23*$D23*1.5))</f>
        <v/>
      </c>
      <c r="AZ23" s="197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198" t="n"/>
      <c r="BB23" s="198" t="n"/>
      <c r="BC23" s="199">
        <f>IF(A23="","",BA23*$D23+IF(OR($F23="Exempt",$E23="Sub"),0,BB23*$D23*1.5))</f>
        <v/>
      </c>
      <c r="BD23" s="186">
        <f>IF(A23="","",SUM(H23,L23,P23,T23,X23,AB23,AF23,AJ23,AN23,AR23,AV23,AZ23))</f>
        <v/>
      </c>
      <c r="BE23" s="186">
        <f>IF(A23="","",SUM(I23,J23,M23,N23,Q23,R23,U23,V23,Y23,Z23,AC23,AD23,AG23,AH23,AK23,AL23,AO23,AP23,AS23,AT23,AW23,AX23,BA23,BB23))</f>
        <v/>
      </c>
      <c r="BF23" s="200">
        <f>IF(A23="","",BD23*$D23)</f>
        <v/>
      </c>
      <c r="BG23" s="200">
        <f>IF(A23="","",SUM(K23,O23,S23,W23,AA23,AE23,AI23,AM23,AQ23,AU23,AY23,BC23))</f>
        <v/>
      </c>
    </row>
    <row r="24" ht="15" customHeight="1" s="109">
      <c r="A24" s="128" t="n"/>
      <c r="B24" s="183" t="n"/>
      <c r="C24" s="183" t="n"/>
      <c r="D24" s="183" t="n"/>
      <c r="E24" s="128" t="n"/>
      <c r="F24" s="183" t="n"/>
      <c r="G24" s="128" t="n"/>
      <c r="H24" s="188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89" t="n"/>
      <c r="J24" s="189" t="n"/>
      <c r="K24" s="190">
        <f>IF(A24="","",I24*$D24+IF(OR($F24="Exempt",$E24="Sub"),0,J24*$D24*1.5))</f>
        <v/>
      </c>
      <c r="L24" s="188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89" t="n"/>
      <c r="N24" s="189" t="n"/>
      <c r="O24" s="190">
        <f>IF(A24="","",M24*$D24+IF(OR($F24="Exempt",$E24="Sub"),0,N24*$D24*1.5))</f>
        <v/>
      </c>
      <c r="P24" s="188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89" t="n"/>
      <c r="R24" s="189" t="n"/>
      <c r="S24" s="190">
        <f>IF(A24="","",Q24*$D24+IF(OR($F24="Exempt",$E24="Sub"),0,R24*$D24*1.5))</f>
        <v/>
      </c>
      <c r="T24" s="191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2" t="n"/>
      <c r="V24" s="192" t="n"/>
      <c r="W24" s="193">
        <f>IF(A24="","",U24*$D24+IF(OR($F24="Exempt",$E24="Sub"),0,V24*$D24*1.5))</f>
        <v/>
      </c>
      <c r="X24" s="191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2" t="n"/>
      <c r="Z24" s="192" t="n"/>
      <c r="AA24" s="193">
        <f>IF(A24="","",Y24*$D24+IF(OR($F24="Exempt",$E24="Sub"),0,Z24*$D24*1.5))</f>
        <v/>
      </c>
      <c r="AB24" s="191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2" t="n"/>
      <c r="AD24" s="192" t="n"/>
      <c r="AE24" s="193">
        <f>IF(A24="","",AC24*$D24+IF(OR($F24="Exempt",$E24="Sub"),0,AD24*$D24*1.5))</f>
        <v/>
      </c>
      <c r="AF24" s="194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195" t="n"/>
      <c r="AH24" s="195" t="n"/>
      <c r="AI24" s="196">
        <f>IF(A24="","",AG24*$D24+IF(OR($F24="Exempt",$E24="Sub"),0,AH24*$D24*1.5))</f>
        <v/>
      </c>
      <c r="AJ24" s="194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195" t="n"/>
      <c r="AL24" s="195" t="n"/>
      <c r="AM24" s="196">
        <f>IF(A24="","",AK24*$D24+IF(OR($F24="Exempt",$E24="Sub"),0,AL24*$D24*1.5))</f>
        <v/>
      </c>
      <c r="AN24" s="194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195" t="n"/>
      <c r="AP24" s="195" t="n"/>
      <c r="AQ24" s="196">
        <f>IF(A24="","",AO24*$D24+IF(OR($F24="Exempt",$E24="Sub"),0,AP24*$D24*1.5))</f>
        <v/>
      </c>
      <c r="AR24" s="197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198" t="n"/>
      <c r="AT24" s="198" t="n"/>
      <c r="AU24" s="199">
        <f>IF(A24="","",AS24*$D24+IF(OR($F24="Exempt",$E24="Sub"),0,AT24*$D24*1.5))</f>
        <v/>
      </c>
      <c r="AV24" s="197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198" t="n"/>
      <c r="AX24" s="198" t="n"/>
      <c r="AY24" s="199">
        <f>IF(A24="","",AW24*$D24+IF(OR($F24="Exempt",$E24="Sub"),0,AX24*$D24*1.5))</f>
        <v/>
      </c>
      <c r="AZ24" s="197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198" t="n"/>
      <c r="BB24" s="198" t="n"/>
      <c r="BC24" s="199">
        <f>IF(A24="","",BA24*$D24+IF(OR($F24="Exempt",$E24="Sub"),0,BB24*$D24*1.5))</f>
        <v/>
      </c>
      <c r="BD24" s="186">
        <f>IF(A24="","",SUM(H24,L24,P24,T24,X24,AB24,AF24,AJ24,AN24,AR24,AV24,AZ24))</f>
        <v/>
      </c>
      <c r="BE24" s="186">
        <f>IF(A24="","",SUM(I24,J24,M24,N24,Q24,R24,U24,V24,Y24,Z24,AC24,AD24,AG24,AH24,AK24,AL24,AO24,AP24,AS24,AT24,AW24,AX24,BA24,BB24))</f>
        <v/>
      </c>
      <c r="BF24" s="200">
        <f>IF(A24="","",BD24*$D24)</f>
        <v/>
      </c>
      <c r="BG24" s="200">
        <f>IF(A24="","",SUM(K24,O24,S24,W24,AA24,AE24,AI24,AM24,AQ24,AU24,AY24,BC24))</f>
        <v/>
      </c>
    </row>
    <row r="25" ht="15" customHeight="1" s="109">
      <c r="A25" s="128" t="n"/>
      <c r="B25" s="183" t="n"/>
      <c r="C25" s="183" t="n"/>
      <c r="D25" s="183" t="n"/>
      <c r="E25" s="128" t="n"/>
      <c r="F25" s="183" t="n"/>
      <c r="G25" s="128" t="n"/>
      <c r="H25" s="188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89" t="n"/>
      <c r="J25" s="189" t="n"/>
      <c r="K25" s="190">
        <f>IF(A25="","",I25*$D25+IF(OR($F25="Exempt",$E25="Sub"),0,J25*$D25*1.5))</f>
        <v/>
      </c>
      <c r="L25" s="188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89" t="n"/>
      <c r="N25" s="189" t="n"/>
      <c r="O25" s="190">
        <f>IF(A25="","",M25*$D25+IF(OR($F25="Exempt",$E25="Sub"),0,N25*$D25*1.5))</f>
        <v/>
      </c>
      <c r="P25" s="188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89" t="n"/>
      <c r="R25" s="189" t="n"/>
      <c r="S25" s="190">
        <f>IF(A25="","",Q25*$D25+IF(OR($F25="Exempt",$E25="Sub"),0,R25*$D25*1.5))</f>
        <v/>
      </c>
      <c r="T25" s="191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2" t="n"/>
      <c r="V25" s="192" t="n"/>
      <c r="W25" s="193">
        <f>IF(A25="","",U25*$D25+IF(OR($F25="Exempt",$E25="Sub"),0,V25*$D25*1.5))</f>
        <v/>
      </c>
      <c r="X25" s="191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2" t="n"/>
      <c r="Z25" s="192" t="n"/>
      <c r="AA25" s="193">
        <f>IF(A25="","",Y25*$D25+IF(OR($F25="Exempt",$E25="Sub"),0,Z25*$D25*1.5))</f>
        <v/>
      </c>
      <c r="AB25" s="191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2" t="n"/>
      <c r="AD25" s="192" t="n"/>
      <c r="AE25" s="193">
        <f>IF(A25="","",AC25*$D25+IF(OR($F25="Exempt",$E25="Sub"),0,AD25*$D25*1.5))</f>
        <v/>
      </c>
      <c r="AF25" s="194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195" t="n"/>
      <c r="AH25" s="195" t="n"/>
      <c r="AI25" s="196">
        <f>IF(A25="","",AG25*$D25+IF(OR($F25="Exempt",$E25="Sub"),0,AH25*$D25*1.5))</f>
        <v/>
      </c>
      <c r="AJ25" s="194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195" t="n"/>
      <c r="AL25" s="195" t="n"/>
      <c r="AM25" s="196">
        <f>IF(A25="","",AK25*$D25+IF(OR($F25="Exempt",$E25="Sub"),0,AL25*$D25*1.5))</f>
        <v/>
      </c>
      <c r="AN25" s="194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195" t="n"/>
      <c r="AP25" s="195" t="n"/>
      <c r="AQ25" s="196">
        <f>IF(A25="","",AO25*$D25+IF(OR($F25="Exempt",$E25="Sub"),0,AP25*$D25*1.5))</f>
        <v/>
      </c>
      <c r="AR25" s="197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198" t="n"/>
      <c r="AT25" s="198" t="n"/>
      <c r="AU25" s="199">
        <f>IF(A25="","",AS25*$D25+IF(OR($F25="Exempt",$E25="Sub"),0,AT25*$D25*1.5))</f>
        <v/>
      </c>
      <c r="AV25" s="197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198" t="n"/>
      <c r="AX25" s="198" t="n"/>
      <c r="AY25" s="199">
        <f>IF(A25="","",AW25*$D25+IF(OR($F25="Exempt",$E25="Sub"),0,AX25*$D25*1.5))</f>
        <v/>
      </c>
      <c r="AZ25" s="197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198" t="n"/>
      <c r="BB25" s="198" t="n"/>
      <c r="BC25" s="199">
        <f>IF(A25="","",BA25*$D25+IF(OR($F25="Exempt",$E25="Sub"),0,BB25*$D25*1.5))</f>
        <v/>
      </c>
      <c r="BD25" s="186">
        <f>IF(A25="","",SUM(H25,L25,P25,T25,X25,AB25,AF25,AJ25,AN25,AR25,AV25,AZ25))</f>
        <v/>
      </c>
      <c r="BE25" s="186">
        <f>IF(A25="","",SUM(I25,J25,M25,N25,Q25,R25,U25,V25,Y25,Z25,AC25,AD25,AG25,AH25,AK25,AL25,AO25,AP25,AS25,AT25,AW25,AX25,BA25,BB25))</f>
        <v/>
      </c>
      <c r="BF25" s="200">
        <f>IF(A25="","",BD25*$D25)</f>
        <v/>
      </c>
      <c r="BG25" s="200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1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H29*Rates!$B$8</f>
        <v/>
      </c>
      <c r="J29" s="132">
        <f>H29+I29</f>
        <v/>
      </c>
    </row>
    <row r="30">
      <c r="A30" s="138" t="n">
        <v>2</v>
      </c>
      <c r="B30" s="201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H30*Rates!$B$8</f>
        <v/>
      </c>
      <c r="J30" s="132">
        <f>H30+I30</f>
        <v/>
      </c>
    </row>
    <row r="31">
      <c r="A31" s="138" t="n">
        <v>3</v>
      </c>
      <c r="B31" s="201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H31*Rates!$B$8</f>
        <v/>
      </c>
      <c r="J31" s="132">
        <f>H31+I31</f>
        <v/>
      </c>
    </row>
    <row r="32">
      <c r="A32" s="138" t="n">
        <v>4</v>
      </c>
      <c r="B32" s="201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H32*Rates!$B$8</f>
        <v/>
      </c>
      <c r="J32" s="132">
        <f>H32+I32</f>
        <v/>
      </c>
    </row>
    <row r="33">
      <c r="A33" s="138" t="n">
        <v>5</v>
      </c>
      <c r="B33" s="201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H33*Rates!$B$8</f>
        <v/>
      </c>
      <c r="J33" s="132">
        <f>H33+I33</f>
        <v/>
      </c>
    </row>
    <row r="34">
      <c r="A34" s="138" t="n">
        <v>6</v>
      </c>
      <c r="B34" s="201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H34*Rates!$B$8</f>
        <v/>
      </c>
      <c r="J34" s="132">
        <f>H34+I34</f>
        <v/>
      </c>
    </row>
    <row r="35">
      <c r="A35" s="138" t="n">
        <v>7</v>
      </c>
      <c r="B35" s="201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H35*Rates!$B$8</f>
        <v/>
      </c>
      <c r="J35" s="132">
        <f>H35+I35</f>
        <v/>
      </c>
    </row>
    <row r="36">
      <c r="A36" s="138" t="n">
        <v>8</v>
      </c>
      <c r="B36" s="201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H36*Rates!$B$8</f>
        <v/>
      </c>
      <c r="J36" s="132">
        <f>H36+I36</f>
        <v/>
      </c>
    </row>
    <row r="37">
      <c r="A37" s="138" t="n">
        <v>9</v>
      </c>
      <c r="B37" s="201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H37*Rates!$B$8</f>
        <v/>
      </c>
      <c r="J37" s="132">
        <f>H37+I37</f>
        <v/>
      </c>
    </row>
    <row r="38">
      <c r="A38" s="138" t="n">
        <v>10</v>
      </c>
      <c r="B38" s="201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H38*Rates!$B$8</f>
        <v/>
      </c>
      <c r="J38" s="132">
        <f>H38+I38</f>
        <v/>
      </c>
    </row>
    <row r="39">
      <c r="A39" s="138" t="n">
        <v>11</v>
      </c>
      <c r="B39" s="201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H39*Rates!$B$8</f>
        <v/>
      </c>
      <c r="J39" s="132">
        <f>H39+I39</f>
        <v/>
      </c>
    </row>
    <row r="40">
      <c r="A40" s="138" t="n">
        <v>12</v>
      </c>
      <c r="B40" s="201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H40*Rates!$B$8</f>
        <v/>
      </c>
      <c r="J40" s="132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</row>
    <row r="6">
      <c r="A6" s="202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</row>
    <row r="7">
      <c r="A7" s="202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</row>
    <row r="8">
      <c r="A8" s="202" t="n">
        <v>46307</v>
      </c>
      <c r="B8" s="128" t="inlineStr">
        <is>
          <t>Software</t>
        </is>
      </c>
      <c r="C8" s="128" t="inlineStr">
        <is>
          <t>Seat expansion</t>
        </is>
      </c>
      <c r="D8" s="128" t="inlineStr">
        <is>
          <t>P1</t>
        </is>
      </c>
      <c r="E8" s="128" t="n">
        <v>10</v>
      </c>
      <c r="F8" s="131" t="n">
        <v>1400</v>
      </c>
    </row>
    <row r="9">
      <c r="A9" s="202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</row>
    <row r="10">
      <c r="A10" s="202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</row>
    <row r="6">
      <c r="A6" s="202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</row>
    <row r="7">
      <c r="A7" s="202" t="n">
        <v>46091</v>
      </c>
      <c r="B7" s="128" t="inlineStr">
        <is>
          <t>Airfare + Per Diem</t>
        </is>
      </c>
      <c r="C7" s="128" t="inlineStr">
        <is>
          <t>Lead Engineer — site visit</t>
        </is>
      </c>
      <c r="D7" s="128" t="inlineStr">
        <is>
          <t>P2</t>
        </is>
      </c>
      <c r="E7" s="128" t="n">
        <v>3</v>
      </c>
      <c r="F7" s="131" t="n">
        <v>1150</v>
      </c>
    </row>
    <row r="8">
      <c r="A8" s="202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</row>
    <row r="9">
      <c r="A9" s="202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</row>
    <row r="10">
      <c r="A10" s="202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</row>
    <row r="6">
      <c r="A6" s="202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</row>
    <row r="7">
      <c r="A7" s="202" t="n">
        <v>46132</v>
      </c>
      <c r="B7" s="128" t="inlineStr">
        <is>
          <t>Materials</t>
        </is>
      </c>
      <c r="C7" s="128" t="inlineStr">
        <is>
          <t>Spare parts kit</t>
        </is>
      </c>
      <c r="D7" s="128" t="inlineStr">
        <is>
          <t>P2</t>
        </is>
      </c>
      <c r="E7" s="128" t="n">
        <v>4</v>
      </c>
      <c r="F7" s="131" t="n">
        <v>8600</v>
      </c>
    </row>
    <row r="8">
      <c r="A8" s="202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</row>
    <row r="9">
      <c r="A9" s="202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</row>
    <row r="10">
      <c r="A10" s="202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04">
        <f>B8-B7</f>
        <v/>
      </c>
      <c r="C9" s="204">
        <f>C8-C7</f>
        <v/>
      </c>
      <c r="D9" s="204">
        <f>D8-D7</f>
        <v/>
      </c>
      <c r="E9" s="204">
        <f>E8-E7</f>
        <v/>
      </c>
      <c r="F9" s="204">
        <f>F8-F7</f>
        <v/>
      </c>
      <c r="G9" s="204">
        <f>G8-G7</f>
        <v/>
      </c>
      <c r="H9" s="204">
        <f>H8-H7</f>
        <v/>
      </c>
      <c r="I9" s="204">
        <f>I8-I7</f>
        <v/>
      </c>
      <c r="J9" s="204">
        <f>J8-J7</f>
        <v/>
      </c>
      <c r="K9" s="204">
        <f>K8-K7</f>
        <v/>
      </c>
      <c r="L9" s="204">
        <f>L8-L7</f>
        <v/>
      </c>
      <c r="M9" s="204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05">
        <f>IFERROR(B9/B7,0)</f>
        <v/>
      </c>
      <c r="C10" s="205">
        <f>IFERROR(C9/C7,0)</f>
        <v/>
      </c>
      <c r="D10" s="205">
        <f>IFERROR(D9/D7,0)</f>
        <v/>
      </c>
      <c r="E10" s="205">
        <f>IFERROR(E9/E7,0)</f>
        <v/>
      </c>
      <c r="F10" s="205">
        <f>IFERROR(F9/F7,0)</f>
        <v/>
      </c>
      <c r="G10" s="205">
        <f>IFERROR(G9/G7,0)</f>
        <v/>
      </c>
      <c r="H10" s="205">
        <f>IFERROR(H9/H7,0)</f>
        <v/>
      </c>
      <c r="I10" s="205">
        <f>IFERROR(I9/I7,0)</f>
        <v/>
      </c>
      <c r="J10" s="205">
        <f>IFERROR(J9/J7,0)</f>
        <v/>
      </c>
      <c r="K10" s="205">
        <f>IFERROR(K9/K7,0)</f>
        <v/>
      </c>
      <c r="L10" s="205">
        <f>IFERROR(L9/L7,0)</f>
        <v/>
      </c>
      <c r="M10" s="205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)+IFERROR(((SUMPRODUCT((Labor!$G$6:$G$25=Projects!$A$6)*(Labor!$E$6:$E$25="Prime")*N(Labor!$K$6:$K$25))*(1+Rates!$B$6)*(1+Rates!$B$7)+SUMPRODUCT((Labor!$G$6:$G$25=Projects!$A$6)*(Labor!$E$6:$E$25="Sub")*N(Labor!$K$6:$K$25))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$18+((SUMIFS(Travel!$F$5:$F$22,Travel!$D$5:$D$22,Projects!$A$6,Travel!$E$5:$E$22,1))+IFERROR((SUMIFS(Travel!$F$5:$F$22,Travel!$D$5:$D$22,Projects!$A$6,Travel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$19+((SUMIFS(ODCs!$F$5:$F$22,ODCs!$D$5:$D$22,Projects!$A$6,ODCs!$E$5:$E$22,1))+IFERROR((SUMIFS(ODCs!$F$5:$F$22,ODCs!$D$5:$D$22,Projects!$A$6,ODCs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$20+((SUMIFS('M&amp;E'!$F$5:$F$22,'M&amp;E'!$D$5:$D$22,Projects!$A$6,'M&amp;E'!$E$5:$E$22,1))+IFERROR((SUMIFS('M&amp;E'!$F$5:$F$22,'M&amp;E'!$D$5:$D$22,Projects!$A$6,'M&amp;E'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$21))</f>
        <v/>
      </c>
      <c r="C17" s="132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)+IFERROR(((SUMPRODUCT((Labor!$G$6:$G$25=Projects!$A$6)*(Labor!$E$6:$E$25="Prime")*N(Labor!$O$6:$O$25))*(1+Rates!$B$6)*(1+Rates!$B$7)+SUMPRODUCT((Labor!$G$6:$G$25=Projects!$A$6)*(Labor!$E$6:$E$25="Sub")*N(Labor!$O$6:$O$25))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$18+((SUMIFS(Travel!$F$5:$F$22,Travel!$D$5:$D$22,Projects!$A$6,Travel!$E$5:$E$22,2))+IFERROR((SUMIFS(Travel!$F$5:$F$22,Travel!$D$5:$D$22,Projects!$A$6,Travel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$19+((SUMIFS(ODCs!$F$5:$F$22,ODCs!$D$5:$D$22,Projects!$A$6,ODCs!$E$5:$E$22,2))+IFERROR((SUMIFS(ODCs!$F$5:$F$22,ODCs!$D$5:$D$22,Projects!$A$6,ODCs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$20+((SUMIFS('M&amp;E'!$F$5:$F$22,'M&amp;E'!$D$5:$D$22,Projects!$A$6,'M&amp;E'!$E$5:$E$22,2))+IFERROR((SUMIFS('M&amp;E'!$F$5:$F$22,'M&amp;E'!$D$5:$D$22,Projects!$A$6,'M&amp;E'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$21))</f>
        <v/>
      </c>
      <c r="D17" s="132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)+IFERROR(((SUMPRODUCT((Labor!$G$6:$G$25=Projects!$A$6)*(Labor!$E$6:$E$25="Prime")*N(Labor!$S$6:$S$25))*(1+Rates!$B$6)*(1+Rates!$B$7)+SUMPRODUCT((Labor!$G$6:$G$25=Projects!$A$6)*(Labor!$E$6:$E$25="Sub")*N(Labor!$S$6:$S$25))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$18+((SUMIFS(Travel!$F$5:$F$22,Travel!$D$5:$D$22,Projects!$A$6,Travel!$E$5:$E$22,3))+IFERROR((SUMIFS(Travel!$F$5:$F$22,Travel!$D$5:$D$22,Projects!$A$6,Travel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$19+((SUMIFS(ODCs!$F$5:$F$22,ODCs!$D$5:$D$22,Projects!$A$6,ODCs!$E$5:$E$22,3))+IFERROR((SUMIFS(ODCs!$F$5:$F$22,ODCs!$D$5:$D$22,Projects!$A$6,ODCs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$20+((SUMIFS('M&amp;E'!$F$5:$F$22,'M&amp;E'!$D$5:$D$22,Projects!$A$6,'M&amp;E'!$E$5:$E$22,3))+IFERROR((SUMIFS('M&amp;E'!$F$5:$F$22,'M&amp;E'!$D$5:$D$22,Projects!$A$6,'M&amp;E'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$21))</f>
        <v/>
      </c>
      <c r="E17" s="132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)+IFERROR(((SUMPRODUCT((Labor!$G$6:$G$25=Projects!$A$6)*(Labor!$E$6:$E$25="Prime")*N(Labor!$W$6:$W$25))*(1+Rates!$B$6)*(1+Rates!$B$7)+SUMPRODUCT((Labor!$G$6:$G$25=Projects!$A$6)*(Labor!$E$6:$E$25="Sub")*N(Labor!$W$6:$W$25))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$18+((SUMIFS(Travel!$F$5:$F$22,Travel!$D$5:$D$22,Projects!$A$6,Travel!$E$5:$E$22,4))+IFERROR((SUMIFS(Travel!$F$5:$F$22,Travel!$D$5:$D$22,Projects!$A$6,Travel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$19+((SUMIFS(ODCs!$F$5:$F$22,ODCs!$D$5:$D$22,Projects!$A$6,ODCs!$E$5:$E$22,4))+IFERROR((SUMIFS(ODCs!$F$5:$F$22,ODCs!$D$5:$D$22,Projects!$A$6,ODCs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$20+((SUMIFS('M&amp;E'!$F$5:$F$22,'M&amp;E'!$D$5:$D$22,Projects!$A$6,'M&amp;E'!$E$5:$E$22,4))+IFERROR((SUMIFS('M&amp;E'!$F$5:$F$22,'M&amp;E'!$D$5:$D$22,Projects!$A$6,'M&amp;E'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$21))</f>
        <v/>
      </c>
      <c r="F17" s="132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)+IFERROR(((SUMPRODUCT((Labor!$G$6:$G$25=Projects!$A$6)*(Labor!$E$6:$E$25="Prime")*N(Labor!$AA$6:$AA$25))*(1+Rates!$B$6)*(1+Rates!$B$7)+SUMPRODUCT((Labor!$G$6:$G$25=Projects!$A$6)*(Labor!$E$6:$E$25="Sub")*N(Labor!$AA$6:$AA$25))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$18+((SUMIFS(Travel!$F$5:$F$22,Travel!$D$5:$D$22,Projects!$A$6,Travel!$E$5:$E$22,5))+IFERROR((SUMIFS(Travel!$F$5:$F$22,Travel!$D$5:$D$22,Projects!$A$6,Travel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$19+((SUMIFS(ODCs!$F$5:$F$22,ODCs!$D$5:$D$22,Projects!$A$6,ODCs!$E$5:$E$22,5))+IFERROR((SUMIFS(ODCs!$F$5:$F$22,ODCs!$D$5:$D$22,Projects!$A$6,ODCs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$20+((SUMIFS('M&amp;E'!$F$5:$F$22,'M&amp;E'!$D$5:$D$22,Projects!$A$6,'M&amp;E'!$E$5:$E$22,5))+IFERROR((SUMIFS('M&amp;E'!$F$5:$F$22,'M&amp;E'!$D$5:$D$22,Projects!$A$6,'M&amp;E'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$21))</f>
        <v/>
      </c>
      <c r="G17" s="132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)+IFERROR(((SUMPRODUCT((Labor!$G$6:$G$25=Projects!$A$6)*(Labor!$E$6:$E$25="Prime")*N(Labor!$AE$6:$AE$25))*(1+Rates!$B$6)*(1+Rates!$B$7)+SUMPRODUCT((Labor!$G$6:$G$25=Projects!$A$6)*(Labor!$E$6:$E$25="Sub")*N(Labor!$AE$6:$AE$25))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$18+((SUMIFS(Travel!$F$5:$F$22,Travel!$D$5:$D$22,Projects!$A$6,Travel!$E$5:$E$22,6))+IFERROR((SUMIFS(Travel!$F$5:$F$22,Travel!$D$5:$D$22,Projects!$A$6,Travel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$19+((SUMIFS(ODCs!$F$5:$F$22,ODCs!$D$5:$D$22,Projects!$A$6,ODCs!$E$5:$E$22,6))+IFERROR((SUMIFS(ODCs!$F$5:$F$22,ODCs!$D$5:$D$22,Projects!$A$6,ODCs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$20+((SUMIFS('M&amp;E'!$F$5:$F$22,'M&amp;E'!$D$5:$D$22,Projects!$A$6,'M&amp;E'!$E$5:$E$22,6))+IFERROR((SUMIFS('M&amp;E'!$F$5:$F$22,'M&amp;E'!$D$5:$D$22,Projects!$A$6,'M&amp;E'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$21))</f>
        <v/>
      </c>
      <c r="H17" s="132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)+IFERROR(((SUMPRODUCT((Labor!$G$6:$G$25=Projects!$A$6)*(Labor!$E$6:$E$25="Prime")*N(Labor!$AI$6:$AI$25))*(1+Rates!$B$6)*(1+Rates!$B$7)+SUMPRODUCT((Labor!$G$6:$G$25=Projects!$A$6)*(Labor!$E$6:$E$25="Sub")*N(Labor!$AI$6:$AI$25))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$18+((SUMIFS(Travel!$F$5:$F$22,Travel!$D$5:$D$22,Projects!$A$6,Travel!$E$5:$E$22,7))+IFERROR((SUMIFS(Travel!$F$5:$F$22,Travel!$D$5:$D$22,Projects!$A$6,Travel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$19+((SUMIFS(ODCs!$F$5:$F$22,ODCs!$D$5:$D$22,Projects!$A$6,ODCs!$E$5:$E$22,7))+IFERROR((SUMIFS(ODCs!$F$5:$F$22,ODCs!$D$5:$D$22,Projects!$A$6,ODCs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$20+((SUMIFS('M&amp;E'!$F$5:$F$22,'M&amp;E'!$D$5:$D$22,Projects!$A$6,'M&amp;E'!$E$5:$E$22,7))+IFERROR((SUMIFS('M&amp;E'!$F$5:$F$22,'M&amp;E'!$D$5:$D$22,Projects!$A$6,'M&amp;E'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$21))</f>
        <v/>
      </c>
      <c r="I17" s="132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)+IFERROR(((SUMPRODUCT((Labor!$G$6:$G$25=Projects!$A$6)*(Labor!$E$6:$E$25="Prime")*N(Labor!$AM$6:$AM$25))*(1+Rates!$B$6)*(1+Rates!$B$7)+SUMPRODUCT((Labor!$G$6:$G$25=Projects!$A$6)*(Labor!$E$6:$E$25="Sub")*N(Labor!$AM$6:$AM$25))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$18+((SUMIFS(Travel!$F$5:$F$22,Travel!$D$5:$D$22,Projects!$A$6,Travel!$E$5:$E$22,8))+IFERROR((SUMIFS(Travel!$F$5:$F$22,Travel!$D$5:$D$22,Projects!$A$6,Travel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$19+((SUMIFS(ODCs!$F$5:$F$22,ODCs!$D$5:$D$22,Projects!$A$6,ODCs!$E$5:$E$22,8))+IFERROR((SUMIFS(ODCs!$F$5:$F$22,ODCs!$D$5:$D$22,Projects!$A$6,ODCs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$20+((SUMIFS('M&amp;E'!$F$5:$F$22,'M&amp;E'!$D$5:$D$22,Projects!$A$6,'M&amp;E'!$E$5:$E$22,8))+IFERROR((SUMIFS('M&amp;E'!$F$5:$F$22,'M&amp;E'!$D$5:$D$22,Projects!$A$6,'M&amp;E'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$21))</f>
        <v/>
      </c>
      <c r="J17" s="132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)+IFERROR(((SUMPRODUCT((Labor!$G$6:$G$25=Projects!$A$6)*(Labor!$E$6:$E$25="Prime")*N(Labor!$AQ$6:$AQ$25))*(1+Rates!$B$6)*(1+Rates!$B$7)+SUMPRODUCT((Labor!$G$6:$G$25=Projects!$A$6)*(Labor!$E$6:$E$25="Sub")*N(Labor!$AQ$6:$AQ$25))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$18+((SUMIFS(Travel!$F$5:$F$22,Travel!$D$5:$D$22,Projects!$A$6,Travel!$E$5:$E$22,9))+IFERROR((SUMIFS(Travel!$F$5:$F$22,Travel!$D$5:$D$22,Projects!$A$6,Travel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$19+((SUMIFS(ODCs!$F$5:$F$22,ODCs!$D$5:$D$22,Projects!$A$6,ODCs!$E$5:$E$22,9))+IFERROR((SUMIFS(ODCs!$F$5:$F$22,ODCs!$D$5:$D$22,Projects!$A$6,ODCs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$20+((SUMIFS('M&amp;E'!$F$5:$F$22,'M&amp;E'!$D$5:$D$22,Projects!$A$6,'M&amp;E'!$E$5:$E$22,9))+IFERROR((SUMIFS('M&amp;E'!$F$5:$F$22,'M&amp;E'!$D$5:$D$22,Projects!$A$6,'M&amp;E'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$21))</f>
        <v/>
      </c>
      <c r="K17" s="132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)+IFERROR(((SUMPRODUCT((Labor!$G$6:$G$25=Projects!$A$6)*(Labor!$E$6:$E$25="Prime")*N(Labor!$AU$6:$AU$25))*(1+Rates!$B$6)*(1+Rates!$B$7)+SUMPRODUCT((Labor!$G$6:$G$25=Projects!$A$6)*(Labor!$E$6:$E$25="Sub")*N(Labor!$AU$6:$AU$25))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$18+((SUMIFS(Travel!$F$5:$F$22,Travel!$D$5:$D$22,Projects!$A$6,Travel!$E$5:$E$22,10))+IFERROR((SUMIFS(Travel!$F$5:$F$22,Travel!$D$5:$D$22,Projects!$A$6,Travel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$19+((SUMIFS(ODCs!$F$5:$F$22,ODCs!$D$5:$D$22,Projects!$A$6,ODCs!$E$5:$E$22,10))+IFERROR((SUMIFS(ODCs!$F$5:$F$22,ODCs!$D$5:$D$22,Projects!$A$6,ODCs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$20+((SUMIFS('M&amp;E'!$F$5:$F$22,'M&amp;E'!$D$5:$D$22,Projects!$A$6,'M&amp;E'!$E$5:$E$22,10))+IFERROR((SUMIFS('M&amp;E'!$F$5:$F$22,'M&amp;E'!$D$5:$D$22,Projects!$A$6,'M&amp;E'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$21))</f>
        <v/>
      </c>
      <c r="L17" s="132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)+IFERROR(((SUMPRODUCT((Labor!$G$6:$G$25=Projects!$A$6)*(Labor!$E$6:$E$25="Prime")*N(Labor!$AY$6:$AY$25))*(1+Rates!$B$6)*(1+Rates!$B$7)+SUMPRODUCT((Labor!$G$6:$G$25=Projects!$A$6)*(Labor!$E$6:$E$25="Sub")*N(Labor!$AY$6:$AY$25))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$18+((SUMIFS(Travel!$F$5:$F$22,Travel!$D$5:$D$22,Projects!$A$6,Travel!$E$5:$E$22,11))+IFERROR((SUMIFS(Travel!$F$5:$F$22,Travel!$D$5:$D$22,Projects!$A$6,Travel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$19+((SUMIFS(ODCs!$F$5:$F$22,ODCs!$D$5:$D$22,Projects!$A$6,ODCs!$E$5:$E$22,11))+IFERROR((SUMIFS(ODCs!$F$5:$F$22,ODCs!$D$5:$D$22,Projects!$A$6,ODCs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$20+((SUMIFS('M&amp;E'!$F$5:$F$22,'M&amp;E'!$D$5:$D$22,Projects!$A$6,'M&amp;E'!$E$5:$E$22,11))+IFERROR((SUMIFS('M&amp;E'!$F$5:$F$22,'M&amp;E'!$D$5:$D$22,Projects!$A$6,'M&amp;E'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$21))</f>
        <v/>
      </c>
      <c r="M17" s="132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)+IFERROR(((SUMPRODUCT((Labor!$G$6:$G$25=Projects!$A$6)*(Labor!$E$6:$E$25="Prime")*N(Labor!$BC$6:$BC$25))*(1+Rates!$B$6)*(1+Rates!$B$7)+SUMPRODUCT((Labor!$G$6:$G$25=Projects!$A$6)*(Labor!$E$6:$E$25="Sub")*N(Labor!$BC$6:$BC$25))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$18+((SUMIFS(Travel!$F$5:$F$22,Travel!$D$5:$D$22,Projects!$A$6,Travel!$E$5:$E$22,12))+IFERROR((SUMIFS(Travel!$F$5:$F$22,Travel!$D$5:$D$22,Projects!$A$6,Travel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$19+((SUMIFS(ODCs!$F$5:$F$22,ODCs!$D$5:$D$22,Projects!$A$6,ODCs!$E$5:$E$22,12))+IFERROR((SUMIFS(ODCs!$F$5:$F$22,ODCs!$D$5:$D$22,Projects!$A$6,ODCs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$20+((SUMIFS('M&amp;E'!$F$5:$F$22,'M&amp;E'!$D$5:$D$22,Projects!$A$6,'M&amp;E'!$E$5:$E$22,12))+IFERROR((SUMIFS('M&amp;E'!$F$5:$F$22,'M&amp;E'!$D$5:$D$22,Projects!$A$6,'M&amp;E'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$21)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04">
        <f>IFERROR(IF(B17="","",B17-B16),0)</f>
        <v/>
      </c>
      <c r="C18" s="204">
        <f>IFERROR(IF(C17="","",C17-C16),0)</f>
        <v/>
      </c>
      <c r="D18" s="204">
        <f>IFERROR(IF(D17="","",D17-D16),0)</f>
        <v/>
      </c>
      <c r="E18" s="204">
        <f>IFERROR(IF(E17="","",E17-E16),0)</f>
        <v/>
      </c>
      <c r="F18" s="204">
        <f>IFERROR(IF(F17="","",F17-F16),0)</f>
        <v/>
      </c>
      <c r="G18" s="204">
        <f>IFERROR(IF(G17="","",G17-G16),0)</f>
        <v/>
      </c>
      <c r="H18" s="204">
        <f>IFERROR(IF(H17="","",H17-H16),0)</f>
        <v/>
      </c>
      <c r="I18" s="204">
        <f>IFERROR(IF(I17="","",I17-I16),0)</f>
        <v/>
      </c>
      <c r="J18" s="204">
        <f>IFERROR(IF(J17="","",J17-J16),0)</f>
        <v/>
      </c>
      <c r="K18" s="204">
        <f>IFERROR(IF(K17="","",K17-K16),0)</f>
        <v/>
      </c>
      <c r="L18" s="204">
        <f>IFERROR(IF(L17="","",L17-L16),0)</f>
        <v/>
      </c>
      <c r="M18" s="204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05">
        <f>IFERROR(B18/B16,0)</f>
        <v/>
      </c>
      <c r="C19" s="205">
        <f>IFERROR(C18/C16,0)</f>
        <v/>
      </c>
      <c r="D19" s="205">
        <f>IFERROR(D18/D16,0)</f>
        <v/>
      </c>
      <c r="E19" s="205">
        <f>IFERROR(E18/E16,0)</f>
        <v/>
      </c>
      <c r="F19" s="205">
        <f>IFERROR(F18/F16,0)</f>
        <v/>
      </c>
      <c r="G19" s="205">
        <f>IFERROR(G18/G16,0)</f>
        <v/>
      </c>
      <c r="H19" s="205">
        <f>IFERROR(H18/H16,0)</f>
        <v/>
      </c>
      <c r="I19" s="205">
        <f>IFERROR(I18/I16,0)</f>
        <v/>
      </c>
      <c r="J19" s="205">
        <f>IFERROR(J18/J16,0)</f>
        <v/>
      </c>
      <c r="K19" s="205">
        <f>IFERROR(K18/K16,0)</f>
        <v/>
      </c>
      <c r="L19" s="205">
        <f>IFERROR(L18/L16,0)</f>
        <v/>
      </c>
      <c r="M19" s="205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)+IFERROR(((SUMPRODUCT((Labor!$G$6:$G$25=Projects!$A$7)*(Labor!$E$6:$E$25="Prime")*N(Labor!$K$6:$K$25))*(1+Rates!$B$6)*(1+Rates!$B$7)+SUMPRODUCT((Labor!$G$6:$G$25=Projects!$A$7)*(Labor!$E$6:$E$25="Sub")*N(Labor!$K$6:$K$25))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$18+((SUMIFS(Travel!$F$5:$F$22,Travel!$D$5:$D$22,Projects!$A$7,Travel!$E$5:$E$22,1))+IFERROR((SUMIFS(Travel!$F$5:$F$22,Travel!$D$5:$D$22,Projects!$A$7,Travel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$19+((SUMIFS(ODCs!$F$5:$F$22,ODCs!$D$5:$D$22,Projects!$A$7,ODCs!$E$5:$E$22,1))+IFERROR((SUMIFS(ODCs!$F$5:$F$22,ODCs!$D$5:$D$22,Projects!$A$7,ODCs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$20+((SUMIFS('M&amp;E'!$F$5:$F$22,'M&amp;E'!$D$5:$D$22,Projects!$A$7,'M&amp;E'!$E$5:$E$22,1))+IFERROR((SUMIFS('M&amp;E'!$F$5:$F$22,'M&amp;E'!$D$5:$D$22,Projects!$A$7,'M&amp;E'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$21))</f>
        <v/>
      </c>
      <c r="C23" s="132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)+IFERROR(((SUMPRODUCT((Labor!$G$6:$G$25=Projects!$A$7)*(Labor!$E$6:$E$25="Prime")*N(Labor!$O$6:$O$25))*(1+Rates!$B$6)*(1+Rates!$B$7)+SUMPRODUCT((Labor!$G$6:$G$25=Projects!$A$7)*(Labor!$E$6:$E$25="Sub")*N(Labor!$O$6:$O$25))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$18+((SUMIFS(Travel!$F$5:$F$22,Travel!$D$5:$D$22,Projects!$A$7,Travel!$E$5:$E$22,2))+IFERROR((SUMIFS(Travel!$F$5:$F$22,Travel!$D$5:$D$22,Projects!$A$7,Travel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$19+((SUMIFS(ODCs!$F$5:$F$22,ODCs!$D$5:$D$22,Projects!$A$7,ODCs!$E$5:$E$22,2))+IFERROR((SUMIFS(ODCs!$F$5:$F$22,ODCs!$D$5:$D$22,Projects!$A$7,ODCs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$20+((SUMIFS('M&amp;E'!$F$5:$F$22,'M&amp;E'!$D$5:$D$22,Projects!$A$7,'M&amp;E'!$E$5:$E$22,2))+IFERROR((SUMIFS('M&amp;E'!$F$5:$F$22,'M&amp;E'!$D$5:$D$22,Projects!$A$7,'M&amp;E'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$21))</f>
        <v/>
      </c>
      <c r="D23" s="132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)+IFERROR(((SUMPRODUCT((Labor!$G$6:$G$25=Projects!$A$7)*(Labor!$E$6:$E$25="Prime")*N(Labor!$S$6:$S$25))*(1+Rates!$B$6)*(1+Rates!$B$7)+SUMPRODUCT((Labor!$G$6:$G$25=Projects!$A$7)*(Labor!$E$6:$E$25="Sub")*N(Labor!$S$6:$S$25))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$18+((SUMIFS(Travel!$F$5:$F$22,Travel!$D$5:$D$22,Projects!$A$7,Travel!$E$5:$E$22,3))+IFERROR((SUMIFS(Travel!$F$5:$F$22,Travel!$D$5:$D$22,Projects!$A$7,Travel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$19+((SUMIFS(ODCs!$F$5:$F$22,ODCs!$D$5:$D$22,Projects!$A$7,ODCs!$E$5:$E$22,3))+IFERROR((SUMIFS(ODCs!$F$5:$F$22,ODCs!$D$5:$D$22,Projects!$A$7,ODCs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$20+((SUMIFS('M&amp;E'!$F$5:$F$22,'M&amp;E'!$D$5:$D$22,Projects!$A$7,'M&amp;E'!$E$5:$E$22,3))+IFERROR((SUMIFS('M&amp;E'!$F$5:$F$22,'M&amp;E'!$D$5:$D$22,Projects!$A$7,'M&amp;E'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$21))</f>
        <v/>
      </c>
      <c r="E23" s="132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)+IFERROR(((SUMPRODUCT((Labor!$G$6:$G$25=Projects!$A$7)*(Labor!$E$6:$E$25="Prime")*N(Labor!$W$6:$W$25))*(1+Rates!$B$6)*(1+Rates!$B$7)+SUMPRODUCT((Labor!$G$6:$G$25=Projects!$A$7)*(Labor!$E$6:$E$25="Sub")*N(Labor!$W$6:$W$25))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$18+((SUMIFS(Travel!$F$5:$F$22,Travel!$D$5:$D$22,Projects!$A$7,Travel!$E$5:$E$22,4))+IFERROR((SUMIFS(Travel!$F$5:$F$22,Travel!$D$5:$D$22,Projects!$A$7,Travel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$19+((SUMIFS(ODCs!$F$5:$F$22,ODCs!$D$5:$D$22,Projects!$A$7,ODCs!$E$5:$E$22,4))+IFERROR((SUMIFS(ODCs!$F$5:$F$22,ODCs!$D$5:$D$22,Projects!$A$7,ODCs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$20+((SUMIFS('M&amp;E'!$F$5:$F$22,'M&amp;E'!$D$5:$D$22,Projects!$A$7,'M&amp;E'!$E$5:$E$22,4))+IFERROR((SUMIFS('M&amp;E'!$F$5:$F$22,'M&amp;E'!$D$5:$D$22,Projects!$A$7,'M&amp;E'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$21))</f>
        <v/>
      </c>
      <c r="F23" s="132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)+IFERROR(((SUMPRODUCT((Labor!$G$6:$G$25=Projects!$A$7)*(Labor!$E$6:$E$25="Prime")*N(Labor!$AA$6:$AA$25))*(1+Rates!$B$6)*(1+Rates!$B$7)+SUMPRODUCT((Labor!$G$6:$G$25=Projects!$A$7)*(Labor!$E$6:$E$25="Sub")*N(Labor!$AA$6:$AA$25))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$18+((SUMIFS(Travel!$F$5:$F$22,Travel!$D$5:$D$22,Projects!$A$7,Travel!$E$5:$E$22,5))+IFERROR((SUMIFS(Travel!$F$5:$F$22,Travel!$D$5:$D$22,Projects!$A$7,Travel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$19+((SUMIFS(ODCs!$F$5:$F$22,ODCs!$D$5:$D$22,Projects!$A$7,ODCs!$E$5:$E$22,5))+IFERROR((SUMIFS(ODCs!$F$5:$F$22,ODCs!$D$5:$D$22,Projects!$A$7,ODCs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$20+((SUMIFS('M&amp;E'!$F$5:$F$22,'M&amp;E'!$D$5:$D$22,Projects!$A$7,'M&amp;E'!$E$5:$E$22,5))+IFERROR((SUMIFS('M&amp;E'!$F$5:$F$22,'M&amp;E'!$D$5:$D$22,Projects!$A$7,'M&amp;E'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$21))</f>
        <v/>
      </c>
      <c r="G23" s="132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)+IFERROR(((SUMPRODUCT((Labor!$G$6:$G$25=Projects!$A$7)*(Labor!$E$6:$E$25="Prime")*N(Labor!$AE$6:$AE$25))*(1+Rates!$B$6)*(1+Rates!$B$7)+SUMPRODUCT((Labor!$G$6:$G$25=Projects!$A$7)*(Labor!$E$6:$E$25="Sub")*N(Labor!$AE$6:$AE$25))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$18+((SUMIFS(Travel!$F$5:$F$22,Travel!$D$5:$D$22,Projects!$A$7,Travel!$E$5:$E$22,6))+IFERROR((SUMIFS(Travel!$F$5:$F$22,Travel!$D$5:$D$22,Projects!$A$7,Travel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$19+((SUMIFS(ODCs!$F$5:$F$22,ODCs!$D$5:$D$22,Projects!$A$7,ODCs!$E$5:$E$22,6))+IFERROR((SUMIFS(ODCs!$F$5:$F$22,ODCs!$D$5:$D$22,Projects!$A$7,ODCs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$20+((SUMIFS('M&amp;E'!$F$5:$F$22,'M&amp;E'!$D$5:$D$22,Projects!$A$7,'M&amp;E'!$E$5:$E$22,6))+IFERROR((SUMIFS('M&amp;E'!$F$5:$F$22,'M&amp;E'!$D$5:$D$22,Projects!$A$7,'M&amp;E'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$21))</f>
        <v/>
      </c>
      <c r="H23" s="132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)+IFERROR(((SUMPRODUCT((Labor!$G$6:$G$25=Projects!$A$7)*(Labor!$E$6:$E$25="Prime")*N(Labor!$AI$6:$AI$25))*(1+Rates!$B$6)*(1+Rates!$B$7)+SUMPRODUCT((Labor!$G$6:$G$25=Projects!$A$7)*(Labor!$E$6:$E$25="Sub")*N(Labor!$AI$6:$AI$25))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$18+((SUMIFS(Travel!$F$5:$F$22,Travel!$D$5:$D$22,Projects!$A$7,Travel!$E$5:$E$22,7))+IFERROR((SUMIFS(Travel!$F$5:$F$22,Travel!$D$5:$D$22,Projects!$A$7,Travel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$19+((SUMIFS(ODCs!$F$5:$F$22,ODCs!$D$5:$D$22,Projects!$A$7,ODCs!$E$5:$E$22,7))+IFERROR((SUMIFS(ODCs!$F$5:$F$22,ODCs!$D$5:$D$22,Projects!$A$7,ODCs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$20+((SUMIFS('M&amp;E'!$F$5:$F$22,'M&amp;E'!$D$5:$D$22,Projects!$A$7,'M&amp;E'!$E$5:$E$22,7))+IFERROR((SUMIFS('M&amp;E'!$F$5:$F$22,'M&amp;E'!$D$5:$D$22,Projects!$A$7,'M&amp;E'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$21))</f>
        <v/>
      </c>
      <c r="I23" s="132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)+IFERROR(((SUMPRODUCT((Labor!$G$6:$G$25=Projects!$A$7)*(Labor!$E$6:$E$25="Prime")*N(Labor!$AM$6:$AM$25))*(1+Rates!$B$6)*(1+Rates!$B$7)+SUMPRODUCT((Labor!$G$6:$G$25=Projects!$A$7)*(Labor!$E$6:$E$25="Sub")*N(Labor!$AM$6:$AM$25))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$18+((SUMIFS(Travel!$F$5:$F$22,Travel!$D$5:$D$22,Projects!$A$7,Travel!$E$5:$E$22,8))+IFERROR((SUMIFS(Travel!$F$5:$F$22,Travel!$D$5:$D$22,Projects!$A$7,Travel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$19+((SUMIFS(ODCs!$F$5:$F$22,ODCs!$D$5:$D$22,Projects!$A$7,ODCs!$E$5:$E$22,8))+IFERROR((SUMIFS(ODCs!$F$5:$F$22,ODCs!$D$5:$D$22,Projects!$A$7,ODCs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$20+((SUMIFS('M&amp;E'!$F$5:$F$22,'M&amp;E'!$D$5:$D$22,Projects!$A$7,'M&amp;E'!$E$5:$E$22,8))+IFERROR((SUMIFS('M&amp;E'!$F$5:$F$22,'M&amp;E'!$D$5:$D$22,Projects!$A$7,'M&amp;E'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$21))</f>
        <v/>
      </c>
      <c r="J23" s="132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)+IFERROR(((SUMPRODUCT((Labor!$G$6:$G$25=Projects!$A$7)*(Labor!$E$6:$E$25="Prime")*N(Labor!$AQ$6:$AQ$25))*(1+Rates!$B$6)*(1+Rates!$B$7)+SUMPRODUCT((Labor!$G$6:$G$25=Projects!$A$7)*(Labor!$E$6:$E$25="Sub")*N(Labor!$AQ$6:$AQ$25))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$18+((SUMIFS(Travel!$F$5:$F$22,Travel!$D$5:$D$22,Projects!$A$7,Travel!$E$5:$E$22,9))+IFERROR((SUMIFS(Travel!$F$5:$F$22,Travel!$D$5:$D$22,Projects!$A$7,Travel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$19+((SUMIFS(ODCs!$F$5:$F$22,ODCs!$D$5:$D$22,Projects!$A$7,ODCs!$E$5:$E$22,9))+IFERROR((SUMIFS(ODCs!$F$5:$F$22,ODCs!$D$5:$D$22,Projects!$A$7,ODCs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$20+((SUMIFS('M&amp;E'!$F$5:$F$22,'M&amp;E'!$D$5:$D$22,Projects!$A$7,'M&amp;E'!$E$5:$E$22,9))+IFERROR((SUMIFS('M&amp;E'!$F$5:$F$22,'M&amp;E'!$D$5:$D$22,Projects!$A$7,'M&amp;E'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$21))</f>
        <v/>
      </c>
      <c r="K23" s="132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)+IFERROR(((SUMPRODUCT((Labor!$G$6:$G$25=Projects!$A$7)*(Labor!$E$6:$E$25="Prime")*N(Labor!$AU$6:$AU$25))*(1+Rates!$B$6)*(1+Rates!$B$7)+SUMPRODUCT((Labor!$G$6:$G$25=Projects!$A$7)*(Labor!$E$6:$E$25="Sub")*N(Labor!$AU$6:$AU$25))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$18+((SUMIFS(Travel!$F$5:$F$22,Travel!$D$5:$D$22,Projects!$A$7,Travel!$E$5:$E$22,10))+IFERROR((SUMIFS(Travel!$F$5:$F$22,Travel!$D$5:$D$22,Projects!$A$7,Travel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$19+((SUMIFS(ODCs!$F$5:$F$22,ODCs!$D$5:$D$22,Projects!$A$7,ODCs!$E$5:$E$22,10))+IFERROR((SUMIFS(ODCs!$F$5:$F$22,ODCs!$D$5:$D$22,Projects!$A$7,ODCs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$20+((SUMIFS('M&amp;E'!$F$5:$F$22,'M&amp;E'!$D$5:$D$22,Projects!$A$7,'M&amp;E'!$E$5:$E$22,10))+IFERROR((SUMIFS('M&amp;E'!$F$5:$F$22,'M&amp;E'!$D$5:$D$22,Projects!$A$7,'M&amp;E'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$21))</f>
        <v/>
      </c>
      <c r="L23" s="132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)+IFERROR(((SUMPRODUCT((Labor!$G$6:$G$25=Projects!$A$7)*(Labor!$E$6:$E$25="Prime")*N(Labor!$AY$6:$AY$25))*(1+Rates!$B$6)*(1+Rates!$B$7)+SUMPRODUCT((Labor!$G$6:$G$25=Projects!$A$7)*(Labor!$E$6:$E$25="Sub")*N(Labor!$AY$6:$AY$25))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$18+((SUMIFS(Travel!$F$5:$F$22,Travel!$D$5:$D$22,Projects!$A$7,Travel!$E$5:$E$22,11))+IFERROR((SUMIFS(Travel!$F$5:$F$22,Travel!$D$5:$D$22,Projects!$A$7,Travel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$19+((SUMIFS(ODCs!$F$5:$F$22,ODCs!$D$5:$D$22,Projects!$A$7,ODCs!$E$5:$E$22,11))+IFERROR((SUMIFS(ODCs!$F$5:$F$22,ODCs!$D$5:$D$22,Projects!$A$7,ODCs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$20+((SUMIFS('M&amp;E'!$F$5:$F$22,'M&amp;E'!$D$5:$D$22,Projects!$A$7,'M&amp;E'!$E$5:$E$22,11))+IFERROR((SUMIFS('M&amp;E'!$F$5:$F$22,'M&amp;E'!$D$5:$D$22,Projects!$A$7,'M&amp;E'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$21))</f>
        <v/>
      </c>
      <c r="M23" s="132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)+IFERROR(((SUMPRODUCT((Labor!$G$6:$G$25=Projects!$A$7)*(Labor!$E$6:$E$25="Prime")*N(Labor!$BC$6:$BC$25))*(1+Rates!$B$6)*(1+Rates!$B$7)+SUMPRODUCT((Labor!$G$6:$G$25=Projects!$A$7)*(Labor!$E$6:$E$25="Sub")*N(Labor!$BC$6:$BC$25))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$18+((SUMIFS(Travel!$F$5:$F$22,Travel!$D$5:$D$22,Projects!$A$7,Travel!$E$5:$E$22,12))+IFERROR((SUMIFS(Travel!$F$5:$F$22,Travel!$D$5:$D$22,Projects!$A$7,Travel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$19+((SUMIFS(ODCs!$F$5:$F$22,ODCs!$D$5:$D$22,Projects!$A$7,ODCs!$E$5:$E$22,12))+IFERROR((SUMIFS(ODCs!$F$5:$F$22,ODCs!$D$5:$D$22,Projects!$A$7,ODCs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$20+((SUMIFS('M&amp;E'!$F$5:$F$22,'M&amp;E'!$D$5:$D$22,Projects!$A$7,'M&amp;E'!$E$5:$E$22,12))+IFERROR((SUMIFS('M&amp;E'!$F$5:$F$22,'M&amp;E'!$D$5:$D$22,Projects!$A$7,'M&amp;E'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$21)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04">
        <f>IFERROR(IF(B23="","",B23-B22),0)</f>
        <v/>
      </c>
      <c r="C24" s="204">
        <f>IFERROR(IF(C23="","",C23-C22),0)</f>
        <v/>
      </c>
      <c r="D24" s="204">
        <f>IFERROR(IF(D23="","",D23-D22),0)</f>
        <v/>
      </c>
      <c r="E24" s="204">
        <f>IFERROR(IF(E23="","",E23-E22),0)</f>
        <v/>
      </c>
      <c r="F24" s="204">
        <f>IFERROR(IF(F23="","",F23-F22),0)</f>
        <v/>
      </c>
      <c r="G24" s="204">
        <f>IFERROR(IF(G23="","",G23-G22),0)</f>
        <v/>
      </c>
      <c r="H24" s="204">
        <f>IFERROR(IF(H23="","",H23-H22),0)</f>
        <v/>
      </c>
      <c r="I24" s="204">
        <f>IFERROR(IF(I23="","",I23-I22),0)</f>
        <v/>
      </c>
      <c r="J24" s="204">
        <f>IFERROR(IF(J23="","",J23-J22),0)</f>
        <v/>
      </c>
      <c r="K24" s="204">
        <f>IFERROR(IF(K23="","",K23-K22),0)</f>
        <v/>
      </c>
      <c r="L24" s="204">
        <f>IFERROR(IF(L23="","",L23-L22),0)</f>
        <v/>
      </c>
      <c r="M24" s="204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05">
        <f>IFERROR(B24/B22,0)</f>
        <v/>
      </c>
      <c r="C25" s="205">
        <f>IFERROR(C24/C22,0)</f>
        <v/>
      </c>
      <c r="D25" s="205">
        <f>IFERROR(D24/D22,0)</f>
        <v/>
      </c>
      <c r="E25" s="205">
        <f>IFERROR(E24/E22,0)</f>
        <v/>
      </c>
      <c r="F25" s="205">
        <f>IFERROR(F24/F22,0)</f>
        <v/>
      </c>
      <c r="G25" s="205">
        <f>IFERROR(G24/G22,0)</f>
        <v/>
      </c>
      <c r="H25" s="205">
        <f>IFERROR(H24/H22,0)</f>
        <v/>
      </c>
      <c r="I25" s="205">
        <f>IFERROR(I24/I22,0)</f>
        <v/>
      </c>
      <c r="J25" s="205">
        <f>IFERROR(J24/J22,0)</f>
        <v/>
      </c>
      <c r="K25" s="205">
        <f>IFERROR(K24/K22,0)</f>
        <v/>
      </c>
      <c r="L25" s="205">
        <f>IFERROR(L24/L22,0)</f>
        <v/>
      </c>
      <c r="M25" s="205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)+IFERROR(((SUMPRODUCT((Labor!$G$6:$G$25=Projects!$A$8)*(Labor!$E$6:$E$25="Prime")*N(Labor!$K$6:$K$25))*(1+Rates!$B$6)*(1+Rates!$B$7)+SUMPRODUCT((Labor!$G$6:$G$25=Projects!$A$8)*(Labor!$E$6:$E$25="Sub")*N(Labor!$K$6:$K$25))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$18+((SUMIFS(Travel!$F$5:$F$22,Travel!$D$5:$D$22,Projects!$A$8,Travel!$E$5:$E$22,1))+IFERROR((SUMIFS(Travel!$F$5:$F$22,Travel!$D$5:$D$22,Projects!$A$8,Travel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$19+((SUMIFS(ODCs!$F$5:$F$22,ODCs!$D$5:$D$22,Projects!$A$8,ODCs!$E$5:$E$22,1))+IFERROR((SUMIFS(ODCs!$F$5:$F$22,ODCs!$D$5:$D$22,Projects!$A$8,ODCs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$20+((SUMIFS('M&amp;E'!$F$5:$F$22,'M&amp;E'!$D$5:$D$22,Projects!$A$8,'M&amp;E'!$E$5:$E$22,1))+IFERROR((SUMIFS('M&amp;E'!$F$5:$F$22,'M&amp;E'!$D$5:$D$22,Projects!$A$8,'M&amp;E'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$21))</f>
        <v/>
      </c>
      <c r="C29" s="132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)+IFERROR(((SUMPRODUCT((Labor!$G$6:$G$25=Projects!$A$8)*(Labor!$E$6:$E$25="Prime")*N(Labor!$O$6:$O$25))*(1+Rates!$B$6)*(1+Rates!$B$7)+SUMPRODUCT((Labor!$G$6:$G$25=Projects!$A$8)*(Labor!$E$6:$E$25="Sub")*N(Labor!$O$6:$O$25))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$18+((SUMIFS(Travel!$F$5:$F$22,Travel!$D$5:$D$22,Projects!$A$8,Travel!$E$5:$E$22,2))+IFERROR((SUMIFS(Travel!$F$5:$F$22,Travel!$D$5:$D$22,Projects!$A$8,Travel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$19+((SUMIFS(ODCs!$F$5:$F$22,ODCs!$D$5:$D$22,Projects!$A$8,ODCs!$E$5:$E$22,2))+IFERROR((SUMIFS(ODCs!$F$5:$F$22,ODCs!$D$5:$D$22,Projects!$A$8,ODCs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$20+((SUMIFS('M&amp;E'!$F$5:$F$22,'M&amp;E'!$D$5:$D$22,Projects!$A$8,'M&amp;E'!$E$5:$E$22,2))+IFERROR((SUMIFS('M&amp;E'!$F$5:$F$22,'M&amp;E'!$D$5:$D$22,Projects!$A$8,'M&amp;E'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$21))</f>
        <v/>
      </c>
      <c r="D29" s="132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)+IFERROR(((SUMPRODUCT((Labor!$G$6:$G$25=Projects!$A$8)*(Labor!$E$6:$E$25="Prime")*N(Labor!$S$6:$S$25))*(1+Rates!$B$6)*(1+Rates!$B$7)+SUMPRODUCT((Labor!$G$6:$G$25=Projects!$A$8)*(Labor!$E$6:$E$25="Sub")*N(Labor!$S$6:$S$25))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$18+((SUMIFS(Travel!$F$5:$F$22,Travel!$D$5:$D$22,Projects!$A$8,Travel!$E$5:$E$22,3))+IFERROR((SUMIFS(Travel!$F$5:$F$22,Travel!$D$5:$D$22,Projects!$A$8,Travel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$19+((SUMIFS(ODCs!$F$5:$F$22,ODCs!$D$5:$D$22,Projects!$A$8,ODCs!$E$5:$E$22,3))+IFERROR((SUMIFS(ODCs!$F$5:$F$22,ODCs!$D$5:$D$22,Projects!$A$8,ODCs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$20+((SUMIFS('M&amp;E'!$F$5:$F$22,'M&amp;E'!$D$5:$D$22,Projects!$A$8,'M&amp;E'!$E$5:$E$22,3))+IFERROR((SUMIFS('M&amp;E'!$F$5:$F$22,'M&amp;E'!$D$5:$D$22,Projects!$A$8,'M&amp;E'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$21))</f>
        <v/>
      </c>
      <c r="E29" s="132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)+IFERROR(((SUMPRODUCT((Labor!$G$6:$G$25=Projects!$A$8)*(Labor!$E$6:$E$25="Prime")*N(Labor!$W$6:$W$25))*(1+Rates!$B$6)*(1+Rates!$B$7)+SUMPRODUCT((Labor!$G$6:$G$25=Projects!$A$8)*(Labor!$E$6:$E$25="Sub")*N(Labor!$W$6:$W$25))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$18+((SUMIFS(Travel!$F$5:$F$22,Travel!$D$5:$D$22,Projects!$A$8,Travel!$E$5:$E$22,4))+IFERROR((SUMIFS(Travel!$F$5:$F$22,Travel!$D$5:$D$22,Projects!$A$8,Travel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$19+((SUMIFS(ODCs!$F$5:$F$22,ODCs!$D$5:$D$22,Projects!$A$8,ODCs!$E$5:$E$22,4))+IFERROR((SUMIFS(ODCs!$F$5:$F$22,ODCs!$D$5:$D$22,Projects!$A$8,ODCs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$20+((SUMIFS('M&amp;E'!$F$5:$F$22,'M&amp;E'!$D$5:$D$22,Projects!$A$8,'M&amp;E'!$E$5:$E$22,4))+IFERROR((SUMIFS('M&amp;E'!$F$5:$F$22,'M&amp;E'!$D$5:$D$22,Projects!$A$8,'M&amp;E'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$21))</f>
        <v/>
      </c>
      <c r="F29" s="132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)+IFERROR(((SUMPRODUCT((Labor!$G$6:$G$25=Projects!$A$8)*(Labor!$E$6:$E$25="Prime")*N(Labor!$AA$6:$AA$25))*(1+Rates!$B$6)*(1+Rates!$B$7)+SUMPRODUCT((Labor!$G$6:$G$25=Projects!$A$8)*(Labor!$E$6:$E$25="Sub")*N(Labor!$AA$6:$AA$25))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$18+((SUMIFS(Travel!$F$5:$F$22,Travel!$D$5:$D$22,Projects!$A$8,Travel!$E$5:$E$22,5))+IFERROR((SUMIFS(Travel!$F$5:$F$22,Travel!$D$5:$D$22,Projects!$A$8,Travel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$19+((SUMIFS(ODCs!$F$5:$F$22,ODCs!$D$5:$D$22,Projects!$A$8,ODCs!$E$5:$E$22,5))+IFERROR((SUMIFS(ODCs!$F$5:$F$22,ODCs!$D$5:$D$22,Projects!$A$8,ODCs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$20+((SUMIFS('M&amp;E'!$F$5:$F$22,'M&amp;E'!$D$5:$D$22,Projects!$A$8,'M&amp;E'!$E$5:$E$22,5))+IFERROR((SUMIFS('M&amp;E'!$F$5:$F$22,'M&amp;E'!$D$5:$D$22,Projects!$A$8,'M&amp;E'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$21))</f>
        <v/>
      </c>
      <c r="G29" s="132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)+IFERROR(((SUMPRODUCT((Labor!$G$6:$G$25=Projects!$A$8)*(Labor!$E$6:$E$25="Prime")*N(Labor!$AE$6:$AE$25))*(1+Rates!$B$6)*(1+Rates!$B$7)+SUMPRODUCT((Labor!$G$6:$G$25=Projects!$A$8)*(Labor!$E$6:$E$25="Sub")*N(Labor!$AE$6:$AE$25))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$18+((SUMIFS(Travel!$F$5:$F$22,Travel!$D$5:$D$22,Projects!$A$8,Travel!$E$5:$E$22,6))+IFERROR((SUMIFS(Travel!$F$5:$F$22,Travel!$D$5:$D$22,Projects!$A$8,Travel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$19+((SUMIFS(ODCs!$F$5:$F$22,ODCs!$D$5:$D$22,Projects!$A$8,ODCs!$E$5:$E$22,6))+IFERROR((SUMIFS(ODCs!$F$5:$F$22,ODCs!$D$5:$D$22,Projects!$A$8,ODCs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$20+((SUMIFS('M&amp;E'!$F$5:$F$22,'M&amp;E'!$D$5:$D$22,Projects!$A$8,'M&amp;E'!$E$5:$E$22,6))+IFERROR((SUMIFS('M&amp;E'!$F$5:$F$22,'M&amp;E'!$D$5:$D$22,Projects!$A$8,'M&amp;E'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$21))</f>
        <v/>
      </c>
      <c r="H29" s="132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)+IFERROR(((SUMPRODUCT((Labor!$G$6:$G$25=Projects!$A$8)*(Labor!$E$6:$E$25="Prime")*N(Labor!$AI$6:$AI$25))*(1+Rates!$B$6)*(1+Rates!$B$7)+SUMPRODUCT((Labor!$G$6:$G$25=Projects!$A$8)*(Labor!$E$6:$E$25="Sub")*N(Labor!$AI$6:$AI$25))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$18+((SUMIFS(Travel!$F$5:$F$22,Travel!$D$5:$D$22,Projects!$A$8,Travel!$E$5:$E$22,7))+IFERROR((SUMIFS(Travel!$F$5:$F$22,Travel!$D$5:$D$22,Projects!$A$8,Travel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$19+((SUMIFS(ODCs!$F$5:$F$22,ODCs!$D$5:$D$22,Projects!$A$8,ODCs!$E$5:$E$22,7))+IFERROR((SUMIFS(ODCs!$F$5:$F$22,ODCs!$D$5:$D$22,Projects!$A$8,ODCs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$20+((SUMIFS('M&amp;E'!$F$5:$F$22,'M&amp;E'!$D$5:$D$22,Projects!$A$8,'M&amp;E'!$E$5:$E$22,7))+IFERROR((SUMIFS('M&amp;E'!$F$5:$F$22,'M&amp;E'!$D$5:$D$22,Projects!$A$8,'M&amp;E'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$21))</f>
        <v/>
      </c>
      <c r="I29" s="132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)+IFERROR(((SUMPRODUCT((Labor!$G$6:$G$25=Projects!$A$8)*(Labor!$E$6:$E$25="Prime")*N(Labor!$AM$6:$AM$25))*(1+Rates!$B$6)*(1+Rates!$B$7)+SUMPRODUCT((Labor!$G$6:$G$25=Projects!$A$8)*(Labor!$E$6:$E$25="Sub")*N(Labor!$AM$6:$AM$25))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$18+((SUMIFS(Travel!$F$5:$F$22,Travel!$D$5:$D$22,Projects!$A$8,Travel!$E$5:$E$22,8))+IFERROR((SUMIFS(Travel!$F$5:$F$22,Travel!$D$5:$D$22,Projects!$A$8,Travel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$19+((SUMIFS(ODCs!$F$5:$F$22,ODCs!$D$5:$D$22,Projects!$A$8,ODCs!$E$5:$E$22,8))+IFERROR((SUMIFS(ODCs!$F$5:$F$22,ODCs!$D$5:$D$22,Projects!$A$8,ODCs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$20+((SUMIFS('M&amp;E'!$F$5:$F$22,'M&amp;E'!$D$5:$D$22,Projects!$A$8,'M&amp;E'!$E$5:$E$22,8))+IFERROR((SUMIFS('M&amp;E'!$F$5:$F$22,'M&amp;E'!$D$5:$D$22,Projects!$A$8,'M&amp;E'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$21))</f>
        <v/>
      </c>
      <c r="J29" s="132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)+IFERROR(((SUMPRODUCT((Labor!$G$6:$G$25=Projects!$A$8)*(Labor!$E$6:$E$25="Prime")*N(Labor!$AQ$6:$AQ$25))*(1+Rates!$B$6)*(1+Rates!$B$7)+SUMPRODUCT((Labor!$G$6:$G$25=Projects!$A$8)*(Labor!$E$6:$E$25="Sub")*N(Labor!$AQ$6:$AQ$25))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$18+((SUMIFS(Travel!$F$5:$F$22,Travel!$D$5:$D$22,Projects!$A$8,Travel!$E$5:$E$22,9))+IFERROR((SUMIFS(Travel!$F$5:$F$22,Travel!$D$5:$D$22,Projects!$A$8,Travel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$19+((SUMIFS(ODCs!$F$5:$F$22,ODCs!$D$5:$D$22,Projects!$A$8,ODCs!$E$5:$E$22,9))+IFERROR((SUMIFS(ODCs!$F$5:$F$22,ODCs!$D$5:$D$22,Projects!$A$8,ODCs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$20+((SUMIFS('M&amp;E'!$F$5:$F$22,'M&amp;E'!$D$5:$D$22,Projects!$A$8,'M&amp;E'!$E$5:$E$22,9))+IFERROR((SUMIFS('M&amp;E'!$F$5:$F$22,'M&amp;E'!$D$5:$D$22,Projects!$A$8,'M&amp;E'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$21))</f>
        <v/>
      </c>
      <c r="K29" s="132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)+IFERROR(((SUMPRODUCT((Labor!$G$6:$G$25=Projects!$A$8)*(Labor!$E$6:$E$25="Prime")*N(Labor!$AU$6:$AU$25))*(1+Rates!$B$6)*(1+Rates!$B$7)+SUMPRODUCT((Labor!$G$6:$G$25=Projects!$A$8)*(Labor!$E$6:$E$25="Sub")*N(Labor!$AU$6:$AU$25))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$18+((SUMIFS(Travel!$F$5:$F$22,Travel!$D$5:$D$22,Projects!$A$8,Travel!$E$5:$E$22,10))+IFERROR((SUMIFS(Travel!$F$5:$F$22,Travel!$D$5:$D$22,Projects!$A$8,Travel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$19+((SUMIFS(ODCs!$F$5:$F$22,ODCs!$D$5:$D$22,Projects!$A$8,ODCs!$E$5:$E$22,10))+IFERROR((SUMIFS(ODCs!$F$5:$F$22,ODCs!$D$5:$D$22,Projects!$A$8,ODCs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$20+((SUMIFS('M&amp;E'!$F$5:$F$22,'M&amp;E'!$D$5:$D$22,Projects!$A$8,'M&amp;E'!$E$5:$E$22,10))+IFERROR((SUMIFS('M&amp;E'!$F$5:$F$22,'M&amp;E'!$D$5:$D$22,Projects!$A$8,'M&amp;E'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$21))</f>
        <v/>
      </c>
      <c r="L29" s="132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)+IFERROR(((SUMPRODUCT((Labor!$G$6:$G$25=Projects!$A$8)*(Labor!$E$6:$E$25="Prime")*N(Labor!$AY$6:$AY$25))*(1+Rates!$B$6)*(1+Rates!$B$7)+SUMPRODUCT((Labor!$G$6:$G$25=Projects!$A$8)*(Labor!$E$6:$E$25="Sub")*N(Labor!$AY$6:$AY$25))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$18+((SUMIFS(Travel!$F$5:$F$22,Travel!$D$5:$D$22,Projects!$A$8,Travel!$E$5:$E$22,11))+IFERROR((SUMIFS(Travel!$F$5:$F$22,Travel!$D$5:$D$22,Projects!$A$8,Travel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$19+((SUMIFS(ODCs!$F$5:$F$22,ODCs!$D$5:$D$22,Projects!$A$8,ODCs!$E$5:$E$22,11))+IFERROR((SUMIFS(ODCs!$F$5:$F$22,ODCs!$D$5:$D$22,Projects!$A$8,ODCs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$20+((SUMIFS('M&amp;E'!$F$5:$F$22,'M&amp;E'!$D$5:$D$22,Projects!$A$8,'M&amp;E'!$E$5:$E$22,11))+IFERROR((SUMIFS('M&amp;E'!$F$5:$F$22,'M&amp;E'!$D$5:$D$22,Projects!$A$8,'M&amp;E'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$21))</f>
        <v/>
      </c>
      <c r="M29" s="132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)+IFERROR(((SUMPRODUCT((Labor!$G$6:$G$25=Projects!$A$8)*(Labor!$E$6:$E$25="Prime")*N(Labor!$BC$6:$BC$25))*(1+Rates!$B$6)*(1+Rates!$B$7)+SUMPRODUCT((Labor!$G$6:$G$25=Projects!$A$8)*(Labor!$E$6:$E$25="Sub")*N(Labor!$BC$6:$BC$25))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$18+((SUMIFS(Travel!$F$5:$F$22,Travel!$D$5:$D$22,Projects!$A$8,Travel!$E$5:$E$22,12))+IFERROR((SUMIFS(Travel!$F$5:$F$22,Travel!$D$5:$D$22,Projects!$A$8,Travel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$19+((SUMIFS(ODCs!$F$5:$F$22,ODCs!$D$5:$D$22,Projects!$A$8,ODCs!$E$5:$E$22,12))+IFERROR((SUMIFS(ODCs!$F$5:$F$22,ODCs!$D$5:$D$22,Projects!$A$8,ODCs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$20+((SUMIFS('M&amp;E'!$F$5:$F$22,'M&amp;E'!$D$5:$D$22,Projects!$A$8,'M&amp;E'!$E$5:$E$22,12))+IFERROR((SUMIFS('M&amp;E'!$F$5:$F$22,'M&amp;E'!$D$5:$D$22,Projects!$A$8,'M&amp;E'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$21)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04">
        <f>IFERROR(IF(B29="","",B29-B28),0)</f>
        <v/>
      </c>
      <c r="C30" s="204">
        <f>IFERROR(IF(C29="","",C29-C28),0)</f>
        <v/>
      </c>
      <c r="D30" s="204">
        <f>IFERROR(IF(D29="","",D29-D28),0)</f>
        <v/>
      </c>
      <c r="E30" s="204">
        <f>IFERROR(IF(E29="","",E29-E28),0)</f>
        <v/>
      </c>
      <c r="F30" s="204">
        <f>IFERROR(IF(F29="","",F29-F28),0)</f>
        <v/>
      </c>
      <c r="G30" s="204">
        <f>IFERROR(IF(G29="","",G29-G28),0)</f>
        <v/>
      </c>
      <c r="H30" s="204">
        <f>IFERROR(IF(H29="","",H29-H28),0)</f>
        <v/>
      </c>
      <c r="I30" s="204">
        <f>IFERROR(IF(I29="","",I29-I28),0)</f>
        <v/>
      </c>
      <c r="J30" s="204">
        <f>IFERROR(IF(J29="","",J29-J28),0)</f>
        <v/>
      </c>
      <c r="K30" s="204">
        <f>IFERROR(IF(K29="","",K29-K28),0)</f>
        <v/>
      </c>
      <c r="L30" s="204">
        <f>IFERROR(IF(L29="","",L29-L28),0)</f>
        <v/>
      </c>
      <c r="M30" s="204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05">
        <f>IFERROR(B30/B28,0)</f>
        <v/>
      </c>
      <c r="C31" s="205">
        <f>IFERROR(C30/C28,0)</f>
        <v/>
      </c>
      <c r="D31" s="205">
        <f>IFERROR(D30/D28,0)</f>
        <v/>
      </c>
      <c r="E31" s="205">
        <f>IFERROR(E30/E28,0)</f>
        <v/>
      </c>
      <c r="F31" s="205">
        <f>IFERROR(F30/F28,0)</f>
        <v/>
      </c>
      <c r="G31" s="205">
        <f>IFERROR(G30/G28,0)</f>
        <v/>
      </c>
      <c r="H31" s="205">
        <f>IFERROR(H30/H28,0)</f>
        <v/>
      </c>
      <c r="I31" s="205">
        <f>IFERROR(I30/I28,0)</f>
        <v/>
      </c>
      <c r="J31" s="205">
        <f>IFERROR(J30/J28,0)</f>
        <v/>
      </c>
      <c r="K31" s="205">
        <f>IFERROR(K30/K28,0)</f>
        <v/>
      </c>
      <c r="L31" s="205">
        <f>IFERROR(L30/L28,0)</f>
        <v/>
      </c>
      <c r="M31" s="205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)+IFERROR(((SUMPRODUCT((Labor!$G$6:$G$25=Projects!$A$9)*(Labor!$E$6:$E$25="Prime")*N(Labor!$K$6:$K$25))*(1+Rates!$B$6)*(1+Rates!$B$7)+SUMPRODUCT((Labor!$G$6:$G$25=Projects!$A$9)*(Labor!$E$6:$E$25="Sub")*N(Labor!$K$6:$K$25))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$18+((SUMIFS(Travel!$F$5:$F$22,Travel!$D$5:$D$22,Projects!$A$9,Travel!$E$5:$E$22,1))+IFERROR((SUMIFS(Travel!$F$5:$F$22,Travel!$D$5:$D$22,Projects!$A$9,Travel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$19+((SUMIFS(ODCs!$F$5:$F$22,ODCs!$D$5:$D$22,Projects!$A$9,ODCs!$E$5:$E$22,1))+IFERROR((SUMIFS(ODCs!$F$5:$F$22,ODCs!$D$5:$D$22,Projects!$A$9,ODCs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$20+((SUMIFS('M&amp;E'!$F$5:$F$22,'M&amp;E'!$D$5:$D$22,Projects!$A$9,'M&amp;E'!$E$5:$E$22,1))+IFERROR((SUMIFS('M&amp;E'!$F$5:$F$22,'M&amp;E'!$D$5:$D$22,Projects!$A$9,'M&amp;E'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$21))</f>
        <v/>
      </c>
      <c r="C35" s="132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)+IFERROR(((SUMPRODUCT((Labor!$G$6:$G$25=Projects!$A$9)*(Labor!$E$6:$E$25="Prime")*N(Labor!$O$6:$O$25))*(1+Rates!$B$6)*(1+Rates!$B$7)+SUMPRODUCT((Labor!$G$6:$G$25=Projects!$A$9)*(Labor!$E$6:$E$25="Sub")*N(Labor!$O$6:$O$25))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$18+((SUMIFS(Travel!$F$5:$F$22,Travel!$D$5:$D$22,Projects!$A$9,Travel!$E$5:$E$22,2))+IFERROR((SUMIFS(Travel!$F$5:$F$22,Travel!$D$5:$D$22,Projects!$A$9,Travel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$19+((SUMIFS(ODCs!$F$5:$F$22,ODCs!$D$5:$D$22,Projects!$A$9,ODCs!$E$5:$E$22,2))+IFERROR((SUMIFS(ODCs!$F$5:$F$22,ODCs!$D$5:$D$22,Projects!$A$9,ODCs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$20+((SUMIFS('M&amp;E'!$F$5:$F$22,'M&amp;E'!$D$5:$D$22,Projects!$A$9,'M&amp;E'!$E$5:$E$22,2))+IFERROR((SUMIFS('M&amp;E'!$F$5:$F$22,'M&amp;E'!$D$5:$D$22,Projects!$A$9,'M&amp;E'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$21))</f>
        <v/>
      </c>
      <c r="D35" s="132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)+IFERROR(((SUMPRODUCT((Labor!$G$6:$G$25=Projects!$A$9)*(Labor!$E$6:$E$25="Prime")*N(Labor!$S$6:$S$25))*(1+Rates!$B$6)*(1+Rates!$B$7)+SUMPRODUCT((Labor!$G$6:$G$25=Projects!$A$9)*(Labor!$E$6:$E$25="Sub")*N(Labor!$S$6:$S$25))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$18+((SUMIFS(Travel!$F$5:$F$22,Travel!$D$5:$D$22,Projects!$A$9,Travel!$E$5:$E$22,3))+IFERROR((SUMIFS(Travel!$F$5:$F$22,Travel!$D$5:$D$22,Projects!$A$9,Travel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$19+((SUMIFS(ODCs!$F$5:$F$22,ODCs!$D$5:$D$22,Projects!$A$9,ODCs!$E$5:$E$22,3))+IFERROR((SUMIFS(ODCs!$F$5:$F$22,ODCs!$D$5:$D$22,Projects!$A$9,ODCs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$20+((SUMIFS('M&amp;E'!$F$5:$F$22,'M&amp;E'!$D$5:$D$22,Projects!$A$9,'M&amp;E'!$E$5:$E$22,3))+IFERROR((SUMIFS('M&amp;E'!$F$5:$F$22,'M&amp;E'!$D$5:$D$22,Projects!$A$9,'M&amp;E'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$21))</f>
        <v/>
      </c>
      <c r="E35" s="132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)+IFERROR(((SUMPRODUCT((Labor!$G$6:$G$25=Projects!$A$9)*(Labor!$E$6:$E$25="Prime")*N(Labor!$W$6:$W$25))*(1+Rates!$B$6)*(1+Rates!$B$7)+SUMPRODUCT((Labor!$G$6:$G$25=Projects!$A$9)*(Labor!$E$6:$E$25="Sub")*N(Labor!$W$6:$W$25))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$18+((SUMIFS(Travel!$F$5:$F$22,Travel!$D$5:$D$22,Projects!$A$9,Travel!$E$5:$E$22,4))+IFERROR((SUMIFS(Travel!$F$5:$F$22,Travel!$D$5:$D$22,Projects!$A$9,Travel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$19+((SUMIFS(ODCs!$F$5:$F$22,ODCs!$D$5:$D$22,Projects!$A$9,ODCs!$E$5:$E$22,4))+IFERROR((SUMIFS(ODCs!$F$5:$F$22,ODCs!$D$5:$D$22,Projects!$A$9,ODCs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$20+((SUMIFS('M&amp;E'!$F$5:$F$22,'M&amp;E'!$D$5:$D$22,Projects!$A$9,'M&amp;E'!$E$5:$E$22,4))+IFERROR((SUMIFS('M&amp;E'!$F$5:$F$22,'M&amp;E'!$D$5:$D$22,Projects!$A$9,'M&amp;E'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$21))</f>
        <v/>
      </c>
      <c r="F35" s="132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)+IFERROR(((SUMPRODUCT((Labor!$G$6:$G$25=Projects!$A$9)*(Labor!$E$6:$E$25="Prime")*N(Labor!$AA$6:$AA$25))*(1+Rates!$B$6)*(1+Rates!$B$7)+SUMPRODUCT((Labor!$G$6:$G$25=Projects!$A$9)*(Labor!$E$6:$E$25="Sub")*N(Labor!$AA$6:$AA$25))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$18+((SUMIFS(Travel!$F$5:$F$22,Travel!$D$5:$D$22,Projects!$A$9,Travel!$E$5:$E$22,5))+IFERROR((SUMIFS(Travel!$F$5:$F$22,Travel!$D$5:$D$22,Projects!$A$9,Travel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$19+((SUMIFS(ODCs!$F$5:$F$22,ODCs!$D$5:$D$22,Projects!$A$9,ODCs!$E$5:$E$22,5))+IFERROR((SUMIFS(ODCs!$F$5:$F$22,ODCs!$D$5:$D$22,Projects!$A$9,ODCs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$20+((SUMIFS('M&amp;E'!$F$5:$F$22,'M&amp;E'!$D$5:$D$22,Projects!$A$9,'M&amp;E'!$E$5:$E$22,5))+IFERROR((SUMIFS('M&amp;E'!$F$5:$F$22,'M&amp;E'!$D$5:$D$22,Projects!$A$9,'M&amp;E'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$21))</f>
        <v/>
      </c>
      <c r="G35" s="132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)+IFERROR(((SUMPRODUCT((Labor!$G$6:$G$25=Projects!$A$9)*(Labor!$E$6:$E$25="Prime")*N(Labor!$AE$6:$AE$25))*(1+Rates!$B$6)*(1+Rates!$B$7)+SUMPRODUCT((Labor!$G$6:$G$25=Projects!$A$9)*(Labor!$E$6:$E$25="Sub")*N(Labor!$AE$6:$AE$25))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$18+((SUMIFS(Travel!$F$5:$F$22,Travel!$D$5:$D$22,Projects!$A$9,Travel!$E$5:$E$22,6))+IFERROR((SUMIFS(Travel!$F$5:$F$22,Travel!$D$5:$D$22,Projects!$A$9,Travel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$19+((SUMIFS(ODCs!$F$5:$F$22,ODCs!$D$5:$D$22,Projects!$A$9,ODCs!$E$5:$E$22,6))+IFERROR((SUMIFS(ODCs!$F$5:$F$22,ODCs!$D$5:$D$22,Projects!$A$9,ODCs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$20+((SUMIFS('M&amp;E'!$F$5:$F$22,'M&amp;E'!$D$5:$D$22,Projects!$A$9,'M&amp;E'!$E$5:$E$22,6))+IFERROR((SUMIFS('M&amp;E'!$F$5:$F$22,'M&amp;E'!$D$5:$D$22,Projects!$A$9,'M&amp;E'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$21))</f>
        <v/>
      </c>
      <c r="H35" s="132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)+IFERROR(((SUMPRODUCT((Labor!$G$6:$G$25=Projects!$A$9)*(Labor!$E$6:$E$25="Prime")*N(Labor!$AI$6:$AI$25))*(1+Rates!$B$6)*(1+Rates!$B$7)+SUMPRODUCT((Labor!$G$6:$G$25=Projects!$A$9)*(Labor!$E$6:$E$25="Sub")*N(Labor!$AI$6:$AI$25))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$18+((SUMIFS(Travel!$F$5:$F$22,Travel!$D$5:$D$22,Projects!$A$9,Travel!$E$5:$E$22,7))+IFERROR((SUMIFS(Travel!$F$5:$F$22,Travel!$D$5:$D$22,Projects!$A$9,Travel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$19+((SUMIFS(ODCs!$F$5:$F$22,ODCs!$D$5:$D$22,Projects!$A$9,ODCs!$E$5:$E$22,7))+IFERROR((SUMIFS(ODCs!$F$5:$F$22,ODCs!$D$5:$D$22,Projects!$A$9,ODCs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$20+((SUMIFS('M&amp;E'!$F$5:$F$22,'M&amp;E'!$D$5:$D$22,Projects!$A$9,'M&amp;E'!$E$5:$E$22,7))+IFERROR((SUMIFS('M&amp;E'!$F$5:$F$22,'M&amp;E'!$D$5:$D$22,Projects!$A$9,'M&amp;E'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$21))</f>
        <v/>
      </c>
      <c r="I35" s="132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)+IFERROR(((SUMPRODUCT((Labor!$G$6:$G$25=Projects!$A$9)*(Labor!$E$6:$E$25="Prime")*N(Labor!$AM$6:$AM$25))*(1+Rates!$B$6)*(1+Rates!$B$7)+SUMPRODUCT((Labor!$G$6:$G$25=Projects!$A$9)*(Labor!$E$6:$E$25="Sub")*N(Labor!$AM$6:$AM$25))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$18+((SUMIFS(Travel!$F$5:$F$22,Travel!$D$5:$D$22,Projects!$A$9,Travel!$E$5:$E$22,8))+IFERROR((SUMIFS(Travel!$F$5:$F$22,Travel!$D$5:$D$22,Projects!$A$9,Travel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$19+((SUMIFS(ODCs!$F$5:$F$22,ODCs!$D$5:$D$22,Projects!$A$9,ODCs!$E$5:$E$22,8))+IFERROR((SUMIFS(ODCs!$F$5:$F$22,ODCs!$D$5:$D$22,Projects!$A$9,ODCs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$20+((SUMIFS('M&amp;E'!$F$5:$F$22,'M&amp;E'!$D$5:$D$22,Projects!$A$9,'M&amp;E'!$E$5:$E$22,8))+IFERROR((SUMIFS('M&amp;E'!$F$5:$F$22,'M&amp;E'!$D$5:$D$22,Projects!$A$9,'M&amp;E'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$21))</f>
        <v/>
      </c>
      <c r="J35" s="132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)+IFERROR(((SUMPRODUCT((Labor!$G$6:$G$25=Projects!$A$9)*(Labor!$E$6:$E$25="Prime")*N(Labor!$AQ$6:$AQ$25))*(1+Rates!$B$6)*(1+Rates!$B$7)+SUMPRODUCT((Labor!$G$6:$G$25=Projects!$A$9)*(Labor!$E$6:$E$25="Sub")*N(Labor!$AQ$6:$AQ$25))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$18+((SUMIFS(Travel!$F$5:$F$22,Travel!$D$5:$D$22,Projects!$A$9,Travel!$E$5:$E$22,9))+IFERROR((SUMIFS(Travel!$F$5:$F$22,Travel!$D$5:$D$22,Projects!$A$9,Travel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$19+((SUMIFS(ODCs!$F$5:$F$22,ODCs!$D$5:$D$22,Projects!$A$9,ODCs!$E$5:$E$22,9))+IFERROR((SUMIFS(ODCs!$F$5:$F$22,ODCs!$D$5:$D$22,Projects!$A$9,ODCs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$20+((SUMIFS('M&amp;E'!$F$5:$F$22,'M&amp;E'!$D$5:$D$22,Projects!$A$9,'M&amp;E'!$E$5:$E$22,9))+IFERROR((SUMIFS('M&amp;E'!$F$5:$F$22,'M&amp;E'!$D$5:$D$22,Projects!$A$9,'M&amp;E'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$21))</f>
        <v/>
      </c>
      <c r="K35" s="132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)+IFERROR(((SUMPRODUCT((Labor!$G$6:$G$25=Projects!$A$9)*(Labor!$E$6:$E$25="Prime")*N(Labor!$AU$6:$AU$25))*(1+Rates!$B$6)*(1+Rates!$B$7)+SUMPRODUCT((Labor!$G$6:$G$25=Projects!$A$9)*(Labor!$E$6:$E$25="Sub")*N(Labor!$AU$6:$AU$25))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$18+((SUMIFS(Travel!$F$5:$F$22,Travel!$D$5:$D$22,Projects!$A$9,Travel!$E$5:$E$22,10))+IFERROR((SUMIFS(Travel!$F$5:$F$22,Travel!$D$5:$D$22,Projects!$A$9,Travel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$19+((SUMIFS(ODCs!$F$5:$F$22,ODCs!$D$5:$D$22,Projects!$A$9,ODCs!$E$5:$E$22,10))+IFERROR((SUMIFS(ODCs!$F$5:$F$22,ODCs!$D$5:$D$22,Projects!$A$9,ODCs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$20+((SUMIFS('M&amp;E'!$F$5:$F$22,'M&amp;E'!$D$5:$D$22,Projects!$A$9,'M&amp;E'!$E$5:$E$22,10))+IFERROR((SUMIFS('M&amp;E'!$F$5:$F$22,'M&amp;E'!$D$5:$D$22,Projects!$A$9,'M&amp;E'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$21))</f>
        <v/>
      </c>
      <c r="L35" s="132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)+IFERROR(((SUMPRODUCT((Labor!$G$6:$G$25=Projects!$A$9)*(Labor!$E$6:$E$25="Prime")*N(Labor!$AY$6:$AY$25))*(1+Rates!$B$6)*(1+Rates!$B$7)+SUMPRODUCT((Labor!$G$6:$G$25=Projects!$A$9)*(Labor!$E$6:$E$25="Sub")*N(Labor!$AY$6:$AY$25))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$18+((SUMIFS(Travel!$F$5:$F$22,Travel!$D$5:$D$22,Projects!$A$9,Travel!$E$5:$E$22,11))+IFERROR((SUMIFS(Travel!$F$5:$F$22,Travel!$D$5:$D$22,Projects!$A$9,Travel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$19+((SUMIFS(ODCs!$F$5:$F$22,ODCs!$D$5:$D$22,Projects!$A$9,ODCs!$E$5:$E$22,11))+IFERROR((SUMIFS(ODCs!$F$5:$F$22,ODCs!$D$5:$D$22,Projects!$A$9,ODCs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$20+((SUMIFS('M&amp;E'!$F$5:$F$22,'M&amp;E'!$D$5:$D$22,Projects!$A$9,'M&amp;E'!$E$5:$E$22,11))+IFERROR((SUMIFS('M&amp;E'!$F$5:$F$22,'M&amp;E'!$D$5:$D$22,Projects!$A$9,'M&amp;E'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$21))</f>
        <v/>
      </c>
      <c r="M35" s="132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)+IFERROR(((SUMPRODUCT((Labor!$G$6:$G$25=Projects!$A$9)*(Labor!$E$6:$E$25="Prime")*N(Labor!$BC$6:$BC$25))*(1+Rates!$B$6)*(1+Rates!$B$7)+SUMPRODUCT((Labor!$G$6:$G$25=Projects!$A$9)*(Labor!$E$6:$E$25="Sub")*N(Labor!$BC$6:$BC$25))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$18+((SUMIFS(Travel!$F$5:$F$22,Travel!$D$5:$D$22,Projects!$A$9,Travel!$E$5:$E$22,12))+IFERROR((SUMIFS(Travel!$F$5:$F$22,Travel!$D$5:$D$22,Projects!$A$9,Travel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$19+((SUMIFS(ODCs!$F$5:$F$22,ODCs!$D$5:$D$22,Projects!$A$9,ODCs!$E$5:$E$22,12))+IFERROR((SUMIFS(ODCs!$F$5:$F$22,ODCs!$D$5:$D$22,Projects!$A$9,ODCs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$20+((SUMIFS('M&amp;E'!$F$5:$F$22,'M&amp;E'!$D$5:$D$22,Projects!$A$9,'M&amp;E'!$E$5:$E$22,12))+IFERROR((SUMIFS('M&amp;E'!$F$5:$F$22,'M&amp;E'!$D$5:$D$22,Projects!$A$9,'M&amp;E'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$21)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04">
        <f>IFERROR(IF(B35="","",B35-B34),0)</f>
        <v/>
      </c>
      <c r="C36" s="204">
        <f>IFERROR(IF(C35="","",C35-C34),0)</f>
        <v/>
      </c>
      <c r="D36" s="204">
        <f>IFERROR(IF(D35="","",D35-D34),0)</f>
        <v/>
      </c>
      <c r="E36" s="204">
        <f>IFERROR(IF(E35="","",E35-E34),0)</f>
        <v/>
      </c>
      <c r="F36" s="204">
        <f>IFERROR(IF(F35="","",F35-F34),0)</f>
        <v/>
      </c>
      <c r="G36" s="204">
        <f>IFERROR(IF(G35="","",G35-G34),0)</f>
        <v/>
      </c>
      <c r="H36" s="204">
        <f>IFERROR(IF(H35="","",H35-H34),0)</f>
        <v/>
      </c>
      <c r="I36" s="204">
        <f>IFERROR(IF(I35="","",I35-I34),0)</f>
        <v/>
      </c>
      <c r="J36" s="204">
        <f>IFERROR(IF(J35="","",J35-J34),0)</f>
        <v/>
      </c>
      <c r="K36" s="204">
        <f>IFERROR(IF(K35="","",K35-K34),0)</f>
        <v/>
      </c>
      <c r="L36" s="204">
        <f>IFERROR(IF(L35="","",L35-L34),0)</f>
        <v/>
      </c>
      <c r="M36" s="204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05">
        <f>IFERROR(B36/B34,0)</f>
        <v/>
      </c>
      <c r="C37" s="205">
        <f>IFERROR(C36/C34,0)</f>
        <v/>
      </c>
      <c r="D37" s="205">
        <f>IFERROR(D36/D34,0)</f>
        <v/>
      </c>
      <c r="E37" s="205">
        <f>IFERROR(E36/E34,0)</f>
        <v/>
      </c>
      <c r="F37" s="205">
        <f>IFERROR(F36/F34,0)</f>
        <v/>
      </c>
      <c r="G37" s="205">
        <f>IFERROR(G36/G34,0)</f>
        <v/>
      </c>
      <c r="H37" s="205">
        <f>IFERROR(H36/H34,0)</f>
        <v/>
      </c>
      <c r="I37" s="205">
        <f>IFERROR(I36/I34,0)</f>
        <v/>
      </c>
      <c r="J37" s="205">
        <f>IFERROR(J36/J34,0)</f>
        <v/>
      </c>
      <c r="K37" s="205">
        <f>IFERROR(K36/K34,0)</f>
        <v/>
      </c>
      <c r="L37" s="205">
        <f>IFERROR(L36/L34,0)</f>
        <v/>
      </c>
      <c r="M37" s="205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)+IFERROR(((SUMPRODUCT((Labor!$G$6:$G$25=Projects!$A$10)*(Labor!$E$6:$E$25="Prime")*N(Labor!$K$6:$K$25))*(1+Rates!$B$6)*(1+Rates!$B$7)+SUMPRODUCT((Labor!$G$6:$G$25=Projects!$A$10)*(Labor!$E$6:$E$25="Sub")*N(Labor!$K$6:$K$25))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$18+((SUMIFS(Travel!$F$5:$F$22,Travel!$D$5:$D$22,Projects!$A$10,Travel!$E$5:$E$22,1))+IFERROR((SUMIFS(Travel!$F$5:$F$22,Travel!$D$5:$D$22,Projects!$A$10,Travel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$19+((SUMIFS(ODCs!$F$5:$F$22,ODCs!$D$5:$D$22,Projects!$A$10,ODCs!$E$5:$E$22,1))+IFERROR((SUMIFS(ODCs!$F$5:$F$22,ODCs!$D$5:$D$22,Projects!$A$10,ODCs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$20+((SUMIFS('M&amp;E'!$F$5:$F$22,'M&amp;E'!$D$5:$D$22,Projects!$A$10,'M&amp;E'!$E$5:$E$22,1))+IFERROR((SUMIFS('M&amp;E'!$F$5:$F$22,'M&amp;E'!$D$5:$D$22,Projects!$A$10,'M&amp;E'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$21))</f>
        <v/>
      </c>
      <c r="C41" s="132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)+IFERROR(((SUMPRODUCT((Labor!$G$6:$G$25=Projects!$A$10)*(Labor!$E$6:$E$25="Prime")*N(Labor!$O$6:$O$25))*(1+Rates!$B$6)*(1+Rates!$B$7)+SUMPRODUCT((Labor!$G$6:$G$25=Projects!$A$10)*(Labor!$E$6:$E$25="Sub")*N(Labor!$O$6:$O$25))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$18+((SUMIFS(Travel!$F$5:$F$22,Travel!$D$5:$D$22,Projects!$A$10,Travel!$E$5:$E$22,2))+IFERROR((SUMIFS(Travel!$F$5:$F$22,Travel!$D$5:$D$22,Projects!$A$10,Travel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$19+((SUMIFS(ODCs!$F$5:$F$22,ODCs!$D$5:$D$22,Projects!$A$10,ODCs!$E$5:$E$22,2))+IFERROR((SUMIFS(ODCs!$F$5:$F$22,ODCs!$D$5:$D$22,Projects!$A$10,ODCs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$20+((SUMIFS('M&amp;E'!$F$5:$F$22,'M&amp;E'!$D$5:$D$22,Projects!$A$10,'M&amp;E'!$E$5:$E$22,2))+IFERROR((SUMIFS('M&amp;E'!$F$5:$F$22,'M&amp;E'!$D$5:$D$22,Projects!$A$10,'M&amp;E'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$21))</f>
        <v/>
      </c>
      <c r="D41" s="132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)+IFERROR(((SUMPRODUCT((Labor!$G$6:$G$25=Projects!$A$10)*(Labor!$E$6:$E$25="Prime")*N(Labor!$S$6:$S$25))*(1+Rates!$B$6)*(1+Rates!$B$7)+SUMPRODUCT((Labor!$G$6:$G$25=Projects!$A$10)*(Labor!$E$6:$E$25="Sub")*N(Labor!$S$6:$S$25))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$18+((SUMIFS(Travel!$F$5:$F$22,Travel!$D$5:$D$22,Projects!$A$10,Travel!$E$5:$E$22,3))+IFERROR((SUMIFS(Travel!$F$5:$F$22,Travel!$D$5:$D$22,Projects!$A$10,Travel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$19+((SUMIFS(ODCs!$F$5:$F$22,ODCs!$D$5:$D$22,Projects!$A$10,ODCs!$E$5:$E$22,3))+IFERROR((SUMIFS(ODCs!$F$5:$F$22,ODCs!$D$5:$D$22,Projects!$A$10,ODCs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$20+((SUMIFS('M&amp;E'!$F$5:$F$22,'M&amp;E'!$D$5:$D$22,Projects!$A$10,'M&amp;E'!$E$5:$E$22,3))+IFERROR((SUMIFS('M&amp;E'!$F$5:$F$22,'M&amp;E'!$D$5:$D$22,Projects!$A$10,'M&amp;E'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$21))</f>
        <v/>
      </c>
      <c r="E41" s="132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)+IFERROR(((SUMPRODUCT((Labor!$G$6:$G$25=Projects!$A$10)*(Labor!$E$6:$E$25="Prime")*N(Labor!$W$6:$W$25))*(1+Rates!$B$6)*(1+Rates!$B$7)+SUMPRODUCT((Labor!$G$6:$G$25=Projects!$A$10)*(Labor!$E$6:$E$25="Sub")*N(Labor!$W$6:$W$25))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$18+((SUMIFS(Travel!$F$5:$F$22,Travel!$D$5:$D$22,Projects!$A$10,Travel!$E$5:$E$22,4))+IFERROR((SUMIFS(Travel!$F$5:$F$22,Travel!$D$5:$D$22,Projects!$A$10,Travel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$19+((SUMIFS(ODCs!$F$5:$F$22,ODCs!$D$5:$D$22,Projects!$A$10,ODCs!$E$5:$E$22,4))+IFERROR((SUMIFS(ODCs!$F$5:$F$22,ODCs!$D$5:$D$22,Projects!$A$10,ODCs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$20+((SUMIFS('M&amp;E'!$F$5:$F$22,'M&amp;E'!$D$5:$D$22,Projects!$A$10,'M&amp;E'!$E$5:$E$22,4))+IFERROR((SUMIFS('M&amp;E'!$F$5:$F$22,'M&amp;E'!$D$5:$D$22,Projects!$A$10,'M&amp;E'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$21))</f>
        <v/>
      </c>
      <c r="F41" s="132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)+IFERROR(((SUMPRODUCT((Labor!$G$6:$G$25=Projects!$A$10)*(Labor!$E$6:$E$25="Prime")*N(Labor!$AA$6:$AA$25))*(1+Rates!$B$6)*(1+Rates!$B$7)+SUMPRODUCT((Labor!$G$6:$G$25=Projects!$A$10)*(Labor!$E$6:$E$25="Sub")*N(Labor!$AA$6:$AA$25))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$18+((SUMIFS(Travel!$F$5:$F$22,Travel!$D$5:$D$22,Projects!$A$10,Travel!$E$5:$E$22,5))+IFERROR((SUMIFS(Travel!$F$5:$F$22,Travel!$D$5:$D$22,Projects!$A$10,Travel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$19+((SUMIFS(ODCs!$F$5:$F$22,ODCs!$D$5:$D$22,Projects!$A$10,ODCs!$E$5:$E$22,5))+IFERROR((SUMIFS(ODCs!$F$5:$F$22,ODCs!$D$5:$D$22,Projects!$A$10,ODCs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$20+((SUMIFS('M&amp;E'!$F$5:$F$22,'M&amp;E'!$D$5:$D$22,Projects!$A$10,'M&amp;E'!$E$5:$E$22,5))+IFERROR((SUMIFS('M&amp;E'!$F$5:$F$22,'M&amp;E'!$D$5:$D$22,Projects!$A$10,'M&amp;E'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$21))</f>
        <v/>
      </c>
      <c r="G41" s="132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)+IFERROR(((SUMPRODUCT((Labor!$G$6:$G$25=Projects!$A$10)*(Labor!$E$6:$E$25="Prime")*N(Labor!$AE$6:$AE$25))*(1+Rates!$B$6)*(1+Rates!$B$7)+SUMPRODUCT((Labor!$G$6:$G$25=Projects!$A$10)*(Labor!$E$6:$E$25="Sub")*N(Labor!$AE$6:$AE$25))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$18+((SUMIFS(Travel!$F$5:$F$22,Travel!$D$5:$D$22,Projects!$A$10,Travel!$E$5:$E$22,6))+IFERROR((SUMIFS(Travel!$F$5:$F$22,Travel!$D$5:$D$22,Projects!$A$10,Travel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$19+((SUMIFS(ODCs!$F$5:$F$22,ODCs!$D$5:$D$22,Projects!$A$10,ODCs!$E$5:$E$22,6))+IFERROR((SUMIFS(ODCs!$F$5:$F$22,ODCs!$D$5:$D$22,Projects!$A$10,ODCs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$20+((SUMIFS('M&amp;E'!$F$5:$F$22,'M&amp;E'!$D$5:$D$22,Projects!$A$10,'M&amp;E'!$E$5:$E$22,6))+IFERROR((SUMIFS('M&amp;E'!$F$5:$F$22,'M&amp;E'!$D$5:$D$22,Projects!$A$10,'M&amp;E'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$21))</f>
        <v/>
      </c>
      <c r="H41" s="132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)+IFERROR(((SUMPRODUCT((Labor!$G$6:$G$25=Projects!$A$10)*(Labor!$E$6:$E$25="Prime")*N(Labor!$AI$6:$AI$25))*(1+Rates!$B$6)*(1+Rates!$B$7)+SUMPRODUCT((Labor!$G$6:$G$25=Projects!$A$10)*(Labor!$E$6:$E$25="Sub")*N(Labor!$AI$6:$AI$25))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$18+((SUMIFS(Travel!$F$5:$F$22,Travel!$D$5:$D$22,Projects!$A$10,Travel!$E$5:$E$22,7))+IFERROR((SUMIFS(Travel!$F$5:$F$22,Travel!$D$5:$D$22,Projects!$A$10,Travel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$19+((SUMIFS(ODCs!$F$5:$F$22,ODCs!$D$5:$D$22,Projects!$A$10,ODCs!$E$5:$E$22,7))+IFERROR((SUMIFS(ODCs!$F$5:$F$22,ODCs!$D$5:$D$22,Projects!$A$10,ODCs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$20+((SUMIFS('M&amp;E'!$F$5:$F$22,'M&amp;E'!$D$5:$D$22,Projects!$A$10,'M&amp;E'!$E$5:$E$22,7))+IFERROR((SUMIFS('M&amp;E'!$F$5:$F$22,'M&amp;E'!$D$5:$D$22,Projects!$A$10,'M&amp;E'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$21))</f>
        <v/>
      </c>
      <c r="I41" s="132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)+IFERROR(((SUMPRODUCT((Labor!$G$6:$G$25=Projects!$A$10)*(Labor!$E$6:$E$25="Prime")*N(Labor!$AM$6:$AM$25))*(1+Rates!$B$6)*(1+Rates!$B$7)+SUMPRODUCT((Labor!$G$6:$G$25=Projects!$A$10)*(Labor!$E$6:$E$25="Sub")*N(Labor!$AM$6:$AM$25))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$18+((SUMIFS(Travel!$F$5:$F$22,Travel!$D$5:$D$22,Projects!$A$10,Travel!$E$5:$E$22,8))+IFERROR((SUMIFS(Travel!$F$5:$F$22,Travel!$D$5:$D$22,Projects!$A$10,Travel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$19+((SUMIFS(ODCs!$F$5:$F$22,ODCs!$D$5:$D$22,Projects!$A$10,ODCs!$E$5:$E$22,8))+IFERROR((SUMIFS(ODCs!$F$5:$F$22,ODCs!$D$5:$D$22,Projects!$A$10,ODCs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$20+((SUMIFS('M&amp;E'!$F$5:$F$22,'M&amp;E'!$D$5:$D$22,Projects!$A$10,'M&amp;E'!$E$5:$E$22,8))+IFERROR((SUMIFS('M&amp;E'!$F$5:$F$22,'M&amp;E'!$D$5:$D$22,Projects!$A$10,'M&amp;E'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$21))</f>
        <v/>
      </c>
      <c r="J41" s="132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)+IFERROR(((SUMPRODUCT((Labor!$G$6:$G$25=Projects!$A$10)*(Labor!$E$6:$E$25="Prime")*N(Labor!$AQ$6:$AQ$25))*(1+Rates!$B$6)*(1+Rates!$B$7)+SUMPRODUCT((Labor!$G$6:$G$25=Projects!$A$10)*(Labor!$E$6:$E$25="Sub")*N(Labor!$AQ$6:$AQ$25))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$18+((SUMIFS(Travel!$F$5:$F$22,Travel!$D$5:$D$22,Projects!$A$10,Travel!$E$5:$E$22,9))+IFERROR((SUMIFS(Travel!$F$5:$F$22,Travel!$D$5:$D$22,Projects!$A$10,Travel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$19+((SUMIFS(ODCs!$F$5:$F$22,ODCs!$D$5:$D$22,Projects!$A$10,ODCs!$E$5:$E$22,9))+IFERROR((SUMIFS(ODCs!$F$5:$F$22,ODCs!$D$5:$D$22,Projects!$A$10,ODCs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$20+((SUMIFS('M&amp;E'!$F$5:$F$22,'M&amp;E'!$D$5:$D$22,Projects!$A$10,'M&amp;E'!$E$5:$E$22,9))+IFERROR((SUMIFS('M&amp;E'!$F$5:$F$22,'M&amp;E'!$D$5:$D$22,Projects!$A$10,'M&amp;E'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$21))</f>
        <v/>
      </c>
      <c r="K41" s="132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)+IFERROR(((SUMPRODUCT((Labor!$G$6:$G$25=Projects!$A$10)*(Labor!$E$6:$E$25="Prime")*N(Labor!$AU$6:$AU$25))*(1+Rates!$B$6)*(1+Rates!$B$7)+SUMPRODUCT((Labor!$G$6:$G$25=Projects!$A$10)*(Labor!$E$6:$E$25="Sub")*N(Labor!$AU$6:$AU$25))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$18+((SUMIFS(Travel!$F$5:$F$22,Travel!$D$5:$D$22,Projects!$A$10,Travel!$E$5:$E$22,10))+IFERROR((SUMIFS(Travel!$F$5:$F$22,Travel!$D$5:$D$22,Projects!$A$10,Travel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$19+((SUMIFS(ODCs!$F$5:$F$22,ODCs!$D$5:$D$22,Projects!$A$10,ODCs!$E$5:$E$22,10))+IFERROR((SUMIFS(ODCs!$F$5:$F$22,ODCs!$D$5:$D$22,Projects!$A$10,ODCs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$20+((SUMIFS('M&amp;E'!$F$5:$F$22,'M&amp;E'!$D$5:$D$22,Projects!$A$10,'M&amp;E'!$E$5:$E$22,10))+IFERROR((SUMIFS('M&amp;E'!$F$5:$F$22,'M&amp;E'!$D$5:$D$22,Projects!$A$10,'M&amp;E'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$21))</f>
        <v/>
      </c>
      <c r="L41" s="132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)+IFERROR(((SUMPRODUCT((Labor!$G$6:$G$25=Projects!$A$10)*(Labor!$E$6:$E$25="Prime")*N(Labor!$AY$6:$AY$25))*(1+Rates!$B$6)*(1+Rates!$B$7)+SUMPRODUCT((Labor!$G$6:$G$25=Projects!$A$10)*(Labor!$E$6:$E$25="Sub")*N(Labor!$AY$6:$AY$25))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$18+((SUMIFS(Travel!$F$5:$F$22,Travel!$D$5:$D$22,Projects!$A$10,Travel!$E$5:$E$22,11))+IFERROR((SUMIFS(Travel!$F$5:$F$22,Travel!$D$5:$D$22,Projects!$A$10,Travel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$19+((SUMIFS(ODCs!$F$5:$F$22,ODCs!$D$5:$D$22,Projects!$A$10,ODCs!$E$5:$E$22,11))+IFERROR((SUMIFS(ODCs!$F$5:$F$22,ODCs!$D$5:$D$22,Projects!$A$10,ODCs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$20+((SUMIFS('M&amp;E'!$F$5:$F$22,'M&amp;E'!$D$5:$D$22,Projects!$A$10,'M&amp;E'!$E$5:$E$22,11))+IFERROR((SUMIFS('M&amp;E'!$F$5:$F$22,'M&amp;E'!$D$5:$D$22,Projects!$A$10,'M&amp;E'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$21))</f>
        <v/>
      </c>
      <c r="M41" s="132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)+IFERROR(((SUMPRODUCT((Labor!$G$6:$G$25=Projects!$A$10)*(Labor!$E$6:$E$25="Prime")*N(Labor!$BC$6:$BC$25))*(1+Rates!$B$6)*(1+Rates!$B$7)+SUMPRODUCT((Labor!$G$6:$G$25=Projects!$A$10)*(Labor!$E$6:$E$25="Sub")*N(Labor!$BC$6:$BC$25))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$18+((SUMIFS(Travel!$F$5:$F$22,Travel!$D$5:$D$22,Projects!$A$10,Travel!$E$5:$E$22,12))+IFERROR((SUMIFS(Travel!$F$5:$F$22,Travel!$D$5:$D$22,Projects!$A$10,Travel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$19+((SUMIFS(ODCs!$F$5:$F$22,ODCs!$D$5:$D$22,Projects!$A$10,ODCs!$E$5:$E$22,12))+IFERROR((SUMIFS(ODCs!$F$5:$F$22,ODCs!$D$5:$D$22,Projects!$A$10,ODCs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$20+((SUMIFS('M&amp;E'!$F$5:$F$22,'M&amp;E'!$D$5:$D$22,Projects!$A$10,'M&amp;E'!$E$5:$E$22,12))+IFERROR((SUMIFS('M&amp;E'!$F$5:$F$22,'M&amp;E'!$D$5:$D$22,Projects!$A$10,'M&amp;E'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$21)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04">
        <f>IFERROR(IF(B41="","",B41-B40),0)</f>
        <v/>
      </c>
      <c r="C42" s="204">
        <f>IFERROR(IF(C41="","",C41-C40),0)</f>
        <v/>
      </c>
      <c r="D42" s="204">
        <f>IFERROR(IF(D41="","",D41-D40),0)</f>
        <v/>
      </c>
      <c r="E42" s="204">
        <f>IFERROR(IF(E41="","",E41-E40),0)</f>
        <v/>
      </c>
      <c r="F42" s="204">
        <f>IFERROR(IF(F41="","",F41-F40),0)</f>
        <v/>
      </c>
      <c r="G42" s="204">
        <f>IFERROR(IF(G41="","",G41-G40),0)</f>
        <v/>
      </c>
      <c r="H42" s="204">
        <f>IFERROR(IF(H41="","",H41-H40),0)</f>
        <v/>
      </c>
      <c r="I42" s="204">
        <f>IFERROR(IF(I41="","",I41-I40),0)</f>
        <v/>
      </c>
      <c r="J42" s="204">
        <f>IFERROR(IF(J41="","",J41-J40),0)</f>
        <v/>
      </c>
      <c r="K42" s="204">
        <f>IFERROR(IF(K41="","",K41-K40),0)</f>
        <v/>
      </c>
      <c r="L42" s="204">
        <f>IFERROR(IF(L41="","",L41-L40),0)</f>
        <v/>
      </c>
      <c r="M42" s="204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05">
        <f>IFERROR(B42/B40,0)</f>
        <v/>
      </c>
      <c r="C43" s="205">
        <f>IFERROR(C42/C40,0)</f>
        <v/>
      </c>
      <c r="D43" s="205">
        <f>IFERROR(D42/D40,0)</f>
        <v/>
      </c>
      <c r="E43" s="205">
        <f>IFERROR(E42/E40,0)</f>
        <v/>
      </c>
      <c r="F43" s="205">
        <f>IFERROR(F42/F40,0)</f>
        <v/>
      </c>
      <c r="G43" s="205">
        <f>IFERROR(G42/G40,0)</f>
        <v/>
      </c>
      <c r="H43" s="205">
        <f>IFERROR(H42/H40,0)</f>
        <v/>
      </c>
      <c r="I43" s="205">
        <f>IFERROR(I42/I40,0)</f>
        <v/>
      </c>
      <c r="J43" s="205">
        <f>IFERROR(J42/J40,0)</f>
        <v/>
      </c>
      <c r="K43" s="205">
        <f>IFERROR(K42/K40,0)</f>
        <v/>
      </c>
      <c r="L43" s="205">
        <f>IFERROR(L42/L40,0)</f>
        <v/>
      </c>
      <c r="M43" s="205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)+IFERROR(((SUMPRODUCT((Labor!$G$6:$G$25=Projects!$A$11)*(Labor!$E$6:$E$25="Prime")*N(Labor!$K$6:$K$25))*(1+Rates!$B$6)*(1+Rates!$B$7)+SUMPRODUCT((Labor!$G$6:$G$25=Projects!$A$11)*(Labor!$E$6:$E$25="Sub")*N(Labor!$K$6:$K$25))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$18+((SUMIFS(Travel!$F$5:$F$22,Travel!$D$5:$D$22,Projects!$A$11,Travel!$E$5:$E$22,1))+IFERROR((SUMIFS(Travel!$F$5:$F$22,Travel!$D$5:$D$22,Projects!$A$11,Travel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$19+((SUMIFS(ODCs!$F$5:$F$22,ODCs!$D$5:$D$22,Projects!$A$11,ODCs!$E$5:$E$22,1))+IFERROR((SUMIFS(ODCs!$F$5:$F$22,ODCs!$D$5:$D$22,Projects!$A$11,ODCs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$20+((SUMIFS('M&amp;E'!$F$5:$F$22,'M&amp;E'!$D$5:$D$22,Projects!$A$11,'M&amp;E'!$E$5:$E$22,1))+IFERROR((SUMIFS('M&amp;E'!$F$5:$F$22,'M&amp;E'!$D$5:$D$22,Projects!$A$11,'M&amp;E'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$21))</f>
        <v/>
      </c>
      <c r="C47" s="132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)+IFERROR(((SUMPRODUCT((Labor!$G$6:$G$25=Projects!$A$11)*(Labor!$E$6:$E$25="Prime")*N(Labor!$O$6:$O$25))*(1+Rates!$B$6)*(1+Rates!$B$7)+SUMPRODUCT((Labor!$G$6:$G$25=Projects!$A$11)*(Labor!$E$6:$E$25="Sub")*N(Labor!$O$6:$O$25))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$18+((SUMIFS(Travel!$F$5:$F$22,Travel!$D$5:$D$22,Projects!$A$11,Travel!$E$5:$E$22,2))+IFERROR((SUMIFS(Travel!$F$5:$F$22,Travel!$D$5:$D$22,Projects!$A$11,Travel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$19+((SUMIFS(ODCs!$F$5:$F$22,ODCs!$D$5:$D$22,Projects!$A$11,ODCs!$E$5:$E$22,2))+IFERROR((SUMIFS(ODCs!$F$5:$F$22,ODCs!$D$5:$D$22,Projects!$A$11,ODCs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$20+((SUMIFS('M&amp;E'!$F$5:$F$22,'M&amp;E'!$D$5:$D$22,Projects!$A$11,'M&amp;E'!$E$5:$E$22,2))+IFERROR((SUMIFS('M&amp;E'!$F$5:$F$22,'M&amp;E'!$D$5:$D$22,Projects!$A$11,'M&amp;E'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$21))</f>
        <v/>
      </c>
      <c r="D47" s="132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)+IFERROR(((SUMPRODUCT((Labor!$G$6:$G$25=Projects!$A$11)*(Labor!$E$6:$E$25="Prime")*N(Labor!$S$6:$S$25))*(1+Rates!$B$6)*(1+Rates!$B$7)+SUMPRODUCT((Labor!$G$6:$G$25=Projects!$A$11)*(Labor!$E$6:$E$25="Sub")*N(Labor!$S$6:$S$25))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$18+((SUMIFS(Travel!$F$5:$F$22,Travel!$D$5:$D$22,Projects!$A$11,Travel!$E$5:$E$22,3))+IFERROR((SUMIFS(Travel!$F$5:$F$22,Travel!$D$5:$D$22,Projects!$A$11,Travel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$19+((SUMIFS(ODCs!$F$5:$F$22,ODCs!$D$5:$D$22,Projects!$A$11,ODCs!$E$5:$E$22,3))+IFERROR((SUMIFS(ODCs!$F$5:$F$22,ODCs!$D$5:$D$22,Projects!$A$11,ODCs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$20+((SUMIFS('M&amp;E'!$F$5:$F$22,'M&amp;E'!$D$5:$D$22,Projects!$A$11,'M&amp;E'!$E$5:$E$22,3))+IFERROR((SUMIFS('M&amp;E'!$F$5:$F$22,'M&amp;E'!$D$5:$D$22,Projects!$A$11,'M&amp;E'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$21))</f>
        <v/>
      </c>
      <c r="E47" s="132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)+IFERROR(((SUMPRODUCT((Labor!$G$6:$G$25=Projects!$A$11)*(Labor!$E$6:$E$25="Prime")*N(Labor!$W$6:$W$25))*(1+Rates!$B$6)*(1+Rates!$B$7)+SUMPRODUCT((Labor!$G$6:$G$25=Projects!$A$11)*(Labor!$E$6:$E$25="Sub")*N(Labor!$W$6:$W$25))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$18+((SUMIFS(Travel!$F$5:$F$22,Travel!$D$5:$D$22,Projects!$A$11,Travel!$E$5:$E$22,4))+IFERROR((SUMIFS(Travel!$F$5:$F$22,Travel!$D$5:$D$22,Projects!$A$11,Travel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$19+((SUMIFS(ODCs!$F$5:$F$22,ODCs!$D$5:$D$22,Projects!$A$11,ODCs!$E$5:$E$22,4))+IFERROR((SUMIFS(ODCs!$F$5:$F$22,ODCs!$D$5:$D$22,Projects!$A$11,ODCs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$20+((SUMIFS('M&amp;E'!$F$5:$F$22,'M&amp;E'!$D$5:$D$22,Projects!$A$11,'M&amp;E'!$E$5:$E$22,4))+IFERROR((SUMIFS('M&amp;E'!$F$5:$F$22,'M&amp;E'!$D$5:$D$22,Projects!$A$11,'M&amp;E'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$21))</f>
        <v/>
      </c>
      <c r="F47" s="132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)+IFERROR(((SUMPRODUCT((Labor!$G$6:$G$25=Projects!$A$11)*(Labor!$E$6:$E$25="Prime")*N(Labor!$AA$6:$AA$25))*(1+Rates!$B$6)*(1+Rates!$B$7)+SUMPRODUCT((Labor!$G$6:$G$25=Projects!$A$11)*(Labor!$E$6:$E$25="Sub")*N(Labor!$AA$6:$AA$25))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$18+((SUMIFS(Travel!$F$5:$F$22,Travel!$D$5:$D$22,Projects!$A$11,Travel!$E$5:$E$22,5))+IFERROR((SUMIFS(Travel!$F$5:$F$22,Travel!$D$5:$D$22,Projects!$A$11,Travel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$19+((SUMIFS(ODCs!$F$5:$F$22,ODCs!$D$5:$D$22,Projects!$A$11,ODCs!$E$5:$E$22,5))+IFERROR((SUMIFS(ODCs!$F$5:$F$22,ODCs!$D$5:$D$22,Projects!$A$11,ODCs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$20+((SUMIFS('M&amp;E'!$F$5:$F$22,'M&amp;E'!$D$5:$D$22,Projects!$A$11,'M&amp;E'!$E$5:$E$22,5))+IFERROR((SUMIFS('M&amp;E'!$F$5:$F$22,'M&amp;E'!$D$5:$D$22,Projects!$A$11,'M&amp;E'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$21))</f>
        <v/>
      </c>
      <c r="G47" s="132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)+IFERROR(((SUMPRODUCT((Labor!$G$6:$G$25=Projects!$A$11)*(Labor!$E$6:$E$25="Prime")*N(Labor!$AE$6:$AE$25))*(1+Rates!$B$6)*(1+Rates!$B$7)+SUMPRODUCT((Labor!$G$6:$G$25=Projects!$A$11)*(Labor!$E$6:$E$25="Sub")*N(Labor!$AE$6:$AE$25))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$18+((SUMIFS(Travel!$F$5:$F$22,Travel!$D$5:$D$22,Projects!$A$11,Travel!$E$5:$E$22,6))+IFERROR((SUMIFS(Travel!$F$5:$F$22,Travel!$D$5:$D$22,Projects!$A$11,Travel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$19+((SUMIFS(ODCs!$F$5:$F$22,ODCs!$D$5:$D$22,Projects!$A$11,ODCs!$E$5:$E$22,6))+IFERROR((SUMIFS(ODCs!$F$5:$F$22,ODCs!$D$5:$D$22,Projects!$A$11,ODCs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$20+((SUMIFS('M&amp;E'!$F$5:$F$22,'M&amp;E'!$D$5:$D$22,Projects!$A$11,'M&amp;E'!$E$5:$E$22,6))+IFERROR((SUMIFS('M&amp;E'!$F$5:$F$22,'M&amp;E'!$D$5:$D$22,Projects!$A$11,'M&amp;E'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$21))</f>
        <v/>
      </c>
      <c r="H47" s="132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)+IFERROR(((SUMPRODUCT((Labor!$G$6:$G$25=Projects!$A$11)*(Labor!$E$6:$E$25="Prime")*N(Labor!$AI$6:$AI$25))*(1+Rates!$B$6)*(1+Rates!$B$7)+SUMPRODUCT((Labor!$G$6:$G$25=Projects!$A$11)*(Labor!$E$6:$E$25="Sub")*N(Labor!$AI$6:$AI$25))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$18+((SUMIFS(Travel!$F$5:$F$22,Travel!$D$5:$D$22,Projects!$A$11,Travel!$E$5:$E$22,7))+IFERROR((SUMIFS(Travel!$F$5:$F$22,Travel!$D$5:$D$22,Projects!$A$11,Travel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$19+((SUMIFS(ODCs!$F$5:$F$22,ODCs!$D$5:$D$22,Projects!$A$11,ODCs!$E$5:$E$22,7))+IFERROR((SUMIFS(ODCs!$F$5:$F$22,ODCs!$D$5:$D$22,Projects!$A$11,ODCs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$20+((SUMIFS('M&amp;E'!$F$5:$F$22,'M&amp;E'!$D$5:$D$22,Projects!$A$11,'M&amp;E'!$E$5:$E$22,7))+IFERROR((SUMIFS('M&amp;E'!$F$5:$F$22,'M&amp;E'!$D$5:$D$22,Projects!$A$11,'M&amp;E'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$21))</f>
        <v/>
      </c>
      <c r="I47" s="132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)+IFERROR(((SUMPRODUCT((Labor!$G$6:$G$25=Projects!$A$11)*(Labor!$E$6:$E$25="Prime")*N(Labor!$AM$6:$AM$25))*(1+Rates!$B$6)*(1+Rates!$B$7)+SUMPRODUCT((Labor!$G$6:$G$25=Projects!$A$11)*(Labor!$E$6:$E$25="Sub")*N(Labor!$AM$6:$AM$25))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$18+((SUMIFS(Travel!$F$5:$F$22,Travel!$D$5:$D$22,Projects!$A$11,Travel!$E$5:$E$22,8))+IFERROR((SUMIFS(Travel!$F$5:$F$22,Travel!$D$5:$D$22,Projects!$A$11,Travel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$19+((SUMIFS(ODCs!$F$5:$F$22,ODCs!$D$5:$D$22,Projects!$A$11,ODCs!$E$5:$E$22,8))+IFERROR((SUMIFS(ODCs!$F$5:$F$22,ODCs!$D$5:$D$22,Projects!$A$11,ODCs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$20+((SUMIFS('M&amp;E'!$F$5:$F$22,'M&amp;E'!$D$5:$D$22,Projects!$A$11,'M&amp;E'!$E$5:$E$22,8))+IFERROR((SUMIFS('M&amp;E'!$F$5:$F$22,'M&amp;E'!$D$5:$D$22,Projects!$A$11,'M&amp;E'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$21))</f>
        <v/>
      </c>
      <c r="J47" s="132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)+IFERROR(((SUMPRODUCT((Labor!$G$6:$G$25=Projects!$A$11)*(Labor!$E$6:$E$25="Prime")*N(Labor!$AQ$6:$AQ$25))*(1+Rates!$B$6)*(1+Rates!$B$7)+SUMPRODUCT((Labor!$G$6:$G$25=Projects!$A$11)*(Labor!$E$6:$E$25="Sub")*N(Labor!$AQ$6:$AQ$25))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$18+((SUMIFS(Travel!$F$5:$F$22,Travel!$D$5:$D$22,Projects!$A$11,Travel!$E$5:$E$22,9))+IFERROR((SUMIFS(Travel!$F$5:$F$22,Travel!$D$5:$D$22,Projects!$A$11,Travel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$19+((SUMIFS(ODCs!$F$5:$F$22,ODCs!$D$5:$D$22,Projects!$A$11,ODCs!$E$5:$E$22,9))+IFERROR((SUMIFS(ODCs!$F$5:$F$22,ODCs!$D$5:$D$22,Projects!$A$11,ODCs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$20+((SUMIFS('M&amp;E'!$F$5:$F$22,'M&amp;E'!$D$5:$D$22,Projects!$A$11,'M&amp;E'!$E$5:$E$22,9))+IFERROR((SUMIFS('M&amp;E'!$F$5:$F$22,'M&amp;E'!$D$5:$D$22,Projects!$A$11,'M&amp;E'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$21))</f>
        <v/>
      </c>
      <c r="K47" s="132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)+IFERROR(((SUMPRODUCT((Labor!$G$6:$G$25=Projects!$A$11)*(Labor!$E$6:$E$25="Prime")*N(Labor!$AU$6:$AU$25))*(1+Rates!$B$6)*(1+Rates!$B$7)+SUMPRODUCT((Labor!$G$6:$G$25=Projects!$A$11)*(Labor!$E$6:$E$25="Sub")*N(Labor!$AU$6:$AU$25))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$18+((SUMIFS(Travel!$F$5:$F$22,Travel!$D$5:$D$22,Projects!$A$11,Travel!$E$5:$E$22,10))+IFERROR((SUMIFS(Travel!$F$5:$F$22,Travel!$D$5:$D$22,Projects!$A$11,Travel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$19+((SUMIFS(ODCs!$F$5:$F$22,ODCs!$D$5:$D$22,Projects!$A$11,ODCs!$E$5:$E$22,10))+IFERROR((SUMIFS(ODCs!$F$5:$F$22,ODCs!$D$5:$D$22,Projects!$A$11,ODCs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$20+((SUMIFS('M&amp;E'!$F$5:$F$22,'M&amp;E'!$D$5:$D$22,Projects!$A$11,'M&amp;E'!$E$5:$E$22,10))+IFERROR((SUMIFS('M&amp;E'!$F$5:$F$22,'M&amp;E'!$D$5:$D$22,Projects!$A$11,'M&amp;E'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$21))</f>
        <v/>
      </c>
      <c r="L47" s="132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)+IFERROR(((SUMPRODUCT((Labor!$G$6:$G$25=Projects!$A$11)*(Labor!$E$6:$E$25="Prime")*N(Labor!$AY$6:$AY$25))*(1+Rates!$B$6)*(1+Rates!$B$7)+SUMPRODUCT((Labor!$G$6:$G$25=Projects!$A$11)*(Labor!$E$6:$E$25="Sub")*N(Labor!$AY$6:$AY$25))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$18+((SUMIFS(Travel!$F$5:$F$22,Travel!$D$5:$D$22,Projects!$A$11,Travel!$E$5:$E$22,11))+IFERROR((SUMIFS(Travel!$F$5:$F$22,Travel!$D$5:$D$22,Projects!$A$11,Travel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$19+((SUMIFS(ODCs!$F$5:$F$22,ODCs!$D$5:$D$22,Projects!$A$11,ODCs!$E$5:$E$22,11))+IFERROR((SUMIFS(ODCs!$F$5:$F$22,ODCs!$D$5:$D$22,Projects!$A$11,ODCs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$20+((SUMIFS('M&amp;E'!$F$5:$F$22,'M&amp;E'!$D$5:$D$22,Projects!$A$11,'M&amp;E'!$E$5:$E$22,11))+IFERROR((SUMIFS('M&amp;E'!$F$5:$F$22,'M&amp;E'!$D$5:$D$22,Projects!$A$11,'M&amp;E'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$21))</f>
        <v/>
      </c>
      <c r="M47" s="132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)+IFERROR(((SUMPRODUCT((Labor!$G$6:$G$25=Projects!$A$11)*(Labor!$E$6:$E$25="Prime")*N(Labor!$BC$6:$BC$25))*(1+Rates!$B$6)*(1+Rates!$B$7)+SUMPRODUCT((Labor!$G$6:$G$25=Projects!$A$11)*(Labor!$E$6:$E$25="Sub")*N(Labor!$BC$6:$BC$25))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$18+((SUMIFS(Travel!$F$5:$F$22,Travel!$D$5:$D$22,Projects!$A$11,Travel!$E$5:$E$22,12))+IFERROR((SUMIFS(Travel!$F$5:$F$22,Travel!$D$5:$D$22,Projects!$A$11,Travel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$19+((SUMIFS(ODCs!$F$5:$F$22,ODCs!$D$5:$D$22,Projects!$A$11,ODCs!$E$5:$E$22,12))+IFERROR((SUMIFS(ODCs!$F$5:$F$22,ODCs!$D$5:$D$22,Projects!$A$11,ODCs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$20+((SUMIFS('M&amp;E'!$F$5:$F$22,'M&amp;E'!$D$5:$D$22,Projects!$A$11,'M&amp;E'!$E$5:$E$22,12))+IFERROR((SUMIFS('M&amp;E'!$F$5:$F$22,'M&amp;E'!$D$5:$D$22,Projects!$A$11,'M&amp;E'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$21)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04">
        <f>IFERROR(IF(B47="","",B47-B46),0)</f>
        <v/>
      </c>
      <c r="C48" s="204">
        <f>IFERROR(IF(C47="","",C47-C46),0)</f>
        <v/>
      </c>
      <c r="D48" s="204">
        <f>IFERROR(IF(D47="","",D47-D46),0)</f>
        <v/>
      </c>
      <c r="E48" s="204">
        <f>IFERROR(IF(E47="","",E47-E46),0)</f>
        <v/>
      </c>
      <c r="F48" s="204">
        <f>IFERROR(IF(F47="","",F47-F46),0)</f>
        <v/>
      </c>
      <c r="G48" s="204">
        <f>IFERROR(IF(G47="","",G47-G46),0)</f>
        <v/>
      </c>
      <c r="H48" s="204">
        <f>IFERROR(IF(H47="","",H47-H46),0)</f>
        <v/>
      </c>
      <c r="I48" s="204">
        <f>IFERROR(IF(I47="","",I47-I46),0)</f>
        <v/>
      </c>
      <c r="J48" s="204">
        <f>IFERROR(IF(J47="","",J47-J46),0)</f>
        <v/>
      </c>
      <c r="K48" s="204">
        <f>IFERROR(IF(K47="","",K47-K46),0)</f>
        <v/>
      </c>
      <c r="L48" s="204">
        <f>IFERROR(IF(L47="","",L47-L46),0)</f>
        <v/>
      </c>
      <c r="M48" s="204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05">
        <f>IFERROR(B48/B46,0)</f>
        <v/>
      </c>
      <c r="C49" s="205">
        <f>IFERROR(C48/C46,0)</f>
        <v/>
      </c>
      <c r="D49" s="205">
        <f>IFERROR(D48/D46,0)</f>
        <v/>
      </c>
      <c r="E49" s="205">
        <f>IFERROR(E48/E46,0)</f>
        <v/>
      </c>
      <c r="F49" s="205">
        <f>IFERROR(F48/F46,0)</f>
        <v/>
      </c>
      <c r="G49" s="205">
        <f>IFERROR(G48/G46,0)</f>
        <v/>
      </c>
      <c r="H49" s="205">
        <f>IFERROR(H48/H46,0)</f>
        <v/>
      </c>
      <c r="I49" s="205">
        <f>IFERROR(I48/I46,0)</f>
        <v/>
      </c>
      <c r="J49" s="205">
        <f>IFERROR(J48/J46,0)</f>
        <v/>
      </c>
      <c r="K49" s="205">
        <f>IFERROR(K48/K46,0)</f>
        <v/>
      </c>
      <c r="L49" s="205">
        <f>IFERROR(L48/L46,0)</f>
        <v/>
      </c>
      <c r="M49" s="205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)+IFERROR(((SUMPRODUCT((Labor!$G$6:$G$25=Projects!$A$12)*(Labor!$E$6:$E$25="Prime")*N(Labor!$K$6:$K$25))*(1+Rates!$B$6)*(1+Rates!$B$7)+SUMPRODUCT((Labor!$G$6:$G$25=Projects!$A$12)*(Labor!$E$6:$E$25="Sub")*N(Labor!$K$6:$K$25))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$18+((SUMIFS(Travel!$F$5:$F$22,Travel!$D$5:$D$22,Projects!$A$12,Travel!$E$5:$E$22,1))+IFERROR((SUMIFS(Travel!$F$5:$F$22,Travel!$D$5:$D$22,Projects!$A$12,Travel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$19+((SUMIFS(ODCs!$F$5:$F$22,ODCs!$D$5:$D$22,Projects!$A$12,ODCs!$E$5:$E$22,1))+IFERROR((SUMIFS(ODCs!$F$5:$F$22,ODCs!$D$5:$D$22,Projects!$A$12,ODCs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$20+((SUMIFS('M&amp;E'!$F$5:$F$22,'M&amp;E'!$D$5:$D$22,Projects!$A$12,'M&amp;E'!$E$5:$E$22,1))+IFERROR((SUMIFS('M&amp;E'!$F$5:$F$22,'M&amp;E'!$D$5:$D$22,Projects!$A$12,'M&amp;E'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$21))</f>
        <v/>
      </c>
      <c r="C53" s="132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)+IFERROR(((SUMPRODUCT((Labor!$G$6:$G$25=Projects!$A$12)*(Labor!$E$6:$E$25="Prime")*N(Labor!$O$6:$O$25))*(1+Rates!$B$6)*(1+Rates!$B$7)+SUMPRODUCT((Labor!$G$6:$G$25=Projects!$A$12)*(Labor!$E$6:$E$25="Sub")*N(Labor!$O$6:$O$25))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$18+((SUMIFS(Travel!$F$5:$F$22,Travel!$D$5:$D$22,Projects!$A$12,Travel!$E$5:$E$22,2))+IFERROR((SUMIFS(Travel!$F$5:$F$22,Travel!$D$5:$D$22,Projects!$A$12,Travel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$19+((SUMIFS(ODCs!$F$5:$F$22,ODCs!$D$5:$D$22,Projects!$A$12,ODCs!$E$5:$E$22,2))+IFERROR((SUMIFS(ODCs!$F$5:$F$22,ODCs!$D$5:$D$22,Projects!$A$12,ODCs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$20+((SUMIFS('M&amp;E'!$F$5:$F$22,'M&amp;E'!$D$5:$D$22,Projects!$A$12,'M&amp;E'!$E$5:$E$22,2))+IFERROR((SUMIFS('M&amp;E'!$F$5:$F$22,'M&amp;E'!$D$5:$D$22,Projects!$A$12,'M&amp;E'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$21))</f>
        <v/>
      </c>
      <c r="D53" s="132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)+IFERROR(((SUMPRODUCT((Labor!$G$6:$G$25=Projects!$A$12)*(Labor!$E$6:$E$25="Prime")*N(Labor!$S$6:$S$25))*(1+Rates!$B$6)*(1+Rates!$B$7)+SUMPRODUCT((Labor!$G$6:$G$25=Projects!$A$12)*(Labor!$E$6:$E$25="Sub")*N(Labor!$S$6:$S$25))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$18+((SUMIFS(Travel!$F$5:$F$22,Travel!$D$5:$D$22,Projects!$A$12,Travel!$E$5:$E$22,3))+IFERROR((SUMIFS(Travel!$F$5:$F$22,Travel!$D$5:$D$22,Projects!$A$12,Travel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$19+((SUMIFS(ODCs!$F$5:$F$22,ODCs!$D$5:$D$22,Projects!$A$12,ODCs!$E$5:$E$22,3))+IFERROR((SUMIFS(ODCs!$F$5:$F$22,ODCs!$D$5:$D$22,Projects!$A$12,ODCs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$20+((SUMIFS('M&amp;E'!$F$5:$F$22,'M&amp;E'!$D$5:$D$22,Projects!$A$12,'M&amp;E'!$E$5:$E$22,3))+IFERROR((SUMIFS('M&amp;E'!$F$5:$F$22,'M&amp;E'!$D$5:$D$22,Projects!$A$12,'M&amp;E'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$21))</f>
        <v/>
      </c>
      <c r="E53" s="132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)+IFERROR(((SUMPRODUCT((Labor!$G$6:$G$25=Projects!$A$12)*(Labor!$E$6:$E$25="Prime")*N(Labor!$W$6:$W$25))*(1+Rates!$B$6)*(1+Rates!$B$7)+SUMPRODUCT((Labor!$G$6:$G$25=Projects!$A$12)*(Labor!$E$6:$E$25="Sub")*N(Labor!$W$6:$W$25))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$18+((SUMIFS(Travel!$F$5:$F$22,Travel!$D$5:$D$22,Projects!$A$12,Travel!$E$5:$E$22,4))+IFERROR((SUMIFS(Travel!$F$5:$F$22,Travel!$D$5:$D$22,Projects!$A$12,Travel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$19+((SUMIFS(ODCs!$F$5:$F$22,ODCs!$D$5:$D$22,Projects!$A$12,ODCs!$E$5:$E$22,4))+IFERROR((SUMIFS(ODCs!$F$5:$F$22,ODCs!$D$5:$D$22,Projects!$A$12,ODCs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$20+((SUMIFS('M&amp;E'!$F$5:$F$22,'M&amp;E'!$D$5:$D$22,Projects!$A$12,'M&amp;E'!$E$5:$E$22,4))+IFERROR((SUMIFS('M&amp;E'!$F$5:$F$22,'M&amp;E'!$D$5:$D$22,Projects!$A$12,'M&amp;E'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$21))</f>
        <v/>
      </c>
      <c r="F53" s="132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)+IFERROR(((SUMPRODUCT((Labor!$G$6:$G$25=Projects!$A$12)*(Labor!$E$6:$E$25="Prime")*N(Labor!$AA$6:$AA$25))*(1+Rates!$B$6)*(1+Rates!$B$7)+SUMPRODUCT((Labor!$G$6:$G$25=Projects!$A$12)*(Labor!$E$6:$E$25="Sub")*N(Labor!$AA$6:$AA$25))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$18+((SUMIFS(Travel!$F$5:$F$22,Travel!$D$5:$D$22,Projects!$A$12,Travel!$E$5:$E$22,5))+IFERROR((SUMIFS(Travel!$F$5:$F$22,Travel!$D$5:$D$22,Projects!$A$12,Travel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$19+((SUMIFS(ODCs!$F$5:$F$22,ODCs!$D$5:$D$22,Projects!$A$12,ODCs!$E$5:$E$22,5))+IFERROR((SUMIFS(ODCs!$F$5:$F$22,ODCs!$D$5:$D$22,Projects!$A$12,ODCs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$20+((SUMIFS('M&amp;E'!$F$5:$F$22,'M&amp;E'!$D$5:$D$22,Projects!$A$12,'M&amp;E'!$E$5:$E$22,5))+IFERROR((SUMIFS('M&amp;E'!$F$5:$F$22,'M&amp;E'!$D$5:$D$22,Projects!$A$12,'M&amp;E'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$21))</f>
        <v/>
      </c>
      <c r="G53" s="132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)+IFERROR(((SUMPRODUCT((Labor!$G$6:$G$25=Projects!$A$12)*(Labor!$E$6:$E$25="Prime")*N(Labor!$AE$6:$AE$25))*(1+Rates!$B$6)*(1+Rates!$B$7)+SUMPRODUCT((Labor!$G$6:$G$25=Projects!$A$12)*(Labor!$E$6:$E$25="Sub")*N(Labor!$AE$6:$AE$25))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$18+((SUMIFS(Travel!$F$5:$F$22,Travel!$D$5:$D$22,Projects!$A$12,Travel!$E$5:$E$22,6))+IFERROR((SUMIFS(Travel!$F$5:$F$22,Travel!$D$5:$D$22,Projects!$A$12,Travel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$19+((SUMIFS(ODCs!$F$5:$F$22,ODCs!$D$5:$D$22,Projects!$A$12,ODCs!$E$5:$E$22,6))+IFERROR((SUMIFS(ODCs!$F$5:$F$22,ODCs!$D$5:$D$22,Projects!$A$12,ODCs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$20+((SUMIFS('M&amp;E'!$F$5:$F$22,'M&amp;E'!$D$5:$D$22,Projects!$A$12,'M&amp;E'!$E$5:$E$22,6))+IFERROR((SUMIFS('M&amp;E'!$F$5:$F$22,'M&amp;E'!$D$5:$D$22,Projects!$A$12,'M&amp;E'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$21))</f>
        <v/>
      </c>
      <c r="H53" s="132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)+IFERROR(((SUMPRODUCT((Labor!$G$6:$G$25=Projects!$A$12)*(Labor!$E$6:$E$25="Prime")*N(Labor!$AI$6:$AI$25))*(1+Rates!$B$6)*(1+Rates!$B$7)+SUMPRODUCT((Labor!$G$6:$G$25=Projects!$A$12)*(Labor!$E$6:$E$25="Sub")*N(Labor!$AI$6:$AI$25))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$18+((SUMIFS(Travel!$F$5:$F$22,Travel!$D$5:$D$22,Projects!$A$12,Travel!$E$5:$E$22,7))+IFERROR((SUMIFS(Travel!$F$5:$F$22,Travel!$D$5:$D$22,Projects!$A$12,Travel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$19+((SUMIFS(ODCs!$F$5:$F$22,ODCs!$D$5:$D$22,Projects!$A$12,ODCs!$E$5:$E$22,7))+IFERROR((SUMIFS(ODCs!$F$5:$F$22,ODCs!$D$5:$D$22,Projects!$A$12,ODCs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$20+((SUMIFS('M&amp;E'!$F$5:$F$22,'M&amp;E'!$D$5:$D$22,Projects!$A$12,'M&amp;E'!$E$5:$E$22,7))+IFERROR((SUMIFS('M&amp;E'!$F$5:$F$22,'M&amp;E'!$D$5:$D$22,Projects!$A$12,'M&amp;E'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$21))</f>
        <v/>
      </c>
      <c r="I53" s="132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)+IFERROR(((SUMPRODUCT((Labor!$G$6:$G$25=Projects!$A$12)*(Labor!$E$6:$E$25="Prime")*N(Labor!$AM$6:$AM$25))*(1+Rates!$B$6)*(1+Rates!$B$7)+SUMPRODUCT((Labor!$G$6:$G$25=Projects!$A$12)*(Labor!$E$6:$E$25="Sub")*N(Labor!$AM$6:$AM$25))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$18+((SUMIFS(Travel!$F$5:$F$22,Travel!$D$5:$D$22,Projects!$A$12,Travel!$E$5:$E$22,8))+IFERROR((SUMIFS(Travel!$F$5:$F$22,Travel!$D$5:$D$22,Projects!$A$12,Travel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$19+((SUMIFS(ODCs!$F$5:$F$22,ODCs!$D$5:$D$22,Projects!$A$12,ODCs!$E$5:$E$22,8))+IFERROR((SUMIFS(ODCs!$F$5:$F$22,ODCs!$D$5:$D$22,Projects!$A$12,ODCs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$20+((SUMIFS('M&amp;E'!$F$5:$F$22,'M&amp;E'!$D$5:$D$22,Projects!$A$12,'M&amp;E'!$E$5:$E$22,8))+IFERROR((SUMIFS('M&amp;E'!$F$5:$F$22,'M&amp;E'!$D$5:$D$22,Projects!$A$12,'M&amp;E'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$21))</f>
        <v/>
      </c>
      <c r="J53" s="132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)+IFERROR(((SUMPRODUCT((Labor!$G$6:$G$25=Projects!$A$12)*(Labor!$E$6:$E$25="Prime")*N(Labor!$AQ$6:$AQ$25))*(1+Rates!$B$6)*(1+Rates!$B$7)+SUMPRODUCT((Labor!$G$6:$G$25=Projects!$A$12)*(Labor!$E$6:$E$25="Sub")*N(Labor!$AQ$6:$AQ$25))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$18+((SUMIFS(Travel!$F$5:$F$22,Travel!$D$5:$D$22,Projects!$A$12,Travel!$E$5:$E$22,9))+IFERROR((SUMIFS(Travel!$F$5:$F$22,Travel!$D$5:$D$22,Projects!$A$12,Travel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$19+((SUMIFS(ODCs!$F$5:$F$22,ODCs!$D$5:$D$22,Projects!$A$12,ODCs!$E$5:$E$22,9))+IFERROR((SUMIFS(ODCs!$F$5:$F$22,ODCs!$D$5:$D$22,Projects!$A$12,ODCs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$20+((SUMIFS('M&amp;E'!$F$5:$F$22,'M&amp;E'!$D$5:$D$22,Projects!$A$12,'M&amp;E'!$E$5:$E$22,9))+IFERROR((SUMIFS('M&amp;E'!$F$5:$F$22,'M&amp;E'!$D$5:$D$22,Projects!$A$12,'M&amp;E'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$21))</f>
        <v/>
      </c>
      <c r="K53" s="132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)+IFERROR(((SUMPRODUCT((Labor!$G$6:$G$25=Projects!$A$12)*(Labor!$E$6:$E$25="Prime")*N(Labor!$AU$6:$AU$25))*(1+Rates!$B$6)*(1+Rates!$B$7)+SUMPRODUCT((Labor!$G$6:$G$25=Projects!$A$12)*(Labor!$E$6:$E$25="Sub")*N(Labor!$AU$6:$AU$25))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$18+((SUMIFS(Travel!$F$5:$F$22,Travel!$D$5:$D$22,Projects!$A$12,Travel!$E$5:$E$22,10))+IFERROR((SUMIFS(Travel!$F$5:$F$22,Travel!$D$5:$D$22,Projects!$A$12,Travel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$19+((SUMIFS(ODCs!$F$5:$F$22,ODCs!$D$5:$D$22,Projects!$A$12,ODCs!$E$5:$E$22,10))+IFERROR((SUMIFS(ODCs!$F$5:$F$22,ODCs!$D$5:$D$22,Projects!$A$12,ODCs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$20+((SUMIFS('M&amp;E'!$F$5:$F$22,'M&amp;E'!$D$5:$D$22,Projects!$A$12,'M&amp;E'!$E$5:$E$22,10))+IFERROR((SUMIFS('M&amp;E'!$F$5:$F$22,'M&amp;E'!$D$5:$D$22,Projects!$A$12,'M&amp;E'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$21))</f>
        <v/>
      </c>
      <c r="L53" s="132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)+IFERROR(((SUMPRODUCT((Labor!$G$6:$G$25=Projects!$A$12)*(Labor!$E$6:$E$25="Prime")*N(Labor!$AY$6:$AY$25))*(1+Rates!$B$6)*(1+Rates!$B$7)+SUMPRODUCT((Labor!$G$6:$G$25=Projects!$A$12)*(Labor!$E$6:$E$25="Sub")*N(Labor!$AY$6:$AY$25))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$18+((SUMIFS(Travel!$F$5:$F$22,Travel!$D$5:$D$22,Projects!$A$12,Travel!$E$5:$E$22,11))+IFERROR((SUMIFS(Travel!$F$5:$F$22,Travel!$D$5:$D$22,Projects!$A$12,Travel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$19+((SUMIFS(ODCs!$F$5:$F$22,ODCs!$D$5:$D$22,Projects!$A$12,ODCs!$E$5:$E$22,11))+IFERROR((SUMIFS(ODCs!$F$5:$F$22,ODCs!$D$5:$D$22,Projects!$A$12,ODCs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$20+((SUMIFS('M&amp;E'!$F$5:$F$22,'M&amp;E'!$D$5:$D$22,Projects!$A$12,'M&amp;E'!$E$5:$E$22,11))+IFERROR((SUMIFS('M&amp;E'!$F$5:$F$22,'M&amp;E'!$D$5:$D$22,Projects!$A$12,'M&amp;E'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$21))</f>
        <v/>
      </c>
      <c r="M53" s="132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)+IFERROR(((SUMPRODUCT((Labor!$G$6:$G$25=Projects!$A$12)*(Labor!$E$6:$E$25="Prime")*N(Labor!$BC$6:$BC$25))*(1+Rates!$B$6)*(1+Rates!$B$7)+SUMPRODUCT((Labor!$G$6:$G$25=Projects!$A$12)*(Labor!$E$6:$E$25="Sub")*N(Labor!$BC$6:$BC$25))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$18+((SUMIFS(Travel!$F$5:$F$22,Travel!$D$5:$D$22,Projects!$A$12,Travel!$E$5:$E$22,12))+IFERROR((SUMIFS(Travel!$F$5:$F$22,Travel!$D$5:$D$22,Projects!$A$12,Travel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$19+((SUMIFS(ODCs!$F$5:$F$22,ODCs!$D$5:$D$22,Projects!$A$12,ODCs!$E$5:$E$22,12))+IFERROR((SUMIFS(ODCs!$F$5:$F$22,ODCs!$D$5:$D$22,Projects!$A$12,ODCs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$20+((SUMIFS('M&amp;E'!$F$5:$F$22,'M&amp;E'!$D$5:$D$22,Projects!$A$12,'M&amp;E'!$E$5:$E$22,12))+IFERROR((SUMIFS('M&amp;E'!$F$5:$F$22,'M&amp;E'!$D$5:$D$22,Projects!$A$12,'M&amp;E'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$21)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04">
        <f>IFERROR(IF(B53="","",B53-B52),0)</f>
        <v/>
      </c>
      <c r="C54" s="204">
        <f>IFERROR(IF(C53="","",C53-C52),0)</f>
        <v/>
      </c>
      <c r="D54" s="204">
        <f>IFERROR(IF(D53="","",D53-D52),0)</f>
        <v/>
      </c>
      <c r="E54" s="204">
        <f>IFERROR(IF(E53="","",E53-E52),0)</f>
        <v/>
      </c>
      <c r="F54" s="204">
        <f>IFERROR(IF(F53="","",F53-F52),0)</f>
        <v/>
      </c>
      <c r="G54" s="204">
        <f>IFERROR(IF(G53="","",G53-G52),0)</f>
        <v/>
      </c>
      <c r="H54" s="204">
        <f>IFERROR(IF(H53="","",H53-H52),0)</f>
        <v/>
      </c>
      <c r="I54" s="204">
        <f>IFERROR(IF(I53="","",I53-I52),0)</f>
        <v/>
      </c>
      <c r="J54" s="204">
        <f>IFERROR(IF(J53="","",J53-J52),0)</f>
        <v/>
      </c>
      <c r="K54" s="204">
        <f>IFERROR(IF(K53="","",K53-K52),0)</f>
        <v/>
      </c>
      <c r="L54" s="204">
        <f>IFERROR(IF(L53="","",L53-L52),0)</f>
        <v/>
      </c>
      <c r="M54" s="204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05">
        <f>IFERROR(B54/B52,0)</f>
        <v/>
      </c>
      <c r="C55" s="205">
        <f>IFERROR(C54/C52,0)</f>
        <v/>
      </c>
      <c r="D55" s="205">
        <f>IFERROR(D54/D52,0)</f>
        <v/>
      </c>
      <c r="E55" s="205">
        <f>IFERROR(E54/E52,0)</f>
        <v/>
      </c>
      <c r="F55" s="205">
        <f>IFERROR(F54/F52,0)</f>
        <v/>
      </c>
      <c r="G55" s="205">
        <f>IFERROR(G54/G52,0)</f>
        <v/>
      </c>
      <c r="H55" s="205">
        <f>IFERROR(H54/H52,0)</f>
        <v/>
      </c>
      <c r="I55" s="205">
        <f>IFERROR(I54/I52,0)</f>
        <v/>
      </c>
      <c r="J55" s="205">
        <f>IFERROR(J54/J52,0)</f>
        <v/>
      </c>
      <c r="K55" s="205">
        <f>IFERROR(K54/K52,0)</f>
        <v/>
      </c>
      <c r="L55" s="205">
        <f>IFERROR(L54/L52,0)</f>
        <v/>
      </c>
      <c r="M55" s="205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)+IFERROR(((SUMPRODUCT((Labor!$G$6:$G$25=Projects!$A$13)*(Labor!$E$6:$E$25="Prime")*N(Labor!$K$6:$K$25))*(1+Rates!$B$6)*(1+Rates!$B$7)+SUMPRODUCT((Labor!$G$6:$G$25=Projects!$A$13)*(Labor!$E$6:$E$25="Sub")*N(Labor!$K$6:$K$25))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$18+((SUMIFS(Travel!$F$5:$F$22,Travel!$D$5:$D$22,Projects!$A$13,Travel!$E$5:$E$22,1))+IFERROR((SUMIFS(Travel!$F$5:$F$22,Travel!$D$5:$D$22,Projects!$A$13,Travel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$19+((SUMIFS(ODCs!$F$5:$F$22,ODCs!$D$5:$D$22,Projects!$A$13,ODCs!$E$5:$E$22,1))+IFERROR((SUMIFS(ODCs!$F$5:$F$22,ODCs!$D$5:$D$22,Projects!$A$13,ODCs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$20+((SUMIFS('M&amp;E'!$F$5:$F$22,'M&amp;E'!$D$5:$D$22,Projects!$A$13,'M&amp;E'!$E$5:$E$22,1))+IFERROR((SUMIFS('M&amp;E'!$F$5:$F$22,'M&amp;E'!$D$5:$D$22,Projects!$A$13,'M&amp;E'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$21))</f>
        <v/>
      </c>
      <c r="C59" s="132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)+IFERROR(((SUMPRODUCT((Labor!$G$6:$G$25=Projects!$A$13)*(Labor!$E$6:$E$25="Prime")*N(Labor!$O$6:$O$25))*(1+Rates!$B$6)*(1+Rates!$B$7)+SUMPRODUCT((Labor!$G$6:$G$25=Projects!$A$13)*(Labor!$E$6:$E$25="Sub")*N(Labor!$O$6:$O$25))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$18+((SUMIFS(Travel!$F$5:$F$22,Travel!$D$5:$D$22,Projects!$A$13,Travel!$E$5:$E$22,2))+IFERROR((SUMIFS(Travel!$F$5:$F$22,Travel!$D$5:$D$22,Projects!$A$13,Travel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$19+((SUMIFS(ODCs!$F$5:$F$22,ODCs!$D$5:$D$22,Projects!$A$13,ODCs!$E$5:$E$22,2))+IFERROR((SUMIFS(ODCs!$F$5:$F$22,ODCs!$D$5:$D$22,Projects!$A$13,ODCs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$20+((SUMIFS('M&amp;E'!$F$5:$F$22,'M&amp;E'!$D$5:$D$22,Projects!$A$13,'M&amp;E'!$E$5:$E$22,2))+IFERROR((SUMIFS('M&amp;E'!$F$5:$F$22,'M&amp;E'!$D$5:$D$22,Projects!$A$13,'M&amp;E'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$21))</f>
        <v/>
      </c>
      <c r="D59" s="132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)+IFERROR(((SUMPRODUCT((Labor!$G$6:$G$25=Projects!$A$13)*(Labor!$E$6:$E$25="Prime")*N(Labor!$S$6:$S$25))*(1+Rates!$B$6)*(1+Rates!$B$7)+SUMPRODUCT((Labor!$G$6:$G$25=Projects!$A$13)*(Labor!$E$6:$E$25="Sub")*N(Labor!$S$6:$S$25))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$18+((SUMIFS(Travel!$F$5:$F$22,Travel!$D$5:$D$22,Projects!$A$13,Travel!$E$5:$E$22,3))+IFERROR((SUMIFS(Travel!$F$5:$F$22,Travel!$D$5:$D$22,Projects!$A$13,Travel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$19+((SUMIFS(ODCs!$F$5:$F$22,ODCs!$D$5:$D$22,Projects!$A$13,ODCs!$E$5:$E$22,3))+IFERROR((SUMIFS(ODCs!$F$5:$F$22,ODCs!$D$5:$D$22,Projects!$A$13,ODCs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$20+((SUMIFS('M&amp;E'!$F$5:$F$22,'M&amp;E'!$D$5:$D$22,Projects!$A$13,'M&amp;E'!$E$5:$E$22,3))+IFERROR((SUMIFS('M&amp;E'!$F$5:$F$22,'M&amp;E'!$D$5:$D$22,Projects!$A$13,'M&amp;E'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$21))</f>
        <v/>
      </c>
      <c r="E59" s="132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)+IFERROR(((SUMPRODUCT((Labor!$G$6:$G$25=Projects!$A$13)*(Labor!$E$6:$E$25="Prime")*N(Labor!$W$6:$W$25))*(1+Rates!$B$6)*(1+Rates!$B$7)+SUMPRODUCT((Labor!$G$6:$G$25=Projects!$A$13)*(Labor!$E$6:$E$25="Sub")*N(Labor!$W$6:$W$25))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$18+((SUMIFS(Travel!$F$5:$F$22,Travel!$D$5:$D$22,Projects!$A$13,Travel!$E$5:$E$22,4))+IFERROR((SUMIFS(Travel!$F$5:$F$22,Travel!$D$5:$D$22,Projects!$A$13,Travel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$19+((SUMIFS(ODCs!$F$5:$F$22,ODCs!$D$5:$D$22,Projects!$A$13,ODCs!$E$5:$E$22,4))+IFERROR((SUMIFS(ODCs!$F$5:$F$22,ODCs!$D$5:$D$22,Projects!$A$13,ODCs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$20+((SUMIFS('M&amp;E'!$F$5:$F$22,'M&amp;E'!$D$5:$D$22,Projects!$A$13,'M&amp;E'!$E$5:$E$22,4))+IFERROR((SUMIFS('M&amp;E'!$F$5:$F$22,'M&amp;E'!$D$5:$D$22,Projects!$A$13,'M&amp;E'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$21))</f>
        <v/>
      </c>
      <c r="F59" s="132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)+IFERROR(((SUMPRODUCT((Labor!$G$6:$G$25=Projects!$A$13)*(Labor!$E$6:$E$25="Prime")*N(Labor!$AA$6:$AA$25))*(1+Rates!$B$6)*(1+Rates!$B$7)+SUMPRODUCT((Labor!$G$6:$G$25=Projects!$A$13)*(Labor!$E$6:$E$25="Sub")*N(Labor!$AA$6:$AA$25))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$18+((SUMIFS(Travel!$F$5:$F$22,Travel!$D$5:$D$22,Projects!$A$13,Travel!$E$5:$E$22,5))+IFERROR((SUMIFS(Travel!$F$5:$F$22,Travel!$D$5:$D$22,Projects!$A$13,Travel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$19+((SUMIFS(ODCs!$F$5:$F$22,ODCs!$D$5:$D$22,Projects!$A$13,ODCs!$E$5:$E$22,5))+IFERROR((SUMIFS(ODCs!$F$5:$F$22,ODCs!$D$5:$D$22,Projects!$A$13,ODCs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$20+((SUMIFS('M&amp;E'!$F$5:$F$22,'M&amp;E'!$D$5:$D$22,Projects!$A$13,'M&amp;E'!$E$5:$E$22,5))+IFERROR((SUMIFS('M&amp;E'!$F$5:$F$22,'M&amp;E'!$D$5:$D$22,Projects!$A$13,'M&amp;E'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$21))</f>
        <v/>
      </c>
      <c r="G59" s="132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)+IFERROR(((SUMPRODUCT((Labor!$G$6:$G$25=Projects!$A$13)*(Labor!$E$6:$E$25="Prime")*N(Labor!$AE$6:$AE$25))*(1+Rates!$B$6)*(1+Rates!$B$7)+SUMPRODUCT((Labor!$G$6:$G$25=Projects!$A$13)*(Labor!$E$6:$E$25="Sub")*N(Labor!$AE$6:$AE$25))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$18+((SUMIFS(Travel!$F$5:$F$22,Travel!$D$5:$D$22,Projects!$A$13,Travel!$E$5:$E$22,6))+IFERROR((SUMIFS(Travel!$F$5:$F$22,Travel!$D$5:$D$22,Projects!$A$13,Travel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$19+((SUMIFS(ODCs!$F$5:$F$22,ODCs!$D$5:$D$22,Projects!$A$13,ODCs!$E$5:$E$22,6))+IFERROR((SUMIFS(ODCs!$F$5:$F$22,ODCs!$D$5:$D$22,Projects!$A$13,ODCs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$20+((SUMIFS('M&amp;E'!$F$5:$F$22,'M&amp;E'!$D$5:$D$22,Projects!$A$13,'M&amp;E'!$E$5:$E$22,6))+IFERROR((SUMIFS('M&amp;E'!$F$5:$F$22,'M&amp;E'!$D$5:$D$22,Projects!$A$13,'M&amp;E'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$21))</f>
        <v/>
      </c>
      <c r="H59" s="132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)+IFERROR(((SUMPRODUCT((Labor!$G$6:$G$25=Projects!$A$13)*(Labor!$E$6:$E$25="Prime")*N(Labor!$AI$6:$AI$25))*(1+Rates!$B$6)*(1+Rates!$B$7)+SUMPRODUCT((Labor!$G$6:$G$25=Projects!$A$13)*(Labor!$E$6:$E$25="Sub")*N(Labor!$AI$6:$AI$25))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$18+((SUMIFS(Travel!$F$5:$F$22,Travel!$D$5:$D$22,Projects!$A$13,Travel!$E$5:$E$22,7))+IFERROR((SUMIFS(Travel!$F$5:$F$22,Travel!$D$5:$D$22,Projects!$A$13,Travel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$19+((SUMIFS(ODCs!$F$5:$F$22,ODCs!$D$5:$D$22,Projects!$A$13,ODCs!$E$5:$E$22,7))+IFERROR((SUMIFS(ODCs!$F$5:$F$22,ODCs!$D$5:$D$22,Projects!$A$13,ODCs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$20+((SUMIFS('M&amp;E'!$F$5:$F$22,'M&amp;E'!$D$5:$D$22,Projects!$A$13,'M&amp;E'!$E$5:$E$22,7))+IFERROR((SUMIFS('M&amp;E'!$F$5:$F$22,'M&amp;E'!$D$5:$D$22,Projects!$A$13,'M&amp;E'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$21))</f>
        <v/>
      </c>
      <c r="I59" s="132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)+IFERROR(((SUMPRODUCT((Labor!$G$6:$G$25=Projects!$A$13)*(Labor!$E$6:$E$25="Prime")*N(Labor!$AM$6:$AM$25))*(1+Rates!$B$6)*(1+Rates!$B$7)+SUMPRODUCT((Labor!$G$6:$G$25=Projects!$A$13)*(Labor!$E$6:$E$25="Sub")*N(Labor!$AM$6:$AM$25))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$18+((SUMIFS(Travel!$F$5:$F$22,Travel!$D$5:$D$22,Projects!$A$13,Travel!$E$5:$E$22,8))+IFERROR((SUMIFS(Travel!$F$5:$F$22,Travel!$D$5:$D$22,Projects!$A$13,Travel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$19+((SUMIFS(ODCs!$F$5:$F$22,ODCs!$D$5:$D$22,Projects!$A$13,ODCs!$E$5:$E$22,8))+IFERROR((SUMIFS(ODCs!$F$5:$F$22,ODCs!$D$5:$D$22,Projects!$A$13,ODCs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$20+((SUMIFS('M&amp;E'!$F$5:$F$22,'M&amp;E'!$D$5:$D$22,Projects!$A$13,'M&amp;E'!$E$5:$E$22,8))+IFERROR((SUMIFS('M&amp;E'!$F$5:$F$22,'M&amp;E'!$D$5:$D$22,Projects!$A$13,'M&amp;E'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$21))</f>
        <v/>
      </c>
      <c r="J59" s="132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)+IFERROR(((SUMPRODUCT((Labor!$G$6:$G$25=Projects!$A$13)*(Labor!$E$6:$E$25="Prime")*N(Labor!$AQ$6:$AQ$25))*(1+Rates!$B$6)*(1+Rates!$B$7)+SUMPRODUCT((Labor!$G$6:$G$25=Projects!$A$13)*(Labor!$E$6:$E$25="Sub")*N(Labor!$AQ$6:$AQ$25))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$18+((SUMIFS(Travel!$F$5:$F$22,Travel!$D$5:$D$22,Projects!$A$13,Travel!$E$5:$E$22,9))+IFERROR((SUMIFS(Travel!$F$5:$F$22,Travel!$D$5:$D$22,Projects!$A$13,Travel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$19+((SUMIFS(ODCs!$F$5:$F$22,ODCs!$D$5:$D$22,Projects!$A$13,ODCs!$E$5:$E$22,9))+IFERROR((SUMIFS(ODCs!$F$5:$F$22,ODCs!$D$5:$D$22,Projects!$A$13,ODCs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$20+((SUMIFS('M&amp;E'!$F$5:$F$22,'M&amp;E'!$D$5:$D$22,Projects!$A$13,'M&amp;E'!$E$5:$E$22,9))+IFERROR((SUMIFS('M&amp;E'!$F$5:$F$22,'M&amp;E'!$D$5:$D$22,Projects!$A$13,'M&amp;E'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$21))</f>
        <v/>
      </c>
      <c r="K59" s="132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)+IFERROR(((SUMPRODUCT((Labor!$G$6:$G$25=Projects!$A$13)*(Labor!$E$6:$E$25="Prime")*N(Labor!$AU$6:$AU$25))*(1+Rates!$B$6)*(1+Rates!$B$7)+SUMPRODUCT((Labor!$G$6:$G$25=Projects!$A$13)*(Labor!$E$6:$E$25="Sub")*N(Labor!$AU$6:$AU$25))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$18+((SUMIFS(Travel!$F$5:$F$22,Travel!$D$5:$D$22,Projects!$A$13,Travel!$E$5:$E$22,10))+IFERROR((SUMIFS(Travel!$F$5:$F$22,Travel!$D$5:$D$22,Projects!$A$13,Travel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$19+((SUMIFS(ODCs!$F$5:$F$22,ODCs!$D$5:$D$22,Projects!$A$13,ODCs!$E$5:$E$22,10))+IFERROR((SUMIFS(ODCs!$F$5:$F$22,ODCs!$D$5:$D$22,Projects!$A$13,ODCs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$20+((SUMIFS('M&amp;E'!$F$5:$F$22,'M&amp;E'!$D$5:$D$22,Projects!$A$13,'M&amp;E'!$E$5:$E$22,10))+IFERROR((SUMIFS('M&amp;E'!$F$5:$F$22,'M&amp;E'!$D$5:$D$22,Projects!$A$13,'M&amp;E'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$21))</f>
        <v/>
      </c>
      <c r="L59" s="132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)+IFERROR(((SUMPRODUCT((Labor!$G$6:$G$25=Projects!$A$13)*(Labor!$E$6:$E$25="Prime")*N(Labor!$AY$6:$AY$25))*(1+Rates!$B$6)*(1+Rates!$B$7)+SUMPRODUCT((Labor!$G$6:$G$25=Projects!$A$13)*(Labor!$E$6:$E$25="Sub")*N(Labor!$AY$6:$AY$25))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$18+((SUMIFS(Travel!$F$5:$F$22,Travel!$D$5:$D$22,Projects!$A$13,Travel!$E$5:$E$22,11))+IFERROR((SUMIFS(Travel!$F$5:$F$22,Travel!$D$5:$D$22,Projects!$A$13,Travel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$19+((SUMIFS(ODCs!$F$5:$F$22,ODCs!$D$5:$D$22,Projects!$A$13,ODCs!$E$5:$E$22,11))+IFERROR((SUMIFS(ODCs!$F$5:$F$22,ODCs!$D$5:$D$22,Projects!$A$13,ODCs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$20+((SUMIFS('M&amp;E'!$F$5:$F$22,'M&amp;E'!$D$5:$D$22,Projects!$A$13,'M&amp;E'!$E$5:$E$22,11))+IFERROR((SUMIFS('M&amp;E'!$F$5:$F$22,'M&amp;E'!$D$5:$D$22,Projects!$A$13,'M&amp;E'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$21))</f>
        <v/>
      </c>
      <c r="M59" s="132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)+IFERROR(((SUMPRODUCT((Labor!$G$6:$G$25=Projects!$A$13)*(Labor!$E$6:$E$25="Prime")*N(Labor!$BC$6:$BC$25))*(1+Rates!$B$6)*(1+Rates!$B$7)+SUMPRODUCT((Labor!$G$6:$G$25=Projects!$A$13)*(Labor!$E$6:$E$25="Sub")*N(Labor!$BC$6:$BC$25))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$18+((SUMIFS(Travel!$F$5:$F$22,Travel!$D$5:$D$22,Projects!$A$13,Travel!$E$5:$E$22,12))+IFERROR((SUMIFS(Travel!$F$5:$F$22,Travel!$D$5:$D$22,Projects!$A$13,Travel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$19+((SUMIFS(ODCs!$F$5:$F$22,ODCs!$D$5:$D$22,Projects!$A$13,ODCs!$E$5:$E$22,12))+IFERROR((SUMIFS(ODCs!$F$5:$F$22,ODCs!$D$5:$D$22,Projects!$A$13,ODCs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$20+((SUMIFS('M&amp;E'!$F$5:$F$22,'M&amp;E'!$D$5:$D$22,Projects!$A$13,'M&amp;E'!$E$5:$E$22,12))+IFERROR((SUMIFS('M&amp;E'!$F$5:$F$22,'M&amp;E'!$D$5:$D$22,Projects!$A$13,'M&amp;E'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$21)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04">
        <f>IFERROR(IF(B59="","",B59-B58),0)</f>
        <v/>
      </c>
      <c r="C60" s="204">
        <f>IFERROR(IF(C59="","",C59-C58),0)</f>
        <v/>
      </c>
      <c r="D60" s="204">
        <f>IFERROR(IF(D59="","",D59-D58),0)</f>
        <v/>
      </c>
      <c r="E60" s="204">
        <f>IFERROR(IF(E59="","",E59-E58),0)</f>
        <v/>
      </c>
      <c r="F60" s="204">
        <f>IFERROR(IF(F59="","",F59-F58),0)</f>
        <v/>
      </c>
      <c r="G60" s="204">
        <f>IFERROR(IF(G59="","",G59-G58),0)</f>
        <v/>
      </c>
      <c r="H60" s="204">
        <f>IFERROR(IF(H59="","",H59-H58),0)</f>
        <v/>
      </c>
      <c r="I60" s="204">
        <f>IFERROR(IF(I59="","",I59-I58),0)</f>
        <v/>
      </c>
      <c r="J60" s="204">
        <f>IFERROR(IF(J59="","",J59-J58),0)</f>
        <v/>
      </c>
      <c r="K60" s="204">
        <f>IFERROR(IF(K59="","",K59-K58),0)</f>
        <v/>
      </c>
      <c r="L60" s="204">
        <f>IFERROR(IF(L59="","",L59-L58),0)</f>
        <v/>
      </c>
      <c r="M60" s="204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05">
        <f>IFERROR(B60/B58,0)</f>
        <v/>
      </c>
      <c r="C61" s="205">
        <f>IFERROR(C60/C58,0)</f>
        <v/>
      </c>
      <c r="D61" s="205">
        <f>IFERROR(D60/D58,0)</f>
        <v/>
      </c>
      <c r="E61" s="205">
        <f>IFERROR(E60/E58,0)</f>
        <v/>
      </c>
      <c r="F61" s="205">
        <f>IFERROR(F60/F58,0)</f>
        <v/>
      </c>
      <c r="G61" s="205">
        <f>IFERROR(G60/G58,0)</f>
        <v/>
      </c>
      <c r="H61" s="205">
        <f>IFERROR(H60/H58,0)</f>
        <v/>
      </c>
      <c r="I61" s="205">
        <f>IFERROR(I60/I58,0)</f>
        <v/>
      </c>
      <c r="J61" s="205">
        <f>IFERROR(J60/J58,0)</f>
        <v/>
      </c>
      <c r="K61" s="205">
        <f>IFERROR(K60/K58,0)</f>
        <v/>
      </c>
      <c r="L61" s="205">
        <f>IFERROR(L60/L58,0)</f>
        <v/>
      </c>
      <c r="M61" s="205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2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2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2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2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2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2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2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2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2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2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2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2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2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2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2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06">
        <f>IFERROR(SUM(Dashboard!$D$21:$D$32)/Projects!$C$15,0)</f>
        <v/>
      </c>
      <c r="C7" s="207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06">
        <f>IFERROR(SUM(Dashboard!$G$21:$G$32)/Projects!$D$15,0)</f>
        <v/>
      </c>
      <c r="C8" s="207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06">
        <f>IFERROR(SUM(Dashboard!$E$21:$E$32)/Projects!$E$15,0)</f>
        <v/>
      </c>
      <c r="C9" s="207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06">
        <f>IFERROR(SUM(Dashboard!$F$21:$F$32)/Projects!$F$15,0)</f>
        <v/>
      </c>
      <c r="C10" s="207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1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08" t="n">
        <v>0.5</v>
      </c>
      <c r="J15" s="208" t="n">
        <v>0.2</v>
      </c>
      <c r="K15" s="208" t="n">
        <v>0.5</v>
      </c>
    </row>
    <row r="16">
      <c r="A16" s="138" t="n">
        <v>2</v>
      </c>
      <c r="B16" s="201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08" t="n">
        <v>0.5</v>
      </c>
      <c r="J16" s="208" t="n">
        <v>0.2</v>
      </c>
      <c r="K16" s="208" t="n">
        <v>0.5</v>
      </c>
    </row>
    <row r="17">
      <c r="A17" s="138" t="n">
        <v>3</v>
      </c>
      <c r="B17" s="201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08" t="n">
        <v>0.5</v>
      </c>
      <c r="J17" s="208" t="n">
        <v>0.2</v>
      </c>
      <c r="K17" s="208" t="n">
        <v>0.5</v>
      </c>
    </row>
    <row r="18">
      <c r="A18" s="138" t="n">
        <v>4</v>
      </c>
      <c r="B18" s="201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08" t="n">
        <v>0.5</v>
      </c>
      <c r="J18" s="208" t="n">
        <v>0.2</v>
      </c>
      <c r="K18" s="208" t="n">
        <v>0.5</v>
      </c>
    </row>
    <row r="19">
      <c r="A19" s="138" t="n">
        <v>5</v>
      </c>
      <c r="B19" s="201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08" t="n">
        <v>0.5</v>
      </c>
      <c r="J19" s="208" t="n">
        <v>0.2</v>
      </c>
      <c r="K19" s="208" t="n">
        <v>0.5</v>
      </c>
    </row>
    <row r="20">
      <c r="A20" s="138" t="n">
        <v>6</v>
      </c>
      <c r="B20" s="201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08" t="n">
        <v>0.5</v>
      </c>
      <c r="J20" s="208" t="n">
        <v>0.2</v>
      </c>
      <c r="K20" s="208" t="n">
        <v>0.5</v>
      </c>
    </row>
    <row r="21">
      <c r="A21" s="138" t="n">
        <v>7</v>
      </c>
      <c r="B21" s="201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08" t="n">
        <v>0.5</v>
      </c>
      <c r="J21" s="208" t="n">
        <v>0.2</v>
      </c>
      <c r="K21" s="208" t="n">
        <v>0.5</v>
      </c>
    </row>
    <row r="22">
      <c r="A22" s="138" t="n">
        <v>8</v>
      </c>
      <c r="B22" s="201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08" t="n">
        <v>0.5</v>
      </c>
      <c r="J22" s="208" t="n">
        <v>0.2</v>
      </c>
      <c r="K22" s="208" t="n">
        <v>0.5</v>
      </c>
    </row>
    <row r="23">
      <c r="A23" s="138" t="n">
        <v>9</v>
      </c>
      <c r="B23" s="201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08" t="n">
        <v>0.5</v>
      </c>
      <c r="J23" s="208" t="n">
        <v>0.2</v>
      </c>
      <c r="K23" s="208" t="n">
        <v>0.5</v>
      </c>
    </row>
    <row r="24">
      <c r="A24" s="138" t="n">
        <v>10</v>
      </c>
      <c r="B24" s="201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08" t="n">
        <v>0.5</v>
      </c>
      <c r="J24" s="208" t="n">
        <v>0.2</v>
      </c>
      <c r="K24" s="208" t="n">
        <v>0.5</v>
      </c>
    </row>
    <row r="25">
      <c r="A25" s="138" t="n">
        <v>11</v>
      </c>
      <c r="B25" s="201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08" t="n">
        <v>0.5</v>
      </c>
      <c r="J25" s="208" t="n">
        <v>0.2</v>
      </c>
      <c r="K25" s="208" t="n">
        <v>0.5</v>
      </c>
    </row>
    <row r="26">
      <c r="A26" s="138" t="n">
        <v>12</v>
      </c>
      <c r="B26" s="201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08" t="n">
        <v>0.5</v>
      </c>
      <c r="J26" s="208" t="n">
        <v>0.2</v>
      </c>
      <c r="K26" s="208" t="n">
        <v>0.5</v>
      </c>
    </row>
    <row r="27">
      <c r="A27" s="138" t="n">
        <v>13</v>
      </c>
      <c r="B27" s="201">
        <f>EDATE(Dashboard!$C$5,A27-1)</f>
        <v/>
      </c>
      <c r="C27" s="209">
        <f>IFERROR($C$26+(13-12)*AVERAGE(Dashboard!$D$30:$D$32)/Projects!$C$15,$C$26)</f>
        <v/>
      </c>
      <c r="D27" s="209">
        <f>IFERROR($D$26+(13-12)*AVERAGE(Dashboard!$G$30:$G$32)/Projects!$D$15,$D$26)</f>
        <v/>
      </c>
      <c r="E27" s="209">
        <f>IFERROR($E$26+(13-12)*AVERAGE(Dashboard!$E$30:$E$32)/Projects!$E$15,$E$26)</f>
        <v/>
      </c>
      <c r="F27" s="209">
        <f>IFERROR($F$26+(13-12)*AVERAGE(Dashboard!$F$30:$F$32)/Projects!$F$15,$F$26)</f>
        <v/>
      </c>
      <c r="G27" s="129" t="n">
        <v>0.7</v>
      </c>
      <c r="I27" s="208" t="n">
        <v>0.5</v>
      </c>
      <c r="J27" s="208" t="n">
        <v>0.2</v>
      </c>
      <c r="K27" s="208" t="n">
        <v>0.5</v>
      </c>
    </row>
    <row r="28">
      <c r="A28" s="138" t="n">
        <v>14</v>
      </c>
      <c r="B28" s="201">
        <f>EDATE(Dashboard!$C$5,A28-1)</f>
        <v/>
      </c>
      <c r="C28" s="209">
        <f>IFERROR($C$26+(14-12)*AVERAGE(Dashboard!$D$30:$D$32)/Projects!$C$15,$C$26)</f>
        <v/>
      </c>
      <c r="D28" s="209">
        <f>IFERROR($D$26+(14-12)*AVERAGE(Dashboard!$G$30:$G$32)/Projects!$D$15,$D$26)</f>
        <v/>
      </c>
      <c r="E28" s="209">
        <f>IFERROR($E$26+(14-12)*AVERAGE(Dashboard!$E$30:$E$32)/Projects!$E$15,$E$26)</f>
        <v/>
      </c>
      <c r="F28" s="209">
        <f>IFERROR($F$26+(14-12)*AVERAGE(Dashboard!$F$30:$F$32)/Projects!$F$15,$F$26)</f>
        <v/>
      </c>
      <c r="G28" s="129" t="n">
        <v>0.7</v>
      </c>
      <c r="I28" s="208" t="n">
        <v>0.5</v>
      </c>
      <c r="J28" s="208" t="n">
        <v>0.2</v>
      </c>
      <c r="K28" s="208" t="n">
        <v>0.5</v>
      </c>
    </row>
    <row r="29">
      <c r="A29" s="138" t="n">
        <v>15</v>
      </c>
      <c r="B29" s="201">
        <f>EDATE(Dashboard!$C$5,A29-1)</f>
        <v/>
      </c>
      <c r="C29" s="209">
        <f>IFERROR($C$26+(15-12)*AVERAGE(Dashboard!$D$30:$D$32)/Projects!$C$15,$C$26)</f>
        <v/>
      </c>
      <c r="D29" s="209">
        <f>IFERROR($D$26+(15-12)*AVERAGE(Dashboard!$G$30:$G$32)/Projects!$D$15,$D$26)</f>
        <v/>
      </c>
      <c r="E29" s="209">
        <f>IFERROR($E$26+(15-12)*AVERAGE(Dashboard!$E$30:$E$32)/Projects!$E$15,$E$26)</f>
        <v/>
      </c>
      <c r="F29" s="209">
        <f>IFERROR($F$26+(15-12)*AVERAGE(Dashboard!$F$30:$F$32)/Projects!$F$15,$F$26)</f>
        <v/>
      </c>
      <c r="G29" s="129" t="n">
        <v>0.7</v>
      </c>
      <c r="I29" s="208" t="n">
        <v>0.5</v>
      </c>
      <c r="J29" s="208" t="n">
        <v>0.2</v>
      </c>
      <c r="K29" s="208" t="n">
        <v>0.5</v>
      </c>
    </row>
    <row r="30">
      <c r="A30" s="138" t="n">
        <v>16</v>
      </c>
      <c r="B30" s="201">
        <f>EDATE(Dashboard!$C$5,A30-1)</f>
        <v/>
      </c>
      <c r="C30" s="209">
        <f>IFERROR($C$26+(16-12)*AVERAGE(Dashboard!$D$30:$D$32)/Projects!$C$15,$C$26)</f>
        <v/>
      </c>
      <c r="D30" s="209">
        <f>IFERROR($D$26+(16-12)*AVERAGE(Dashboard!$G$30:$G$32)/Projects!$D$15,$D$26)</f>
        <v/>
      </c>
      <c r="E30" s="209">
        <f>IFERROR($E$26+(16-12)*AVERAGE(Dashboard!$E$30:$E$32)/Projects!$E$15,$E$26)</f>
        <v/>
      </c>
      <c r="F30" s="209">
        <f>IFERROR($F$26+(16-12)*AVERAGE(Dashboard!$F$30:$F$32)/Projects!$F$15,$F$26)</f>
        <v/>
      </c>
      <c r="G30" s="129" t="n">
        <v>0.7</v>
      </c>
      <c r="I30" s="208" t="n">
        <v>0.5</v>
      </c>
      <c r="J30" s="208" t="n">
        <v>0.2</v>
      </c>
      <c r="K30" s="208" t="n">
        <v>0.5</v>
      </c>
    </row>
    <row r="31">
      <c r="A31" s="138" t="n">
        <v>17</v>
      </c>
      <c r="B31" s="201">
        <f>EDATE(Dashboard!$C$5,A31-1)</f>
        <v/>
      </c>
      <c r="C31" s="209">
        <f>IFERROR($C$26+(17-12)*AVERAGE(Dashboard!$D$30:$D$32)/Projects!$C$15,$C$26)</f>
        <v/>
      </c>
      <c r="D31" s="209">
        <f>IFERROR($D$26+(17-12)*AVERAGE(Dashboard!$G$30:$G$32)/Projects!$D$15,$D$26)</f>
        <v/>
      </c>
      <c r="E31" s="209">
        <f>IFERROR($E$26+(17-12)*AVERAGE(Dashboard!$E$30:$E$32)/Projects!$E$15,$E$26)</f>
        <v/>
      </c>
      <c r="F31" s="209">
        <f>IFERROR($F$26+(17-12)*AVERAGE(Dashboard!$F$30:$F$32)/Projects!$F$15,$F$26)</f>
        <v/>
      </c>
      <c r="G31" s="129" t="n">
        <v>0.7</v>
      </c>
      <c r="I31" s="208" t="n">
        <v>0.5</v>
      </c>
      <c r="J31" s="208" t="n">
        <v>0.2</v>
      </c>
      <c r="K31" s="208" t="n">
        <v>0.5</v>
      </c>
    </row>
    <row r="32">
      <c r="A32" s="138" t="n">
        <v>18</v>
      </c>
      <c r="B32" s="201">
        <f>EDATE(Dashboard!$C$5,A32-1)</f>
        <v/>
      </c>
      <c r="C32" s="209">
        <f>IFERROR($C$26+(18-12)*AVERAGE(Dashboard!$D$30:$D$32)/Projects!$C$15,$C$26)</f>
        <v/>
      </c>
      <c r="D32" s="209">
        <f>IFERROR($D$26+(18-12)*AVERAGE(Dashboard!$G$30:$G$32)/Projects!$D$15,$D$26)</f>
        <v/>
      </c>
      <c r="E32" s="209">
        <f>IFERROR($E$26+(18-12)*AVERAGE(Dashboard!$E$30:$E$32)/Projects!$E$15,$E$26)</f>
        <v/>
      </c>
      <c r="F32" s="209">
        <f>IFERROR($F$26+(18-12)*AVERAGE(Dashboard!$F$30:$F$32)/Projects!$F$15,$F$26)</f>
        <v/>
      </c>
      <c r="G32" s="129" t="n">
        <v>0.7</v>
      </c>
      <c r="I32" s="208" t="n">
        <v>0.5</v>
      </c>
      <c r="J32" s="208" t="n">
        <v>0.2</v>
      </c>
      <c r="K32" s="208" t="n">
        <v>0.5</v>
      </c>
    </row>
    <row r="33">
      <c r="A33" s="138" t="n">
        <v>19</v>
      </c>
      <c r="B33" s="201">
        <f>EDATE(Dashboard!$C$5,A33-1)</f>
        <v/>
      </c>
      <c r="C33" s="209">
        <f>IFERROR($C$26+(19-12)*AVERAGE(Dashboard!$D$30:$D$32)/Projects!$C$15,$C$26)</f>
        <v/>
      </c>
      <c r="D33" s="209">
        <f>IFERROR($D$26+(19-12)*AVERAGE(Dashboard!$G$30:$G$32)/Projects!$D$15,$D$26)</f>
        <v/>
      </c>
      <c r="E33" s="209">
        <f>IFERROR($E$26+(19-12)*AVERAGE(Dashboard!$E$30:$E$32)/Projects!$E$15,$E$26)</f>
        <v/>
      </c>
      <c r="F33" s="209">
        <f>IFERROR($F$26+(19-12)*AVERAGE(Dashboard!$F$30:$F$32)/Projects!$F$15,$F$26)</f>
        <v/>
      </c>
      <c r="G33" s="129" t="n">
        <v>0.7</v>
      </c>
      <c r="I33" s="208" t="n">
        <v>0.5</v>
      </c>
      <c r="J33" s="208" t="n">
        <v>0.2</v>
      </c>
      <c r="K33" s="208" t="n">
        <v>0.5</v>
      </c>
    </row>
    <row r="34">
      <c r="A34" s="138" t="n">
        <v>20</v>
      </c>
      <c r="B34" s="201">
        <f>EDATE(Dashboard!$C$5,A34-1)</f>
        <v/>
      </c>
      <c r="C34" s="209">
        <f>IFERROR($C$26+(20-12)*AVERAGE(Dashboard!$D$30:$D$32)/Projects!$C$15,$C$26)</f>
        <v/>
      </c>
      <c r="D34" s="209">
        <f>IFERROR($D$26+(20-12)*AVERAGE(Dashboard!$G$30:$G$32)/Projects!$D$15,$D$26)</f>
        <v/>
      </c>
      <c r="E34" s="209">
        <f>IFERROR($E$26+(20-12)*AVERAGE(Dashboard!$E$30:$E$32)/Projects!$E$15,$E$26)</f>
        <v/>
      </c>
      <c r="F34" s="209">
        <f>IFERROR($F$26+(20-12)*AVERAGE(Dashboard!$F$30:$F$32)/Projects!$F$15,$F$26)</f>
        <v/>
      </c>
      <c r="G34" s="129" t="n">
        <v>0.7</v>
      </c>
      <c r="I34" s="208" t="n">
        <v>0.5</v>
      </c>
      <c r="J34" s="208" t="n">
        <v>0.2</v>
      </c>
      <c r="K34" s="208" t="n">
        <v>0.5</v>
      </c>
    </row>
    <row r="35">
      <c r="A35" s="138" t="n">
        <v>21</v>
      </c>
      <c r="B35" s="201">
        <f>EDATE(Dashboard!$C$5,A35-1)</f>
        <v/>
      </c>
      <c r="C35" s="209">
        <f>IFERROR($C$26+(21-12)*AVERAGE(Dashboard!$D$30:$D$32)/Projects!$C$15,$C$26)</f>
        <v/>
      </c>
      <c r="D35" s="209">
        <f>IFERROR($D$26+(21-12)*AVERAGE(Dashboard!$G$30:$G$32)/Projects!$D$15,$D$26)</f>
        <v/>
      </c>
      <c r="E35" s="209">
        <f>IFERROR($E$26+(21-12)*AVERAGE(Dashboard!$E$30:$E$32)/Projects!$E$15,$E$26)</f>
        <v/>
      </c>
      <c r="F35" s="209">
        <f>IFERROR($F$26+(21-12)*AVERAGE(Dashboard!$F$30:$F$32)/Projects!$F$15,$F$26)</f>
        <v/>
      </c>
      <c r="G35" s="129" t="n">
        <v>0.7</v>
      </c>
      <c r="I35" s="208" t="n">
        <v>0.5</v>
      </c>
      <c r="J35" s="208" t="n">
        <v>0.2</v>
      </c>
      <c r="K35" s="208" t="n">
        <v>0.5</v>
      </c>
    </row>
    <row r="36">
      <c r="A36" s="138" t="n">
        <v>22</v>
      </c>
      <c r="B36" s="201">
        <f>EDATE(Dashboard!$C$5,A36-1)</f>
        <v/>
      </c>
      <c r="C36" s="209">
        <f>IFERROR($C$26+(22-12)*AVERAGE(Dashboard!$D$30:$D$32)/Projects!$C$15,$C$26)</f>
        <v/>
      </c>
      <c r="D36" s="209">
        <f>IFERROR($D$26+(22-12)*AVERAGE(Dashboard!$G$30:$G$32)/Projects!$D$15,$D$26)</f>
        <v/>
      </c>
      <c r="E36" s="209">
        <f>IFERROR($E$26+(22-12)*AVERAGE(Dashboard!$E$30:$E$32)/Projects!$E$15,$E$26)</f>
        <v/>
      </c>
      <c r="F36" s="209">
        <f>IFERROR($F$26+(22-12)*AVERAGE(Dashboard!$F$30:$F$32)/Projects!$F$15,$F$26)</f>
        <v/>
      </c>
      <c r="G36" s="129" t="n">
        <v>0.7</v>
      </c>
      <c r="I36" s="208" t="n">
        <v>0.5</v>
      </c>
      <c r="J36" s="208" t="n">
        <v>0.2</v>
      </c>
      <c r="K36" s="208" t="n">
        <v>0.5</v>
      </c>
    </row>
    <row r="37">
      <c r="A37" s="138" t="n">
        <v>23</v>
      </c>
      <c r="B37" s="201">
        <f>EDATE(Dashboard!$C$5,A37-1)</f>
        <v/>
      </c>
      <c r="C37" s="209">
        <f>IFERROR($C$26+(23-12)*AVERAGE(Dashboard!$D$30:$D$32)/Projects!$C$15,$C$26)</f>
        <v/>
      </c>
      <c r="D37" s="209">
        <f>IFERROR($D$26+(23-12)*AVERAGE(Dashboard!$G$30:$G$32)/Projects!$D$15,$D$26)</f>
        <v/>
      </c>
      <c r="E37" s="209">
        <f>IFERROR($E$26+(23-12)*AVERAGE(Dashboard!$E$30:$E$32)/Projects!$E$15,$E$26)</f>
        <v/>
      </c>
      <c r="F37" s="209">
        <f>IFERROR($F$26+(23-12)*AVERAGE(Dashboard!$F$30:$F$32)/Projects!$F$15,$F$26)</f>
        <v/>
      </c>
      <c r="G37" s="129" t="n">
        <v>0.7</v>
      </c>
      <c r="I37" s="208" t="n">
        <v>0.5</v>
      </c>
      <c r="J37" s="208" t="n">
        <v>0.2</v>
      </c>
      <c r="K37" s="208" t="n">
        <v>0.5</v>
      </c>
    </row>
    <row r="38">
      <c r="A38" s="138" t="n">
        <v>24</v>
      </c>
      <c r="B38" s="201">
        <f>EDATE(Dashboard!$C$5,A38-1)</f>
        <v/>
      </c>
      <c r="C38" s="209">
        <f>IFERROR($C$26+(24-12)*AVERAGE(Dashboard!$D$30:$D$32)/Projects!$C$15,$C$26)</f>
        <v/>
      </c>
      <c r="D38" s="209">
        <f>IFERROR($D$26+(24-12)*AVERAGE(Dashboard!$G$30:$G$32)/Projects!$D$15,$D$26)</f>
        <v/>
      </c>
      <c r="E38" s="209">
        <f>IFERROR($E$26+(24-12)*AVERAGE(Dashboard!$E$30:$E$32)/Projects!$E$15,$E$26)</f>
        <v/>
      </c>
      <c r="F38" s="209">
        <f>IFERROR($F$26+(24-12)*AVERAGE(Dashboard!$F$30:$F$32)/Projects!$F$15,$F$26)</f>
        <v/>
      </c>
      <c r="G38" s="129" t="n">
        <v>0.7</v>
      </c>
      <c r="I38" s="208" t="n">
        <v>0.5</v>
      </c>
      <c r="J38" s="208" t="n">
        <v>0.2</v>
      </c>
      <c r="K38" s="208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N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7" customWidth="1" style="108" min="1" max="1"/>
    <col width="12" customWidth="1" style="108" min="2" max="2"/>
    <col width="34" customWidth="1" style="108" min="3" max="3"/>
    <col width="14" customWidth="1" style="108" min="4" max="4"/>
    <col width="13" customWidth="1" style="108" min="5" max="9"/>
    <col width="14" customWidth="1" style="108" min="10" max="14"/>
  </cols>
  <sheetData>
    <row r="1" ht="21.75" customHeight="1" s="109">
      <c r="B1" s="141" t="inlineStr">
        <is>
          <t>Funding Modification Log</t>
        </is>
      </c>
      <c r="N1" s="142" t="inlineStr">
        <is>
          <t>Acqlerate  ·  acqlerate.com</t>
        </is>
      </c>
    </row>
    <row r="3" ht="42" customHeight="1" s="109">
      <c r="A3" s="16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needs, split across CLIN and (optionally) Project the same way as before.</t>
        </is>
      </c>
    </row>
    <row r="4" ht="33.75" customHeight="1" s="109">
      <c r="A4" s="151" t="inlineStr">
        <is>
          <t>Mod #</t>
        </is>
      </c>
      <c r="B4" s="151" t="inlineStr">
        <is>
          <t>Date</t>
        </is>
      </c>
      <c r="C4" s="151" t="inlineStr">
        <is>
          <t>Description</t>
        </is>
      </c>
      <c r="D4" s="210" t="inlineStr">
        <is>
          <t>Project
(optional)</t>
        </is>
      </c>
      <c r="E4" s="151" t="inlineStr">
        <is>
          <t>Labor CLIN
$</t>
        </is>
      </c>
      <c r="F4" s="151" t="inlineStr">
        <is>
          <t>Travel CLIN
$</t>
        </is>
      </c>
      <c r="G4" s="151" t="inlineStr">
        <is>
          <t>ODC CLIN
$</t>
        </is>
      </c>
      <c r="H4" s="151" t="inlineStr">
        <is>
          <t>M&amp;E CLIN
$</t>
        </is>
      </c>
      <c r="I4" s="210" t="inlineStr">
        <is>
          <t>Mod Total
$</t>
        </is>
      </c>
      <c r="J4" s="211" t="inlineStr">
        <is>
          <t>Cum. Labor
TOA $</t>
        </is>
      </c>
      <c r="K4" s="211" t="inlineStr">
        <is>
          <t>Cum. Travel
TOA $</t>
        </is>
      </c>
      <c r="L4" s="211" t="inlineStr">
        <is>
          <t>Cum. ODC
TOA $</t>
        </is>
      </c>
      <c r="M4" s="211" t="inlineStr">
        <is>
          <t>Cum. M&amp;E
TOA $</t>
        </is>
      </c>
      <c r="N4" s="211" t="inlineStr">
        <is>
          <t>Cum. Total
TOA $</t>
        </is>
      </c>
    </row>
    <row r="5" ht="15" customHeight="1" s="109">
      <c r="A5" s="165" t="inlineStr">
        <is>
          <t>P00000 (Award)</t>
        </is>
      </c>
      <c r="B5" s="169" t="n">
        <v>46023</v>
      </c>
      <c r="C5" s="165" t="inlineStr">
        <is>
          <t>Original award — base period</t>
        </is>
      </c>
      <c r="D5" s="212" t="n"/>
      <c r="E5" s="166" t="n">
        <v>1300000</v>
      </c>
      <c r="F5" s="166" t="n">
        <v>300000</v>
      </c>
      <c r="G5" s="166" t="n">
        <v>250000</v>
      </c>
      <c r="H5" s="166" t="n">
        <v>150000</v>
      </c>
      <c r="I5" s="213">
        <f>IF(A5="","",SUM(E5:H5))</f>
        <v/>
      </c>
      <c r="J5" s="154">
        <f>IF(A5="","",SUM($E$5:E5))</f>
        <v/>
      </c>
      <c r="K5" s="154">
        <f>IF(A5="","",SUM($F$5:F5))</f>
        <v/>
      </c>
      <c r="L5" s="154">
        <f>IF(A5="","",SUM($G$5:G5))</f>
        <v/>
      </c>
      <c r="M5" s="154">
        <f>IF(A5="","",SUM($H$5:H5))</f>
        <v/>
      </c>
      <c r="N5" s="214">
        <f>IF(A5="","",J5+K5+L5+M5)</f>
        <v/>
      </c>
    </row>
    <row r="6" ht="15" customHeight="1" s="109">
      <c r="A6" s="172" t="inlineStr">
        <is>
          <t>P00001</t>
        </is>
      </c>
      <c r="B6" s="176" t="n">
        <v>46143</v>
      </c>
      <c r="C6" s="172" t="inlineStr">
        <is>
          <t>Incremental funding — added scope</t>
        </is>
      </c>
      <c r="D6" s="215" t="n"/>
      <c r="E6" s="173" t="n">
        <v>250000</v>
      </c>
      <c r="F6" s="173" t="n">
        <v>50000</v>
      </c>
      <c r="G6" s="173" t="n">
        <v>30000</v>
      </c>
      <c r="H6" s="173" t="n">
        <v>20000</v>
      </c>
      <c r="I6" s="216">
        <f>IF(A6="","",SUM(E6:H6))</f>
        <v/>
      </c>
      <c r="J6" s="160">
        <f>IF(A6="","",SUM($E$5:E6))</f>
        <v/>
      </c>
      <c r="K6" s="160">
        <f>IF(A6="","",SUM($F$5:F6))</f>
        <v/>
      </c>
      <c r="L6" s="160">
        <f>IF(A6="","",SUM($G$5:G6))</f>
        <v/>
      </c>
      <c r="M6" s="160">
        <f>IF(A6="","",SUM($H$5:H6))</f>
        <v/>
      </c>
      <c r="N6" s="217">
        <f>IF(A6="","",J6+K6+L6+M6)</f>
        <v/>
      </c>
    </row>
    <row r="7" ht="15" customHeight="1" s="109">
      <c r="A7" s="165" t="n"/>
      <c r="B7" s="169" t="n"/>
      <c r="C7" s="165" t="n"/>
      <c r="D7" s="212" t="n"/>
      <c r="E7" s="166" t="n"/>
      <c r="F7" s="166" t="n"/>
      <c r="G7" s="166" t="n"/>
      <c r="H7" s="166" t="n"/>
      <c r="I7" s="213">
        <f>IF(A7="","",SUM(E7:H7))</f>
        <v/>
      </c>
      <c r="J7" s="154">
        <f>IF(A7="","",SUM($E$5:E7))</f>
        <v/>
      </c>
      <c r="K7" s="154">
        <f>IF(A7="","",SUM($F$5:F7))</f>
        <v/>
      </c>
      <c r="L7" s="154">
        <f>IF(A7="","",SUM($G$5:G7))</f>
        <v/>
      </c>
      <c r="M7" s="154">
        <f>IF(A7="","",SUM($H$5:H7))</f>
        <v/>
      </c>
      <c r="N7" s="214">
        <f>IF(A7="","",J7+K7+L7+M7)</f>
        <v/>
      </c>
    </row>
    <row r="8" ht="15" customHeight="1" s="109">
      <c r="A8" s="172" t="n"/>
      <c r="B8" s="176" t="n"/>
      <c r="C8" s="172" t="n"/>
      <c r="D8" s="215" t="n"/>
      <c r="E8" s="173" t="n"/>
      <c r="F8" s="173" t="n"/>
      <c r="G8" s="173" t="n"/>
      <c r="H8" s="173" t="n"/>
      <c r="I8" s="216">
        <f>IF(A8="","",SUM(E8:H8))</f>
        <v/>
      </c>
      <c r="J8" s="160">
        <f>IF(A8="","",SUM($E$5:E8))</f>
        <v/>
      </c>
      <c r="K8" s="160">
        <f>IF(A8="","",SUM($F$5:F8))</f>
        <v/>
      </c>
      <c r="L8" s="160">
        <f>IF(A8="","",SUM($G$5:G8))</f>
        <v/>
      </c>
      <c r="M8" s="160">
        <f>IF(A8="","",SUM($H$5:H8))</f>
        <v/>
      </c>
      <c r="N8" s="217">
        <f>IF(A8="","",J8+K8+L8+M8)</f>
        <v/>
      </c>
    </row>
    <row r="9" ht="15" customHeight="1" s="109">
      <c r="A9" s="165" t="n"/>
      <c r="B9" s="169" t="n"/>
      <c r="C9" s="165" t="n"/>
      <c r="D9" s="212" t="n"/>
      <c r="E9" s="166" t="n"/>
      <c r="F9" s="166" t="n"/>
      <c r="G9" s="166" t="n"/>
      <c r="H9" s="166" t="n"/>
      <c r="I9" s="213">
        <f>IF(A9="","",SUM(E9:H9))</f>
        <v/>
      </c>
      <c r="J9" s="154">
        <f>IF(A9="","",SUM($E$5:E9))</f>
        <v/>
      </c>
      <c r="K9" s="154">
        <f>IF(A9="","",SUM($F$5:F9))</f>
        <v/>
      </c>
      <c r="L9" s="154">
        <f>IF(A9="","",SUM($G$5:G9))</f>
        <v/>
      </c>
      <c r="M9" s="154">
        <f>IF(A9="","",SUM($H$5:H9))</f>
        <v/>
      </c>
      <c r="N9" s="214">
        <f>IF(A9="","",J9+K9+L9+M9)</f>
        <v/>
      </c>
    </row>
    <row r="10" ht="15" customHeight="1" s="109">
      <c r="A10" s="172" t="n"/>
      <c r="B10" s="176" t="n"/>
      <c r="C10" s="172" t="n"/>
      <c r="D10" s="215" t="n"/>
      <c r="E10" s="173" t="n"/>
      <c r="F10" s="173" t="n"/>
      <c r="G10" s="173" t="n"/>
      <c r="H10" s="173" t="n"/>
      <c r="I10" s="216">
        <f>IF(A10="","",SUM(E10:H10))</f>
        <v/>
      </c>
      <c r="J10" s="160">
        <f>IF(A10="","",SUM($E$5:E10))</f>
        <v/>
      </c>
      <c r="K10" s="160">
        <f>IF(A10="","",SUM($F$5:F10))</f>
        <v/>
      </c>
      <c r="L10" s="160">
        <f>IF(A10="","",SUM($G$5:G10))</f>
        <v/>
      </c>
      <c r="M10" s="160">
        <f>IF(A10="","",SUM($H$5:H10))</f>
        <v/>
      </c>
      <c r="N10" s="217">
        <f>IF(A10="","",J10+K10+L10+M10)</f>
        <v/>
      </c>
    </row>
    <row r="11" ht="15" customHeight="1" s="109">
      <c r="A11" s="165" t="n"/>
      <c r="B11" s="169" t="n"/>
      <c r="C11" s="165" t="n"/>
      <c r="D11" s="212" t="n"/>
      <c r="E11" s="166" t="n"/>
      <c r="F11" s="166" t="n"/>
      <c r="G11" s="166" t="n"/>
      <c r="H11" s="166" t="n"/>
      <c r="I11" s="213">
        <f>IF(A11="","",SUM(E11:H11))</f>
        <v/>
      </c>
      <c r="J11" s="154">
        <f>IF(A11="","",SUM($E$5:E11))</f>
        <v/>
      </c>
      <c r="K11" s="154">
        <f>IF(A11="","",SUM($F$5:F11))</f>
        <v/>
      </c>
      <c r="L11" s="154">
        <f>IF(A11="","",SUM($G$5:G11))</f>
        <v/>
      </c>
      <c r="M11" s="154">
        <f>IF(A11="","",SUM($H$5:H11))</f>
        <v/>
      </c>
      <c r="N11" s="214">
        <f>IF(A11="","",J11+K11+L11+M11)</f>
        <v/>
      </c>
    </row>
    <row r="12" ht="15" customHeight="1" s="109">
      <c r="A12" s="172" t="n"/>
      <c r="B12" s="176" t="n"/>
      <c r="C12" s="172" t="n"/>
      <c r="D12" s="215" t="n"/>
      <c r="E12" s="173" t="n"/>
      <c r="F12" s="173" t="n"/>
      <c r="G12" s="173" t="n"/>
      <c r="H12" s="173" t="n"/>
      <c r="I12" s="216">
        <f>IF(A12="","",SUM(E12:H12))</f>
        <v/>
      </c>
      <c r="J12" s="160">
        <f>IF(A12="","",SUM($E$5:E12))</f>
        <v/>
      </c>
      <c r="K12" s="160">
        <f>IF(A12="","",SUM($F$5:F12))</f>
        <v/>
      </c>
      <c r="L12" s="160">
        <f>IF(A12="","",SUM($G$5:G12))</f>
        <v/>
      </c>
      <c r="M12" s="160">
        <f>IF(A12="","",SUM($H$5:H12))</f>
        <v/>
      </c>
      <c r="N12" s="217">
        <f>IF(A12="","",J12+K12+L12+M12)</f>
        <v/>
      </c>
    </row>
    <row r="13" ht="15" customHeight="1" s="109">
      <c r="A13" s="165" t="n"/>
      <c r="B13" s="169" t="n"/>
      <c r="C13" s="165" t="n"/>
      <c r="D13" s="212" t="n"/>
      <c r="E13" s="166" t="n"/>
      <c r="F13" s="166" t="n"/>
      <c r="G13" s="166" t="n"/>
      <c r="H13" s="166" t="n"/>
      <c r="I13" s="213">
        <f>IF(A13="","",SUM(E13:H13))</f>
        <v/>
      </c>
      <c r="J13" s="154">
        <f>IF(A13="","",SUM($E$5:E13))</f>
        <v/>
      </c>
      <c r="K13" s="154">
        <f>IF(A13="","",SUM($F$5:F13))</f>
        <v/>
      </c>
      <c r="L13" s="154">
        <f>IF(A13="","",SUM($G$5:G13))</f>
        <v/>
      </c>
      <c r="M13" s="154">
        <f>IF(A13="","",SUM($H$5:H13))</f>
        <v/>
      </c>
      <c r="N13" s="214">
        <f>IF(A13="","",J13+K13+L13+M13)</f>
        <v/>
      </c>
    </row>
    <row r="14" ht="15" customHeight="1" s="109">
      <c r="A14" s="172" t="n"/>
      <c r="B14" s="176" t="n"/>
      <c r="C14" s="172" t="n"/>
      <c r="D14" s="215" t="n"/>
      <c r="E14" s="173" t="n"/>
      <c r="F14" s="173" t="n"/>
      <c r="G14" s="173" t="n"/>
      <c r="H14" s="173" t="n"/>
      <c r="I14" s="216">
        <f>IF(A14="","",SUM(E14:H14))</f>
        <v/>
      </c>
      <c r="J14" s="160">
        <f>IF(A14="","",SUM($E$5:E14))</f>
        <v/>
      </c>
      <c r="K14" s="160">
        <f>IF(A14="","",SUM($F$5:F14))</f>
        <v/>
      </c>
      <c r="L14" s="160">
        <f>IF(A14="","",SUM($G$5:G14))</f>
        <v/>
      </c>
      <c r="M14" s="160">
        <f>IF(A14="","",SUM($H$5:H14))</f>
        <v/>
      </c>
      <c r="N14" s="217">
        <f>IF(A14="","",J14+K14+L14+M14)</f>
        <v/>
      </c>
    </row>
    <row r="17" ht="15" customHeight="1" s="109">
      <c r="A17" s="115" t="inlineStr">
        <is>
          <t>CLIN Funding Status (auto — reads Projects tab, not this log)</t>
        </is>
      </c>
    </row>
    <row r="18" ht="27.75" customHeight="1" s="109">
      <c r="A18" s="151" t="inlineStr">
        <is>
          <t>CLIN</t>
        </is>
      </c>
      <c r="B18" s="151" t="inlineStr">
        <is>
          <t>Cumulative
TOA $</t>
        </is>
      </c>
      <c r="C18" s="151" t="inlineStr">
        <is>
          <t>Spent to
Date $</t>
        </is>
      </c>
      <c r="D18" s="151" t="inlineStr">
        <is>
          <t>Remaining
$</t>
        </is>
      </c>
      <c r="E18" s="151" t="inlineStr">
        <is>
          <t>% Used</t>
        </is>
      </c>
    </row>
    <row r="19" ht="15" customHeight="1" s="109">
      <c r="A19" s="218" t="inlineStr">
        <is>
          <t>Labor</t>
        </is>
      </c>
      <c r="B19" s="154">
        <f>SUM(Projects!$C$6:$C$13)</f>
        <v/>
      </c>
      <c r="C19" s="155">
        <f>SUM(Dashboard!$D$21:$D$32)</f>
        <v/>
      </c>
      <c r="D19" s="154">
        <f>B19-C19</f>
        <v/>
      </c>
      <c r="E19" s="157">
        <f>IFERROR(C19/B19,0)</f>
        <v/>
      </c>
    </row>
    <row r="20" ht="15" customHeight="1" s="109">
      <c r="A20" s="219" t="inlineStr">
        <is>
          <t>Travel</t>
        </is>
      </c>
      <c r="B20" s="160">
        <f>SUM(Projects!$D$6:$D$13)</f>
        <v/>
      </c>
      <c r="C20" s="161">
        <f>SUM(Dashboard!$G$21:$G$32)</f>
        <v/>
      </c>
      <c r="D20" s="160">
        <f>B20-C20</f>
        <v/>
      </c>
      <c r="E20" s="163">
        <f>IFERROR(C20/B20,0)</f>
        <v/>
      </c>
    </row>
    <row r="21" ht="15" customHeight="1" s="109">
      <c r="A21" s="218" t="inlineStr">
        <is>
          <t>ODC</t>
        </is>
      </c>
      <c r="B21" s="154">
        <f>SUM(Projects!$E$6:$E$13)</f>
        <v/>
      </c>
      <c r="C21" s="155">
        <f>SUM(Dashboard!$E$21:$E$32)</f>
        <v/>
      </c>
      <c r="D21" s="154">
        <f>B21-C21</f>
        <v/>
      </c>
      <c r="E21" s="157">
        <f>IFERROR(C21/B21,0)</f>
        <v/>
      </c>
    </row>
    <row r="22" ht="15" customHeight="1" s="109">
      <c r="A22" s="219" t="inlineStr">
        <is>
          <t>M&amp;E</t>
        </is>
      </c>
      <c r="B22" s="160">
        <f>SUM(Projects!$F$6:$F$13)</f>
        <v/>
      </c>
      <c r="C22" s="161">
        <f>SUM(Dashboard!$F$21:$F$32)</f>
        <v/>
      </c>
      <c r="D22" s="160">
        <f>B22-C22</f>
        <v/>
      </c>
      <c r="E22" s="163">
        <f>IFERROR(C22/B22,0)</f>
        <v/>
      </c>
    </row>
    <row r="23" ht="15" customHeight="1" s="109">
      <c r="A23" s="220" t="inlineStr">
        <is>
          <t>TOTAL</t>
        </is>
      </c>
      <c r="B23" s="221">
        <f>SUM(B19:B22)</f>
        <v/>
      </c>
      <c r="C23" s="221">
        <f>SUM(C19:C22)</f>
        <v/>
      </c>
      <c r="D23" s="221">
        <f>SUM(D19:D22)</f>
        <v/>
      </c>
      <c r="E23" s="222">
        <f>IFERROR(C23/B23,0)</f>
        <v/>
      </c>
    </row>
    <row r="26" ht="15" customHeight="1" s="109">
      <c r="A26" s="111" t="inlineStr">
        <is>
          <t>Acqlerate  ·  DoD Acquisition Training  ·  acqlerate.com</t>
        </is>
      </c>
    </row>
  </sheetData>
  <mergeCells count="1">
    <mergeCell ref="A3:N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tabColor rgb="FF7A5AF8"/>
    <outlinePr summaryBelow="1" summaryRight="1"/>
    <pageSetUpPr fitToPage="0"/>
  </sheetPr>
  <dimension ref="A1:E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20" customWidth="1" style="108" min="2" max="2"/>
    <col width="18" customWidth="1" style="108" min="3" max="3"/>
    <col width="20" customWidth="1" style="108" min="4" max="4"/>
    <col width="40" customWidth="1" style="108" min="5" max="5"/>
  </cols>
  <sheetData>
    <row r="1" ht="21.75" customHeight="1" s="109">
      <c r="B1" s="141" t="inlineStr">
        <is>
          <t>ROM Calculator</t>
        </is>
      </c>
      <c r="E1" s="142" t="inlineStr">
        <is>
          <t>Acqlerate  ·  acqlerate.com</t>
        </is>
      </c>
    </row>
    <row r="3" ht="27.75" customHeight="1" s="109">
      <c r="A3" s="223" t="inlineStr">
        <is>
          <t>Quick answer for "what would it cost to add or change this person?" — a standalone what-if, separate from your actual Labor log. Doesn't affect Dashboard totals or Labor actuals.</t>
        </is>
      </c>
    </row>
    <row r="5" ht="15" customHeight="1" s="109">
      <c r="A5" s="224" t="inlineStr">
        <is>
          <t>SCENARIO INPUTS</t>
        </is>
      </c>
    </row>
    <row r="6" ht="15" customHeight="1" s="109">
      <c r="A6" s="111" t="inlineStr">
        <is>
          <t>Fill in the role and dates — everything below calculates automatically from your Rates tab.</t>
        </is>
      </c>
    </row>
    <row r="8" ht="19.5" customHeight="1" s="109">
      <c r="A8" s="218" t="inlineStr">
        <is>
          <t>Role / LCAT</t>
        </is>
      </c>
      <c r="B8" s="225" t="inlineStr">
        <is>
          <t>Engineer 4</t>
        </is>
      </c>
      <c r="C8" s="226" t="n"/>
      <c r="D8" s="226" t="n"/>
      <c r="E8" s="226" t="n"/>
    </row>
    <row r="9" ht="19.5" customHeight="1" s="109">
      <c r="A9" s="218" t="inlineStr">
        <is>
          <t>Employee Type</t>
        </is>
      </c>
      <c r="B9" s="225" t="inlineStr">
        <is>
          <t>Exempt</t>
        </is>
      </c>
      <c r="C9" s="226" t="n"/>
      <c r="D9" s="226" t="n"/>
      <c r="E9" s="226" t="n"/>
    </row>
    <row r="10" ht="19.5" customHeight="1" s="109">
      <c r="A10" s="218" t="inlineStr">
        <is>
          <t>Annual Salary (Exempt only)</t>
        </is>
      </c>
      <c r="B10" s="227" t="n">
        <v>150000</v>
      </c>
      <c r="C10" s="226" t="n"/>
      <c r="D10" s="226" t="n"/>
      <c r="E10" s="226" t="n"/>
    </row>
    <row r="11" ht="19.5" customHeight="1" s="109">
      <c r="A11" s="218" t="inlineStr">
        <is>
          <t>Direct Hourly Rate (Non-Exempt only)</t>
        </is>
      </c>
      <c r="B11" s="228" t="n"/>
      <c r="C11" s="226" t="n"/>
      <c r="D11" s="226" t="n"/>
      <c r="E11" s="226" t="n"/>
    </row>
    <row r="12" ht="19.5" customHeight="1" s="109">
      <c r="A12" s="218" t="inlineStr">
        <is>
          <t>Standard Annual Hours</t>
        </is>
      </c>
      <c r="B12" s="225" t="n">
        <v>2080</v>
      </c>
      <c r="C12" s="226" t="n"/>
      <c r="D12" s="226" t="n"/>
      <c r="E12" s="226" t="n"/>
    </row>
    <row r="13" ht="19.5" customHeight="1" s="109">
      <c r="A13" s="218" t="inlineStr">
        <is>
          <t>Start Date</t>
        </is>
      </c>
      <c r="B13" s="229" t="n">
        <v>46266</v>
      </c>
      <c r="C13" s="226" t="n"/>
      <c r="D13" s="226" t="n"/>
      <c r="E13" s="226" t="n"/>
    </row>
    <row r="14" ht="15" customHeight="1" s="109">
      <c r="A14" s="218" t="inlineStr">
        <is>
          <t>End Date</t>
        </is>
      </c>
      <c r="B14" s="230">
        <f>Dashboard!$C$6</f>
        <v/>
      </c>
      <c r="C14" s="231" t="inlineStr">
        <is>
          <t>Defaults to your PoP End on Dashboard — type over it for a custom end date.</t>
        </is>
      </c>
      <c r="D14" s="232" t="n"/>
      <c r="E14" s="233" t="n"/>
    </row>
    <row r="16" ht="15" customHeight="1" s="109">
      <c r="A16" s="224" t="inlineStr">
        <is>
          <t>BASE LABOR COST (auto)</t>
        </is>
      </c>
    </row>
    <row r="17" ht="15" customHeight="1" s="109">
      <c r="A17" s="111" t="inlineStr">
        <is>
          <t>Straight-line day proration over the period — a ROM approximation, not a payroll calendar.</t>
        </is>
      </c>
    </row>
    <row r="19" ht="15" customHeight="1" s="109">
      <c r="A19" s="234" t="inlineStr">
        <is>
          <t>Straight-Time Rate $/hr</t>
        </is>
      </c>
      <c r="B19" s="168">
        <f>IF(B9="Exempt",IF(B12=0,"",B10/B12),B11)</f>
        <v/>
      </c>
      <c r="C19" s="226" t="n"/>
      <c r="D19" s="226" t="n"/>
      <c r="E19" s="226" t="n"/>
    </row>
    <row r="20" ht="15" customHeight="1" s="109">
      <c r="A20" s="234" t="inlineStr">
        <is>
          <t>Days in Period</t>
        </is>
      </c>
      <c r="B20" s="235">
        <f>IF(OR(B13="",B14=""),"",B14-B13+1)</f>
        <v/>
      </c>
      <c r="C20" s="226" t="n"/>
      <c r="D20" s="226" t="n"/>
      <c r="E20" s="226" t="n"/>
    </row>
    <row r="21" ht="15" customHeight="1" s="109">
      <c r="A21" s="234" t="inlineStr">
        <is>
          <t>Estimated Hours in Period</t>
        </is>
      </c>
      <c r="B21" s="170">
        <f>IF(B20="","",B12*B20/365)</f>
        <v/>
      </c>
      <c r="C21" s="226" t="n"/>
      <c r="D21" s="226" t="n"/>
      <c r="E21" s="226" t="n"/>
    </row>
    <row r="22" ht="15" customHeight="1" s="109">
      <c r="A22" s="234" t="inlineStr">
        <is>
          <t>Direct Labor $</t>
        </is>
      </c>
      <c r="B22" s="154">
        <f>IF(OR(B21="",B19=""),"",B21*B19)</f>
        <v/>
      </c>
      <c r="C22" s="226" t="n"/>
      <c r="D22" s="226" t="n"/>
      <c r="E22" s="226" t="n"/>
    </row>
    <row r="23" ht="15" customHeight="1" s="109">
      <c r="A23" s="234" t="inlineStr">
        <is>
          <t>Fringe $</t>
        </is>
      </c>
      <c r="B23" s="154">
        <f>IF(B22="","",B22*Rates!$B$6)</f>
        <v/>
      </c>
      <c r="C23" s="226" t="n"/>
      <c r="D23" s="226" t="n"/>
      <c r="E23" s="226" t="n"/>
    </row>
    <row r="24" ht="15" customHeight="1" s="109">
      <c r="A24" s="234" t="inlineStr">
        <is>
          <t>OH $</t>
        </is>
      </c>
      <c r="B24" s="154">
        <f>IF(B22="","",(B22+B23)*Rates!$B$7)</f>
        <v/>
      </c>
      <c r="C24" s="226" t="n"/>
      <c r="D24" s="226" t="n"/>
      <c r="E24" s="226" t="n"/>
    </row>
    <row r="25" ht="25.5" customHeight="1" s="109">
      <c r="A25" s="236" t="inlineStr">
        <is>
          <t>Base Fully Burdened Labor $</t>
        </is>
      </c>
      <c r="B25" s="237">
        <f>IF(B22="","",B22+B23+B24)</f>
        <v/>
      </c>
      <c r="C25" s="238" t="n"/>
      <c r="D25" s="238" t="n"/>
      <c r="E25" s="238" t="n"/>
    </row>
    <row r="27" ht="15" customHeight="1" s="109">
      <c r="A27" s="224" t="inlineStr">
        <is>
          <t>LOCATION / ALLOWANCE ADDERS</t>
        </is>
      </c>
    </row>
    <row r="28" ht="15" customHeight="1" s="109">
      <c r="A28" s="111" t="inlineStr">
        <is>
          <t>Common OCONUS adders — edit the label or amount, or leave a row blank to skip it. Annual amounts prorate over the period above; one-time amounts don't.</t>
        </is>
      </c>
    </row>
    <row r="30" ht="23.85" customHeight="1" s="109">
      <c r="A30" s="151" t="inlineStr">
        <is>
          <t>Adder</t>
        </is>
      </c>
      <c r="B30" s="151" t="inlineStr">
        <is>
          <t>Type</t>
        </is>
      </c>
      <c r="C30" s="151" t="inlineStr">
        <is>
          <t>Amount $</t>
        </is>
      </c>
      <c r="D30" s="151" t="inlineStr">
        <is>
          <t>Cost for Period $ (auto)</t>
        </is>
      </c>
    </row>
    <row r="31" ht="15" customHeight="1" s="109">
      <c r="A31" s="165" t="inlineStr">
        <is>
          <t>COLA (Cost of Living Allowance)</t>
        </is>
      </c>
      <c r="B31" s="165" t="inlineStr">
        <is>
          <t>Annual $ (prorate)</t>
        </is>
      </c>
      <c r="C31" s="166" t="n">
        <v>8000</v>
      </c>
      <c r="D31" s="154">
        <f>IF(C31="","",IF(B31="One-Time $",C31,C31*B20/365))</f>
        <v/>
      </c>
    </row>
    <row r="32" ht="15" customHeight="1" s="109">
      <c r="A32" s="172" t="inlineStr">
        <is>
          <t>LQA (Living Quarters Allowance)</t>
        </is>
      </c>
      <c r="B32" s="172" t="inlineStr">
        <is>
          <t>Annual $ (prorate)</t>
        </is>
      </c>
      <c r="C32" s="173" t="n">
        <v>24000</v>
      </c>
      <c r="D32" s="160">
        <f>IF(C32="","",IF(B32="One-Time $",C32,C32*B20/365))</f>
        <v/>
      </c>
    </row>
    <row r="33" ht="15" customHeight="1" s="109">
      <c r="A33" s="165" t="inlineStr">
        <is>
          <t>Relocation</t>
        </is>
      </c>
      <c r="B33" s="165" t="inlineStr">
        <is>
          <t>One-Time $</t>
        </is>
      </c>
      <c r="C33" s="166" t="n">
        <v>15000</v>
      </c>
      <c r="D33" s="154">
        <f>IF(C33="","",IF(B33="One-Time $",C33,C33*B20/365))</f>
        <v/>
      </c>
    </row>
    <row r="34" ht="15" customHeight="1" s="109">
      <c r="A34" s="172" t="inlineStr">
        <is>
          <t>Other</t>
        </is>
      </c>
      <c r="B34" s="172" t="inlineStr">
        <is>
          <t>Annual $ (prorate)</t>
        </is>
      </c>
      <c r="C34" s="173" t="n"/>
      <c r="D34" s="160">
        <f>IF(C34="","",IF(B34="One-Time $",C34,C34*B20/365))</f>
        <v/>
      </c>
    </row>
    <row r="35" ht="15" customHeight="1" s="109">
      <c r="A35" s="220" t="inlineStr">
        <is>
          <t>Total Adders</t>
        </is>
      </c>
      <c r="B35" s="238" t="n"/>
      <c r="C35" s="238" t="n"/>
      <c r="D35" s="221">
        <f>SUM(D31:D34)</f>
        <v/>
      </c>
    </row>
    <row r="37" ht="15" customHeight="1" s="109">
      <c r="A37" s="224" t="inlineStr">
        <is>
          <t>ROM ESTIMATE</t>
        </is>
      </c>
    </row>
    <row r="38" ht="15" customHeight="1" s="109">
      <c r="A38" s="111" t="inlineStr">
        <is>
          <t>Same buildup as Dashboard: Labor + Adders -&gt; Subtotal -&gt; + G&amp;A -&gt; Total Cost -&gt; + Fee -&gt; fully burdened total.</t>
        </is>
      </c>
    </row>
    <row r="40" ht="15" customHeight="1" s="109">
      <c r="A40" s="234" t="inlineStr">
        <is>
          <t>Subtotal (Labor + Adders) $</t>
        </is>
      </c>
      <c r="B40" s="154">
        <f>IF(B25="","",B25+D35)</f>
        <v/>
      </c>
      <c r="C40" s="226" t="n"/>
      <c r="D40" s="226" t="n"/>
      <c r="E40" s="226" t="n"/>
    </row>
    <row r="41" ht="15" customHeight="1" s="109">
      <c r="A41" s="234" t="inlineStr">
        <is>
          <t>G&amp;A $</t>
        </is>
      </c>
      <c r="B41" s="154">
        <f>IF(B40="","",B40*Rates!$B$8)</f>
        <v/>
      </c>
      <c r="C41" s="226" t="n"/>
      <c r="D41" s="226" t="n"/>
      <c r="E41" s="226" t="n"/>
    </row>
    <row r="42" ht="15" customHeight="1" s="109">
      <c r="A42" s="234" t="inlineStr">
        <is>
          <t>Total Cost $</t>
        </is>
      </c>
      <c r="B42" s="154">
        <f>IF(B40="","",B40+B41)</f>
        <v/>
      </c>
      <c r="C42" s="226" t="n"/>
      <c r="D42" s="226" t="n"/>
      <c r="E42" s="226" t="n"/>
    </row>
    <row r="43" ht="15" customHeight="1" s="109">
      <c r="A43" s="234" t="inlineStr">
        <is>
          <t>Fee $</t>
        </is>
      </c>
      <c r="B43" s="154">
        <f>IF(B42="","",B42*Rates!$C$18)</f>
        <v/>
      </c>
      <c r="C43" s="226" t="n"/>
      <c r="D43" s="226" t="n"/>
      <c r="E43" s="226" t="n"/>
    </row>
    <row r="44" ht="30" customHeight="1" s="109">
      <c r="A44" s="239" t="inlineStr">
        <is>
          <t>TOTAL ROM ESTIMATE (fully burdened)</t>
        </is>
      </c>
      <c r="B44" s="240">
        <f>IF(B42="","",B42+B43)</f>
        <v/>
      </c>
      <c r="C44" s="238" t="n"/>
      <c r="D44" s="238" t="n"/>
      <c r="E44" s="238" t="n"/>
    </row>
    <row r="46" ht="24" customHeight="1" s="109">
      <c r="A46" s="241">
        <f>"For "&amp;B8&amp;" from "&amp;TEXT(B13,"mm/dd/yyyy")&amp;" to "&amp;TEXT(B14,"mm/dd/yyyy")&amp;" ("&amp;B20&amp;" days): "&amp;TEXT(B44,"$#,##0")&amp;" fully burdened, ROM estimate."</f>
        <v/>
      </c>
    </row>
    <row r="47" ht="15" customHeight="1" s="109">
      <c r="A47" s="111" t="inlineStr">
        <is>
          <t>Copy the line above straight into an email — everything in it flows from your Rates tab, so it stays consistent with how you bill.</t>
        </is>
      </c>
    </row>
    <row r="49" ht="15" customHeight="1" s="109">
      <c r="A49" s="111" t="inlineStr">
        <is>
          <t>Acqlerate  ·  DoD Acquisition Training  ·  acqlerate.com</t>
        </is>
      </c>
    </row>
  </sheetData>
  <mergeCells count="12">
    <mergeCell ref="C14:E14"/>
    <mergeCell ref="A38:E38"/>
    <mergeCell ref="A16:E16"/>
    <mergeCell ref="A28:E28"/>
    <mergeCell ref="A47:E47"/>
    <mergeCell ref="A5:E5"/>
    <mergeCell ref="A37:E37"/>
    <mergeCell ref="A46:E46"/>
    <mergeCell ref="A6:E6"/>
    <mergeCell ref="A17:E17"/>
    <mergeCell ref="A27:E27"/>
    <mergeCell ref="A3:E3"/>
  </mergeCells>
  <dataValidations count="5">
    <dataValidation sqref="B9" showDropDown="0" showInputMessage="0" showErrorMessage="0" allowBlank="0" type="list" errorStyle="stop" operator="between">
      <formula1>"Exempt,Non-Exempt"</formula1>
      <formula2>0</formula2>
    </dataValidation>
    <dataValidation sqref="B31" showDropDown="0" showInputMessage="0" showErrorMessage="0" allowBlank="0" type="list" errorStyle="stop" operator="between">
      <formula1>"One-Time $,Annual $ (prorate)"</formula1>
      <formula2>0</formula2>
    </dataValidation>
    <dataValidation sqref="B32" showDropDown="0" showInputMessage="0" showErrorMessage="0" allowBlank="0" type="list" errorStyle="stop" operator="between">
      <formula1>"One-Time $,Annual $ (prorate)"</formula1>
      <formula2>0</formula2>
    </dataValidation>
    <dataValidation sqref="B33" showDropDown="0" showInputMessage="0" showErrorMessage="0" allowBlank="0" type="list" errorStyle="stop" operator="between">
      <formula1>"One-Time $,Annual $ (prorate)"</formula1>
      <formula2>0</formula2>
    </dataValidation>
    <dataValidation sqref="B34" showDropDown="0" showInputMessage="0" showErrorMessage="0" allowBlank="0" type="list" errorStyle="stop" operator="between">
      <formula1>"One-Time $,Annual $ (prorate)"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2026-08-20T08:50:15Z</dcterms:modified>
  <cp:revision>0</cp:revision>
</cp:coreProperties>
</file>