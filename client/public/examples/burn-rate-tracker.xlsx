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Burn Rate Track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<sst xmlns="http://schemas.openxmlformats.org/spreadsheetml/2006/main" count="48" uniqueCount="48">
  <si>
    <t xml:space="preserve">Burn Rate Tracker — How to Use This</t>
  </si>
  <si>
    <t xml:space="preserve">What this is for:</t>
  </si>
  <si>
    <t xml:space="preserve">A month-by-month tracker for how fast you're spending against your funded ceiling — so you catch</t>
  </si>
  <si>
    <t xml:space="preserve">an overrun (or an underrun that puts your next option year at risk) while there's still time to act,</t>
  </si>
  <si>
    <t xml:space="preserve">not at the program review where you find out the hard way.</t>
  </si>
  <si>
    <t xml:space="preserve">How to use it:</t>
  </si>
  <si>
    <t xml:space="preserve">1. Go to the "Burn Rate Tracker" tab.</t>
  </si>
  <si>
    <t xml:space="preserve">2. Fill in the blue cells at the top: program name, contract number, Total Obligated Amount (TOA),</t>
  </si>
  <si>
    <t xml:space="preserve">   and your period of performance start/end dates.</t>
  </si>
  <si>
    <t xml:space="preserve">3. Each month, enter that month's ACTUAL spend in the blue "Actual Monthly Spend" column. Everything</t>
  </si>
  <si>
    <t xml:space="preserve">   else — cumulative totals, variance, projected exhaustion date, status flag — recalculates on its own.</t>
  </si>
  <si>
    <t xml:space="preserve">4. Check the Dashboard section at the top. If Status shows "AT RISK", you have a real conversation to</t>
  </si>
  <si>
    <t xml:space="preserve">   have with your cost analyst or Contracting Officer before the next status report, not after.</t>
  </si>
  <si>
    <t xml:space="preserve">Color legend:</t>
  </si>
  <si>
    <t xml:space="preserve">  Blue text   = your inputs. Edit these.</t>
  </si>
  <si>
    <t xml:space="preserve">  Black text  = formulas. Don't overwrite these or the sheet stops recalculating correctly.</t>
  </si>
  <si>
    <t xml:space="preserve">  Yellow fill = key assumptions that drive the whole sheet (TOA, PoP dates).</t>
  </si>
  <si>
    <t xml:space="preserve">Built for a 12-month performance period (a base year or a single option year). If your period runs</t>
  </si>
  <si>
    <t xml:space="preserve">longer, copy the last month's row formulas down and extend the Month/Date columns to match.</t>
  </si>
  <si>
    <t xml:space="preserve">This is a planning and early-warning tool, not your official cost report. It doesn't replace your</t>
  </si>
  <si>
    <t xml:space="preserve">contract's EVM reporting, your cost analyst's numbers, or a certified Incurred Cost Submission.</t>
  </si>
  <si>
    <t xml:space="preserve">Reconcile it against your actual accounting system data — this is only as accurate as what you type in.</t>
  </si>
  <si>
    <t xml:space="preserve">Burn Rate Tracker</t>
  </si>
  <si>
    <t xml:space="preserve">Program / Contract Name</t>
  </si>
  <si>
    <t xml:space="preserve">Example: Fleet Sustainment Support Services</t>
  </si>
  <si>
    <t xml:space="preserve">DASHBOARD</t>
  </si>
  <si>
    <t xml:space="preserve">Contract / Task Order #</t>
  </si>
  <si>
    <t xml:space="preserve">N00019-25-F-0142</t>
  </si>
  <si>
    <t xml:space="preserve">Months of Actuals Entered</t>
  </si>
  <si>
    <t xml:space="preserve">Total Obligated Amount (TOA)</t>
  </si>
  <si>
    <t xml:space="preserve">Spent to Date</t>
  </si>
  <si>
    <t xml:space="preserve">Period of Performance — Start</t>
  </si>
  <si>
    <t xml:space="preserve">Remaining Funds</t>
  </si>
  <si>
    <t xml:space="preserve">Period of Performance — End</t>
  </si>
  <si>
    <t xml:space="preserve">% of TOA Spent</t>
  </si>
  <si>
    <t xml:space="preserve">Months in Period</t>
  </si>
  <si>
    <t xml:space="preserve">Current Monthly Burn Rate (3-mo avg)</t>
  </si>
  <si>
    <t xml:space="preserve">Straight-Line Monthly Plan</t>
  </si>
  <si>
    <t xml:space="preserve">Projected Months to Exhaustion</t>
  </si>
  <si>
    <t xml:space="preserve">Status</t>
  </si>
  <si>
    <t xml:space="preserve">Month #</t>
  </si>
  <si>
    <t xml:space="preserve">Month</t>
  </si>
  <si>
    <t xml:space="preserve">Planned Cumulative $</t>
  </si>
  <si>
    <t xml:space="preserve">Actual Monthly Spend</t>
  </si>
  <si>
    <t xml:space="preserve">Actual Cumulative $</t>
  </si>
  <si>
    <t xml:space="preserve">Variance ($, Actual − Planned)</t>
  </si>
  <si>
    <t xml:space="preserve">Variance (%)</t>
  </si>
  <si>
    <t xml:space="preserve">Remaining Funds ($)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</si>
</sst>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mm/dd/yyyy"/>
    <numFmt numFmtId="167" formatCode="0.0%"/>
    <numFmt numFmtId="168" formatCode="mmm\-yy"/>
    <numFmt numFmtId="169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  <row r="21" customFormat="false" ht="15" hidden="false" customHeight="true" outlineLevel="0" collapsed="false">
      <c r="A21" s="3"/>
    </row>
    <row r="22" customFormat="false" ht="15" hidden="false" customHeight="true" outlineLevel="0" collapsed="false">
      <c r="A22" s="3" t="s">
        <v>17</v>
      </c>
    </row>
    <row r="23" customFormat="false" ht="15" hidden="false" customHeight="true" outlineLevel="0" collapsed="false">
      <c r="A23" s="3" t="s">
        <v>18</v>
      </c>
    </row>
    <row r="24" customFormat="false" ht="15" hidden="false" customHeight="true" outlineLevel="0" collapsed="false">
      <c r="A24" s="3"/>
    </row>
    <row r="25" customFormat="false" ht="15" hidden="false" customHeight="true" outlineLevel="0" collapsed="false">
      <c r="A25" s="3" t="s">
        <v>19</v>
      </c>
    </row>
    <row r="26" customFormat="false" ht="15" hidden="false" customHeight="true" outlineLevel="0" collapsed="false">
      <c r="A26" s="3" t="s">
        <v>20</v>
      </c>
    </row>
    <row r="27" customFormat="false" ht="15" hidden="false" customHeight="true" outlineLevel="0" collapsed="false">
      <c r="A27" s="3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2"/>
    <col collapsed="false" customWidth="true" hidden="false" outlineLevel="0" max="9" min="9" style="1" width="20"/>
    <col collapsed="false" customWidth="true" hidden="false" outlineLevel="0" max="10" min="10" style="1" width="22"/>
  </cols>
  <sheetData>
    <row r="1" customFormat="false" ht="19.5" hidden="false" customHeight="true" outlineLevel="0" collapsed="false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15" hidden="false" customHeight="true" outlineLevel="0" collapsed="false">
      <c r="A3" s="4" t="s">
        <v>23</v>
      </c>
      <c r="B3" s="6" t="s">
        <v>24</v>
      </c>
      <c r="D3" s="7" t="s">
        <v>25</v>
      </c>
      <c r="E3" s="7"/>
      <c r="F3" s="7"/>
    </row>
    <row r="4" customFormat="false" ht="15" hidden="false" customHeight="true" outlineLevel="0" collapsed="false">
      <c r="A4" s="4" t="s">
        <v>26</v>
      </c>
      <c r="B4" s="6" t="s">
        <v>27</v>
      </c>
      <c r="D4" s="4" t="s">
        <v>28</v>
      </c>
      <c r="E4" s="3" t="n">
        <f aca="false">COUNT(D14:D37)</f>
        <v>5</v>
      </c>
    </row>
    <row r="5" customFormat="false" ht="15" hidden="false" customHeight="true" outlineLevel="0" collapsed="false">
      <c r="A5" s="4" t="s">
        <v>29</v>
      </c>
      <c r="B5" s="8" t="n">
        <v>2400000</v>
      </c>
      <c r="D5" s="4" t="s">
        <v>30</v>
      </c>
      <c r="E5" s="9" t="n">
        <f aca="false">IF(E4=0,0,INDEX(E14:E37,E4))</f>
        <v>1059000</v>
      </c>
    </row>
    <row r="6" customFormat="false" ht="15" hidden="false" customHeight="true" outlineLevel="0" collapsed="false">
      <c r="A6" s="4" t="s">
        <v>31</v>
      </c>
      <c r="B6" s="10" t="n">
        <v>46023</v>
      </c>
      <c r="D6" s="4" t="s">
        <v>32</v>
      </c>
      <c r="E6" s="9" t="n">
        <f aca="false">$B$5-E5</f>
        <v>1341000</v>
      </c>
    </row>
    <row r="7" customFormat="false" ht="15" hidden="false" customHeight="true" outlineLevel="0" collapsed="false">
      <c r="A7" s="4" t="s">
        <v>33</v>
      </c>
      <c r="B7" s="10" t="n">
        <v>46387</v>
      </c>
      <c r="D7" s="4" t="s">
        <v>34</v>
      </c>
      <c r="E7" s="11" t="n">
        <f aca="false">IFERROR(E5/$B$5,0)</f>
        <v>0.44125</v>
      </c>
    </row>
    <row r="8" customFormat="false" ht="15" hidden="false" customHeight="true" outlineLevel="0" collapsed="false">
      <c r="A8" s="4" t="s">
        <v>35</v>
      </c>
      <c r="B8" s="3" t="n">
        <f aca="false">DATEDIF(B6,B7,"m")+1</f>
        <v>12</v>
      </c>
      <c r="D8" s="4" t="s">
        <v>36</v>
      </c>
      <c r="E8" s="9" t="n">
        <f aca="true">IFERROR(AVERAGE(OFFSET(D14,MAX(E4-3,0),0,MIN(E4,3),1)),0)</f>
        <v>221333.333333333</v>
      </c>
    </row>
    <row r="9" customFormat="false" ht="15" hidden="false" customHeight="true" outlineLevel="0" collapsed="false">
      <c r="A9" s="4" t="s">
        <v>37</v>
      </c>
      <c r="B9" s="9" t="n">
        <f aca="false">B5/B8</f>
        <v>200000</v>
      </c>
      <c r="D9" s="4" t="s">
        <v>38</v>
      </c>
      <c r="E9" s="3" t="n">
        <f aca="false">IFERROR(E6/E8,"—")</f>
        <v>6.05873493975904</v>
      </c>
    </row>
    <row r="10" customFormat="false" ht="15" hidden="false" customHeight="true" outlineLevel="0" collapsed="false">
      <c r="D10" s="4" t="s">
        <v>39</v>
      </c>
      <c r="E10" s="3" t="str">
        <f aca="false">IF(E4=0,"NO DATA YET",IF(E7&gt;(E4/$B$8)*1.1,"AT RISK — OVERRUNNING",IF(E7&lt;(E4/$B$8)*0.7,"AT RISK — UNDERRUNNING (option year risk)","ON TRACK")))</f>
        <v>ON TRACK</v>
      </c>
    </row>
    <row r="13" customFormat="false" ht="39" hidden="false" customHeight="true" outlineLevel="0" collapsed="false">
      <c r="A13" s="12" t="s">
        <v>40</v>
      </c>
      <c r="B13" s="12" t="s">
        <v>41</v>
      </c>
      <c r="C13" s="12" t="s">
        <v>42</v>
      </c>
      <c r="D13" s="12" t="s">
        <v>43</v>
      </c>
      <c r="E13" s="12" t="s">
        <v>44</v>
      </c>
      <c r="F13" s="12" t="s">
        <v>45</v>
      </c>
      <c r="G13" s="12" t="s">
        <v>46</v>
      </c>
      <c r="H13" s="12" t="s">
        <v>47</v>
      </c>
    </row>
    <row r="14" customFormat="false" ht="15" hidden="false" customHeight="true" outlineLevel="0" collapsed="false">
      <c r="A14" s="13" t="n">
        <v>1</v>
      </c>
      <c r="B14" s="14" t="n">
        <f aca="false">IF($A14&lt;=$B$8,EDATE($B$6,$A14-1),"")</f>
        <v>46023</v>
      </c>
      <c r="C14" s="15" t="n">
        <f aca="false">IF($A14&lt;=$B$8,$B$9*$A14,"")</f>
        <v>200000</v>
      </c>
      <c r="D14" s="16" t="n">
        <v>185000</v>
      </c>
      <c r="E14" s="15" t="n">
        <f aca="false">IF(SUM($D$14:D14)=0,"",SUM($D$14:D14))</f>
        <v>185000</v>
      </c>
      <c r="F14" s="17" t="n">
        <f aca="false">IF(OR(E14="",C14=""),"",E14-C14)</f>
        <v>-15000</v>
      </c>
      <c r="G14" s="18" t="n">
        <f aca="false">IF(OR(E14="",C14="",C14=0),"",F14/C14)</f>
        <v>-0.075</v>
      </c>
      <c r="H14" s="15" t="n">
        <f aca="false">IF(E14="","",$B$5-E14)</f>
        <v>2215000</v>
      </c>
    </row>
    <row r="15" customFormat="false" ht="15" hidden="false" customHeight="true" outlineLevel="0" collapsed="false">
      <c r="A15" s="19" t="n">
        <v>2</v>
      </c>
      <c r="B15" s="20" t="n">
        <f aca="false">IF($A15&lt;=$B$8,EDATE($B$6,$A15-1),"")</f>
        <v>46054</v>
      </c>
      <c r="C15" s="21" t="n">
        <f aca="false">IF($A15&lt;=$B$8,$B$9*$A15,"")</f>
        <v>400000</v>
      </c>
      <c r="D15" s="22" t="n">
        <v>210000</v>
      </c>
      <c r="E15" s="21" t="n">
        <f aca="false">IF(SUM($D$14:D15)=0,"",SUM($D$14:D15))</f>
        <v>395000</v>
      </c>
      <c r="F15" s="23" t="n">
        <f aca="false">IF(OR(E15="",C15=""),"",E15-C15)</f>
        <v>-5000</v>
      </c>
      <c r="G15" s="24" t="n">
        <f aca="false">IF(OR(E15="",C15="",C15=0),"",F15/C15)</f>
        <v>-0.0125</v>
      </c>
      <c r="H15" s="21" t="n">
        <f aca="false">IF(E15="","",$B$5-E15)</f>
        <v>2005000</v>
      </c>
    </row>
    <row r="16" customFormat="false" ht="15" hidden="false" customHeight="true" outlineLevel="0" collapsed="false">
      <c r="A16" s="13" t="n">
        <v>3</v>
      </c>
      <c r="B16" s="14" t="n">
        <f aca="false">IF($A16&lt;=$B$8,EDATE($B$6,$A16-1),"")</f>
        <v>46082</v>
      </c>
      <c r="C16" s="15" t="n">
        <f aca="false">IF($A16&lt;=$B$8,$B$9*$A16,"")</f>
        <v>600000</v>
      </c>
      <c r="D16" s="16" t="n">
        <v>198000</v>
      </c>
      <c r="E16" s="15" t="n">
        <f aca="false">IF(SUM($D$14:D16)=0,"",SUM($D$14:D16))</f>
        <v>593000</v>
      </c>
      <c r="F16" s="17" t="n">
        <f aca="false">IF(OR(E16="",C16=""),"",E16-C16)</f>
        <v>-7000</v>
      </c>
      <c r="G16" s="18" t="n">
        <f aca="false">IF(OR(E16="",C16="",C16=0),"",F16/C16)</f>
        <v>-0.0116666666666667</v>
      </c>
      <c r="H16" s="15" t="n">
        <f aca="false">IF(E16="","",$B$5-E16)</f>
        <v>1807000</v>
      </c>
    </row>
    <row r="17" customFormat="false" ht="15" hidden="false" customHeight="true" outlineLevel="0" collapsed="false">
      <c r="A17" s="19" t="n">
        <v>4</v>
      </c>
      <c r="B17" s="20" t="n">
        <f aca="false">IF($A17&lt;=$B$8,EDATE($B$6,$A17-1),"")</f>
        <v>46113</v>
      </c>
      <c r="C17" s="21" t="n">
        <f aca="false">IF($A17&lt;=$B$8,$B$9*$A17,"")</f>
        <v>800000</v>
      </c>
      <c r="D17" s="22" t="n">
        <v>240000</v>
      </c>
      <c r="E17" s="21" t="n">
        <f aca="false">IF(SUM($D$14:D17)=0,"",SUM($D$14:D17))</f>
        <v>833000</v>
      </c>
      <c r="F17" s="23" t="n">
        <f aca="false">IF(OR(E17="",C17=""),"",E17-C17)</f>
        <v>33000</v>
      </c>
      <c r="G17" s="24" t="n">
        <f aca="false">IF(OR(E17="",C17="",C17=0),"",F17/C17)</f>
        <v>0.04125</v>
      </c>
      <c r="H17" s="21" t="n">
        <f aca="false">IF(E17="","",$B$5-E17)</f>
        <v>1567000</v>
      </c>
    </row>
    <row r="18" customFormat="false" ht="15" hidden="false" customHeight="true" outlineLevel="0" collapsed="false">
      <c r="A18" s="13" t="n">
        <v>5</v>
      </c>
      <c r="B18" s="14" t="n">
        <f aca="false">IF($A18&lt;=$B$8,EDATE($B$6,$A18-1),"")</f>
        <v>46143</v>
      </c>
      <c r="C18" s="15" t="n">
        <f aca="false">IF($A18&lt;=$B$8,$B$9*$A18,"")</f>
        <v>1000000</v>
      </c>
      <c r="D18" s="16" t="n">
        <v>226000</v>
      </c>
      <c r="E18" s="15" t="n">
        <f aca="false">IF(SUM($D$14:D18)=0,"",SUM($D$14:D18))</f>
        <v>1059000</v>
      </c>
      <c r="F18" s="17" t="n">
        <f aca="false">IF(OR(E18="",C18=""),"",E18-C18)</f>
        <v>59000</v>
      </c>
      <c r="G18" s="18" t="n">
        <f aca="false">IF(OR(E18="",C18="",C18=0),"",F18/C18)</f>
        <v>0.059</v>
      </c>
      <c r="H18" s="15" t="n">
        <f aca="false">IF(E18="","",$B$5-E18)</f>
        <v>1341000</v>
      </c>
    </row>
    <row r="19" customFormat="false" ht="15" hidden="false" customHeight="true" outlineLevel="0" collapsed="false">
      <c r="A19" s="19" t="n">
        <v>6</v>
      </c>
      <c r="B19" s="20" t="n">
        <f aca="false">IF($A19&lt;=$B$8,EDATE($B$6,$A19-1),"")</f>
        <v>46174</v>
      </c>
      <c r="C19" s="21" t="n">
        <f aca="false">IF($A19&lt;=$B$8,$B$9*$A19,"")</f>
        <v>1200000</v>
      </c>
      <c r="D19" s="22"/>
      <c r="E19" s="21" t="n">
        <f aca="false">IF(SUM($D$14:D19)=0,"",SUM($D$14:D19))</f>
        <v>1059000</v>
      </c>
      <c r="F19" s="23" t="n">
        <f aca="false">IF(OR(E19="",C19=""),"",E19-C19)</f>
        <v>-141000</v>
      </c>
      <c r="G19" s="24" t="n">
        <f aca="false">IF(OR(E19="",C19="",C19=0),"",F19/C19)</f>
        <v>-0.1175</v>
      </c>
      <c r="H19" s="21" t="n">
        <f aca="false">IF(E19="","",$B$5-E19)</f>
        <v>1341000</v>
      </c>
    </row>
    <row r="20" customFormat="false" ht="15" hidden="false" customHeight="true" outlineLevel="0" collapsed="false">
      <c r="A20" s="13" t="n">
        <v>7</v>
      </c>
      <c r="B20" s="14" t="n">
        <f aca="false">IF($A20&lt;=$B$8,EDATE($B$6,$A20-1),"")</f>
        <v>46204</v>
      </c>
      <c r="C20" s="15" t="n">
        <f aca="false">IF($A20&lt;=$B$8,$B$9*$A20,"")</f>
        <v>1400000</v>
      </c>
      <c r="D20" s="16"/>
      <c r="E20" s="15" t="n">
        <f aca="false">IF(SUM($D$14:D20)=0,"",SUM($D$14:D20))</f>
        <v>1059000</v>
      </c>
      <c r="F20" s="17" t="n">
        <f aca="false">IF(OR(E20="",C20=""),"",E20-C20)</f>
        <v>-341000</v>
      </c>
      <c r="G20" s="18" t="n">
        <f aca="false">IF(OR(E20="",C20="",C20=0),"",F20/C20)</f>
        <v>-0.243571428571429</v>
      </c>
      <c r="H20" s="15" t="n">
        <f aca="false">IF(E20="","",$B$5-E20)</f>
        <v>1341000</v>
      </c>
    </row>
    <row r="21" customFormat="false" ht="15" hidden="false" customHeight="true" outlineLevel="0" collapsed="false">
      <c r="A21" s="19" t="n">
        <v>8</v>
      </c>
      <c r="B21" s="20" t="n">
        <f aca="false">IF($A21&lt;=$B$8,EDATE($B$6,$A21-1),"")</f>
        <v>46235</v>
      </c>
      <c r="C21" s="21" t="n">
        <f aca="false">IF($A21&lt;=$B$8,$B$9*$A21,"")</f>
        <v>1600000</v>
      </c>
      <c r="D21" s="22"/>
      <c r="E21" s="21" t="n">
        <f aca="false">IF(SUM($D$14:D21)=0,"",SUM($D$14:D21))</f>
        <v>1059000</v>
      </c>
      <c r="F21" s="23" t="n">
        <f aca="false">IF(OR(E21="",C21=""),"",E21-C21)</f>
        <v>-541000</v>
      </c>
      <c r="G21" s="24" t="n">
        <f aca="false">IF(OR(E21="",C21="",C21=0),"",F21/C21)</f>
        <v>-0.338125</v>
      </c>
      <c r="H21" s="21" t="n">
        <f aca="false">IF(E21="","",$B$5-E21)</f>
        <v>1341000</v>
      </c>
    </row>
    <row r="22" customFormat="false" ht="15" hidden="false" customHeight="true" outlineLevel="0" collapsed="false">
      <c r="A22" s="13" t="n">
        <v>9</v>
      </c>
      <c r="B22" s="14" t="n">
        <f aca="false">IF($A22&lt;=$B$8,EDATE($B$6,$A22-1),"")</f>
        <v>46266</v>
      </c>
      <c r="C22" s="15" t="n">
        <f aca="false">IF($A22&lt;=$B$8,$B$9*$A22,"")</f>
        <v>1800000</v>
      </c>
      <c r="D22" s="16"/>
      <c r="E22" s="15" t="n">
        <f aca="false">IF(SUM($D$14:D22)=0,"",SUM($D$14:D22))</f>
        <v>1059000</v>
      </c>
      <c r="F22" s="17" t="n">
        <f aca="false">IF(OR(E22="",C22=""),"",E22-C22)</f>
        <v>-741000</v>
      </c>
      <c r="G22" s="18" t="n">
        <f aca="false">IF(OR(E22="",C22="",C22=0),"",F22/C22)</f>
        <v>-0.411666666666667</v>
      </c>
      <c r="H22" s="15" t="n">
        <f aca="false">IF(E22="","",$B$5-E22)</f>
        <v>1341000</v>
      </c>
    </row>
    <row r="23" customFormat="false" ht="15" hidden="false" customHeight="true" outlineLevel="0" collapsed="false">
      <c r="A23" s="19" t="n">
        <v>10</v>
      </c>
      <c r="B23" s="20" t="n">
        <f aca="false">IF($A23&lt;=$B$8,EDATE($B$6,$A23-1),"")</f>
        <v>46296</v>
      </c>
      <c r="C23" s="21" t="n">
        <f aca="false">IF($A23&lt;=$B$8,$B$9*$A23,"")</f>
        <v>2000000</v>
      </c>
      <c r="D23" s="22"/>
      <c r="E23" s="21" t="n">
        <f aca="false">IF(SUM($D$14:D23)=0,"",SUM($D$14:D23))</f>
        <v>1059000</v>
      </c>
      <c r="F23" s="23" t="n">
        <f aca="false">IF(OR(E23="",C23=""),"",E23-C23)</f>
        <v>-941000</v>
      </c>
      <c r="G23" s="24" t="n">
        <f aca="false">IF(OR(E23="",C23="",C23=0),"",F23/C23)</f>
        <v>-0.4705</v>
      </c>
      <c r="H23" s="21" t="n">
        <f aca="false">IF(E23="","",$B$5-E23)</f>
        <v>1341000</v>
      </c>
    </row>
    <row r="24" customFormat="false" ht="15" hidden="false" customHeight="true" outlineLevel="0" collapsed="false">
      <c r="A24" s="13" t="n">
        <v>11</v>
      </c>
      <c r="B24" s="14" t="n">
        <f aca="false">IF($A24&lt;=$B$8,EDATE($B$6,$A24-1),"")</f>
        <v>46327</v>
      </c>
      <c r="C24" s="15" t="n">
        <f aca="false">IF($A24&lt;=$B$8,$B$9*$A24,"")</f>
        <v>2200000</v>
      </c>
      <c r="D24" s="16"/>
      <c r="E24" s="15" t="n">
        <f aca="false">IF(SUM($D$14:D24)=0,"",SUM($D$14:D24))</f>
        <v>1059000</v>
      </c>
      <c r="F24" s="17" t="n">
        <f aca="false">IF(OR(E24="",C24=""),"",E24-C24)</f>
        <v>-1141000</v>
      </c>
      <c r="G24" s="18" t="n">
        <f aca="false">IF(OR(E24="",C24="",C24=0),"",F24/C24)</f>
        <v>-0.518636363636364</v>
      </c>
      <c r="H24" s="15" t="n">
        <f aca="false">IF(E24="","",$B$5-E24)</f>
        <v>1341000</v>
      </c>
    </row>
    <row r="25" customFormat="false" ht="15" hidden="false" customHeight="true" outlineLevel="0" collapsed="false">
      <c r="A25" s="19" t="n">
        <v>12</v>
      </c>
      <c r="B25" s="20" t="n">
        <f aca="false">IF($A25&lt;=$B$8,EDATE($B$6,$A25-1),"")</f>
        <v>46357</v>
      </c>
      <c r="C25" s="21" t="n">
        <f aca="false">IF($A25&lt;=$B$8,$B$9*$A25,"")</f>
        <v>2400000</v>
      </c>
      <c r="D25" s="22"/>
      <c r="E25" s="21" t="n">
        <f aca="false">IF(SUM($D$14:D25)=0,"",SUM($D$14:D25))</f>
        <v>1059000</v>
      </c>
      <c r="F25" s="23" t="n">
        <f aca="false">IF(OR(E25="",C25=""),"",E25-C25)</f>
        <v>-1341000</v>
      </c>
      <c r="G25" s="24" t="n">
        <f aca="false">IF(OR(E25="",C25="",C25=0),"",F25/C25)</f>
        <v>-0.55875</v>
      </c>
      <c r="H25" s="21" t="n">
        <f aca="false">IF(E25="","",$B$5-E25)</f>
        <v>1341000</v>
      </c>
    </row>
    <row r="26" customFormat="false" ht="15" hidden="false" customHeight="true" outlineLevel="0" collapsed="false">
      <c r="A26" s="13" t="n">
        <v>13</v>
      </c>
      <c r="B26" s="14" t="str">
        <f aca="false">IF($A26&lt;=$B$8,EDATE($B$6,$A26-1),"")</f>
        <v/>
      </c>
      <c r="C26" s="15" t="str">
        <f aca="false">IF($A26&lt;=$B$8,$B$9*$A26,"")</f>
        <v/>
      </c>
      <c r="D26" s="16"/>
      <c r="E26" s="15" t="n">
        <f aca="false">IF(SUM($D$14:D26)=0,"",SUM($D$14:D26))</f>
        <v>1059000</v>
      </c>
      <c r="F26" s="17" t="str">
        <f aca="false">IF(OR(E26="",C26=""),"",E26-C26)</f>
        <v/>
      </c>
      <c r="G26" s="18" t="str">
        <f aca="false">IF(OR(E26="",C26="",C26=0),"",F26/C26)</f>
        <v/>
      </c>
      <c r="H26" s="15" t="n">
        <f aca="false">IF(E26="","",$B$5-E26)</f>
        <v>1341000</v>
      </c>
    </row>
    <row r="27" customFormat="false" ht="15" hidden="false" customHeight="true" outlineLevel="0" collapsed="false">
      <c r="A27" s="19" t="n">
        <v>14</v>
      </c>
      <c r="B27" s="20" t="str">
        <f aca="false">IF($A27&lt;=$B$8,EDATE($B$6,$A27-1),"")</f>
        <v/>
      </c>
      <c r="C27" s="21" t="str">
        <f aca="false">IF($A27&lt;=$B$8,$B$9*$A27,"")</f>
        <v/>
      </c>
      <c r="D27" s="22"/>
      <c r="E27" s="21" t="n">
        <f aca="false">IF(SUM($D$14:D27)=0,"",SUM($D$14:D27))</f>
        <v>1059000</v>
      </c>
      <c r="F27" s="23" t="str">
        <f aca="false">IF(OR(E27="",C27=""),"",E27-C27)</f>
        <v/>
      </c>
      <c r="G27" s="24" t="str">
        <f aca="false">IF(OR(E27="",C27="",C27=0),"",F27/C27)</f>
        <v/>
      </c>
      <c r="H27" s="21" t="n">
        <f aca="false">IF(E27="","",$B$5-E27)</f>
        <v>1341000</v>
      </c>
    </row>
    <row r="28" customFormat="false" ht="15" hidden="false" customHeight="true" outlineLevel="0" collapsed="false">
      <c r="A28" s="13" t="n">
        <v>15</v>
      </c>
      <c r="B28" s="14" t="str">
        <f aca="false">IF($A28&lt;=$B$8,EDATE($B$6,$A28-1),"")</f>
        <v/>
      </c>
      <c r="C28" s="15" t="str">
        <f aca="false">IF($A28&lt;=$B$8,$B$9*$A28,"")</f>
        <v/>
      </c>
      <c r="D28" s="16"/>
      <c r="E28" s="15" t="n">
        <f aca="false">IF(SUM($D$14:D28)=0,"",SUM($D$14:D28))</f>
        <v>1059000</v>
      </c>
      <c r="F28" s="17" t="str">
        <f aca="false">IF(OR(E28="",C28=""),"",E28-C28)</f>
        <v/>
      </c>
      <c r="G28" s="18" t="str">
        <f aca="false">IF(OR(E28="",C28="",C28=0),"",F28/C28)</f>
        <v/>
      </c>
      <c r="H28" s="15" t="n">
        <f aca="false">IF(E28="","",$B$5-E28)</f>
        <v>1341000</v>
      </c>
    </row>
    <row r="29" customFormat="false" ht="15" hidden="false" customHeight="true" outlineLevel="0" collapsed="false">
      <c r="A29" s="19" t="n">
        <v>16</v>
      </c>
      <c r="B29" s="20" t="str">
        <f aca="false">IF($A29&lt;=$B$8,EDATE($B$6,$A29-1),"")</f>
        <v/>
      </c>
      <c r="C29" s="21" t="str">
        <f aca="false">IF($A29&lt;=$B$8,$B$9*$A29,"")</f>
        <v/>
      </c>
      <c r="D29" s="22"/>
      <c r="E29" s="21" t="n">
        <f aca="false">IF(SUM($D$14:D29)=0,"",SUM($D$14:D29))</f>
        <v>1059000</v>
      </c>
      <c r="F29" s="23" t="str">
        <f aca="false">IF(OR(E29="",C29=""),"",E29-C29)</f>
        <v/>
      </c>
      <c r="G29" s="24" t="str">
        <f aca="false">IF(OR(E29="",C29="",C29=0),"",F29/C29)</f>
        <v/>
      </c>
      <c r="H29" s="21" t="n">
        <f aca="false">IF(E29="","",$B$5-E29)</f>
        <v>1341000</v>
      </c>
    </row>
    <row r="30" customFormat="false" ht="15" hidden="false" customHeight="true" outlineLevel="0" collapsed="false">
      <c r="A30" s="13" t="n">
        <v>17</v>
      </c>
      <c r="B30" s="14" t="str">
        <f aca="false">IF($A30&lt;=$B$8,EDATE($B$6,$A30-1),"")</f>
        <v/>
      </c>
      <c r="C30" s="15" t="str">
        <f aca="false">IF($A30&lt;=$B$8,$B$9*$A30,"")</f>
        <v/>
      </c>
      <c r="D30" s="16"/>
      <c r="E30" s="15" t="n">
        <f aca="false">IF(SUM($D$14:D30)=0,"",SUM($D$14:D30))</f>
        <v>1059000</v>
      </c>
      <c r="F30" s="17" t="str">
        <f aca="false">IF(OR(E30="",C30=""),"",E30-C30)</f>
        <v/>
      </c>
      <c r="G30" s="18" t="str">
        <f aca="false">IF(OR(E30="",C30="",C30=0),"",F30/C30)</f>
        <v/>
      </c>
      <c r="H30" s="15" t="n">
        <f aca="false">IF(E30="","",$B$5-E30)</f>
        <v>1341000</v>
      </c>
    </row>
    <row r="31" customFormat="false" ht="15" hidden="false" customHeight="true" outlineLevel="0" collapsed="false">
      <c r="A31" s="19" t="n">
        <v>18</v>
      </c>
      <c r="B31" s="20" t="str">
        <f aca="false">IF($A31&lt;=$B$8,EDATE($B$6,$A31-1),"")</f>
        <v/>
      </c>
      <c r="C31" s="21" t="str">
        <f aca="false">IF($A31&lt;=$B$8,$B$9*$A31,"")</f>
        <v/>
      </c>
      <c r="D31" s="22"/>
      <c r="E31" s="21" t="n">
        <f aca="false">IF(SUM($D$14:D31)=0,"",SUM($D$14:D31))</f>
        <v>1059000</v>
      </c>
      <c r="F31" s="23" t="str">
        <f aca="false">IF(OR(E31="",C31=""),"",E31-C31)</f>
        <v/>
      </c>
      <c r="G31" s="24" t="str">
        <f aca="false">IF(OR(E31="",C31="",C31=0),"",F31/C31)</f>
        <v/>
      </c>
      <c r="H31" s="21" t="n">
        <f aca="false">IF(E31="","",$B$5-E31)</f>
        <v>1341000</v>
      </c>
    </row>
    <row r="32" customFormat="false" ht="15" hidden="false" customHeight="true" outlineLevel="0" collapsed="false">
      <c r="A32" s="13" t="n">
        <v>19</v>
      </c>
      <c r="B32" s="14" t="str">
        <f aca="false">IF($A32&lt;=$B$8,EDATE($B$6,$A32-1),"")</f>
        <v/>
      </c>
      <c r="C32" s="15" t="str">
        <f aca="false">IF($A32&lt;=$B$8,$B$9*$A32,"")</f>
        <v/>
      </c>
      <c r="D32" s="16"/>
      <c r="E32" s="15" t="n">
        <f aca="false">IF(SUM($D$14:D32)=0,"",SUM($D$14:D32))</f>
        <v>1059000</v>
      </c>
      <c r="F32" s="17" t="str">
        <f aca="false">IF(OR(E32="",C32=""),"",E32-C32)</f>
        <v/>
      </c>
      <c r="G32" s="18" t="str">
        <f aca="false">IF(OR(E32="",C32="",C32=0),"",F32/C32)</f>
        <v/>
      </c>
      <c r="H32" s="15" t="n">
        <f aca="false">IF(E32="","",$B$5-E32)</f>
        <v>1341000</v>
      </c>
    </row>
    <row r="33" customFormat="false" ht="15" hidden="false" customHeight="true" outlineLevel="0" collapsed="false">
      <c r="A33" s="19" t="n">
        <v>20</v>
      </c>
      <c r="B33" s="20" t="str">
        <f aca="false">IF($A33&lt;=$B$8,EDATE($B$6,$A33-1),"")</f>
        <v/>
      </c>
      <c r="C33" s="21" t="str">
        <f aca="false">IF($A33&lt;=$B$8,$B$9*$A33,"")</f>
        <v/>
      </c>
      <c r="D33" s="22"/>
      <c r="E33" s="21" t="n">
        <f aca="false">IF(SUM($D$14:D33)=0,"",SUM($D$14:D33))</f>
        <v>1059000</v>
      </c>
      <c r="F33" s="23" t="str">
        <f aca="false">IF(OR(E33="",C33=""),"",E33-C33)</f>
        <v/>
      </c>
      <c r="G33" s="24" t="str">
        <f aca="false">IF(OR(E33="",C33="",C33=0),"",F33/C33)</f>
        <v/>
      </c>
      <c r="H33" s="21" t="n">
        <f aca="false">IF(E33="","",$B$5-E33)</f>
        <v>1341000</v>
      </c>
    </row>
    <row r="34" customFormat="false" ht="15" hidden="false" customHeight="true" outlineLevel="0" collapsed="false">
      <c r="A34" s="13" t="n">
        <v>21</v>
      </c>
      <c r="B34" s="14" t="str">
        <f aca="false">IF($A34&lt;=$B$8,EDATE($B$6,$A34-1),"")</f>
        <v/>
      </c>
      <c r="C34" s="15" t="str">
        <f aca="false">IF($A34&lt;=$B$8,$B$9*$A34,"")</f>
        <v/>
      </c>
      <c r="D34" s="16"/>
      <c r="E34" s="15" t="n">
        <f aca="false">IF(SUM($D$14:D34)=0,"",SUM($D$14:D34))</f>
        <v>1059000</v>
      </c>
      <c r="F34" s="17" t="str">
        <f aca="false">IF(OR(E34="",C34=""),"",E34-C34)</f>
        <v/>
      </c>
      <c r="G34" s="18" t="str">
        <f aca="false">IF(OR(E34="",C34="",C34=0),"",F34/C34)</f>
        <v/>
      </c>
      <c r="H34" s="15" t="n">
        <f aca="false">IF(E34="","",$B$5-E34)</f>
        <v>1341000</v>
      </c>
    </row>
    <row r="35" customFormat="false" ht="15" hidden="false" customHeight="true" outlineLevel="0" collapsed="false">
      <c r="A35" s="19" t="n">
        <v>22</v>
      </c>
      <c r="B35" s="20" t="str">
        <f aca="false">IF($A35&lt;=$B$8,EDATE($B$6,$A35-1),"")</f>
        <v/>
      </c>
      <c r="C35" s="21" t="str">
        <f aca="false">IF($A35&lt;=$B$8,$B$9*$A35,"")</f>
        <v/>
      </c>
      <c r="D35" s="22"/>
      <c r="E35" s="21" t="n">
        <f aca="false">IF(SUM($D$14:D35)=0,"",SUM($D$14:D35))</f>
        <v>1059000</v>
      </c>
      <c r="F35" s="23" t="str">
        <f aca="false">IF(OR(E35="",C35=""),"",E35-C35)</f>
        <v/>
      </c>
      <c r="G35" s="24" t="str">
        <f aca="false">IF(OR(E35="",C35="",C35=0),"",F35/C35)</f>
        <v/>
      </c>
      <c r="H35" s="21" t="n">
        <f aca="false">IF(E35="","",$B$5-E35)</f>
        <v>1341000</v>
      </c>
    </row>
    <row r="36" customFormat="false" ht="15" hidden="false" customHeight="true" outlineLevel="0" collapsed="false">
      <c r="A36" s="13" t="n">
        <v>23</v>
      </c>
      <c r="B36" s="14" t="str">
        <f aca="false">IF($A36&lt;=$B$8,EDATE($B$6,$A36-1),"")</f>
        <v/>
      </c>
      <c r="C36" s="15" t="str">
        <f aca="false">IF($A36&lt;=$B$8,$B$9*$A36,"")</f>
        <v/>
      </c>
      <c r="D36" s="16"/>
      <c r="E36" s="15" t="n">
        <f aca="false">IF(SUM($D$14:D36)=0,"",SUM($D$14:D36))</f>
        <v>1059000</v>
      </c>
      <c r="F36" s="17" t="str">
        <f aca="false">IF(OR(E36="",C36=""),"",E36-C36)</f>
        <v/>
      </c>
      <c r="G36" s="18" t="str">
        <f aca="false">IF(OR(E36="",C36="",C36=0),"",F36/C36)</f>
        <v/>
      </c>
      <c r="H36" s="15" t="n">
        <f aca="false">IF(E36="","",$B$5-E36)</f>
        <v>1341000</v>
      </c>
    </row>
    <row r="37" customFormat="false" ht="15" hidden="false" customHeight="true" outlineLevel="0" collapsed="false">
      <c r="A37" s="19" t="n">
        <v>24</v>
      </c>
      <c r="B37" s="20" t="str">
        <f aca="false">IF($A37&lt;=$B$8,EDATE($B$6,$A37-1),"")</f>
        <v/>
      </c>
      <c r="C37" s="21" t="str">
        <f aca="false">IF($A37&lt;=$B$8,$B$9*$A37,"")</f>
        <v/>
      </c>
      <c r="D37" s="22"/>
      <c r="E37" s="21" t="n">
        <f aca="false">IF(SUM($D$14:D37)=0,"",SUM($D$14:D37))</f>
        <v>1059000</v>
      </c>
      <c r="F37" s="23" t="str">
        <f aca="false">IF(OR(E37="",C37=""),"",E37-C37)</f>
        <v/>
      </c>
      <c r="G37" s="24" t="str">
        <f aca="false">IF(OR(E37="",C37="",C37=0),"",F37/C37)</f>
        <v/>
      </c>
      <c r="H37" s="21" t="n">
        <f aca="false">IF(E37="","",$B$5-E37)</f>
        <v>1341000</v>
      </c>
    </row>
  </sheetData>
  <mergeCells count="2">
    <mergeCell ref="A1:J1"/>
    <mergeCell ref="D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2026-08-12T08:46:40Z</dcterms:created>
  <dc:creator>openpyxl</dc:creator>
  <dc:description/>
  <dc:language>en-US</dc:language>
  <cp:lastModifiedBy/>
  <dcterms:modified xsi:type="dcterms:W3CDTF">2026-08-12T08:47:27Z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