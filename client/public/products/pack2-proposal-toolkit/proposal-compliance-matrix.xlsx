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liance Matrix" sheetId="1" state="visible" r:id="rId1"/>
    <sheet xmlns:r="http://schemas.openxmlformats.org/officeDocument/2006/relationships" name="Instruc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D1B2A"/>
      <sz val="16"/>
    </font>
    <font>
      <name val="Calibri"/>
      <charset val="1"/>
      <family val="0"/>
      <color rgb="FF01696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437A22"/>
      <sz val="11"/>
    </font>
    <font>
      <name val="Calibri"/>
      <charset val="1"/>
      <family val="0"/>
      <b val="1"/>
      <color rgb="FF964219"/>
      <sz val="11"/>
    </font>
    <font>
      <name val="Calibri"/>
      <charset val="1"/>
      <family val="0"/>
      <b val="1"/>
      <color rgb="FFA12C7B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01696F"/>
      <sz val="12"/>
    </font>
    <font>
      <b val="1"/>
      <color rgb="FF6B7280"/>
      <sz val="9"/>
    </font>
    <font>
      <b val="1"/>
      <color rgb="0001696F"/>
      <sz val="12"/>
    </font>
    <font>
      <b val="1"/>
      <color rgb="FF0D1B2A"/>
      <sz val="12"/>
    </font>
    <font>
      <i val="1"/>
      <color rgb="FF6B7280"/>
      <sz val="8"/>
    </font>
    <font>
      <b val="1"/>
      <color rgb="FFFFFFFF"/>
      <sz val="10"/>
    </font>
    <font>
      <b val="1"/>
      <color rgb="FFFFFFFF"/>
    </font>
    <font>
      <b val="1"/>
      <color rgb="FF0D1B2A"/>
      <sz val="11"/>
    </font>
    <font>
      <i val="1"/>
      <color rgb="FF6B7280"/>
      <sz val="9"/>
    </font>
  </fonts>
  <fills count="6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0F2F3"/>
        <bgColor rgb="FFE0E0E0"/>
      </patternFill>
    </fill>
    <fill>
      <patternFill patternType="solid">
        <fgColor rgb="FF01696F"/>
        <bgColor rgb="FF008080"/>
      </patternFill>
    </fill>
    <fill>
      <patternFill patternType="solid">
        <fgColor rgb="FF0D1B2A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3" fillId="0" borderId="0" pivotButton="0" quotePrefix="0" xfId="0"/>
    <xf numFmtId="9" fontId="14" fillId="0" borderId="0" pivotButton="0" quotePrefix="0" xfId="0"/>
    <xf numFmtId="0" fontId="15" fillId="0" borderId="0" pivotButton="0" quotePrefix="0" xfId="0"/>
    <xf numFmtId="0" fontId="0" fillId="0" borderId="2" pivotButton="0" quotePrefix="0" xfId="0"/>
    <xf numFmtId="0" fontId="16" fillId="0" borderId="0" pivotButton="0" quotePrefix="0" xfId="0"/>
    <xf numFmtId="0" fontId="17" fillId="5" borderId="2" applyAlignment="1" pivotButton="0" quotePrefix="0" xfId="0">
      <alignment vertical="center" wrapText="1"/>
    </xf>
    <xf numFmtId="0" fontId="18" fillId="5" borderId="0" pivotButton="0" quotePrefix="0" xfId="0"/>
    <xf numFmtId="0" fontId="19" fillId="0" borderId="0" pivotButton="0" quotePrefix="0" xfId="0"/>
    <xf numFmtId="0" fontId="20" fillId="0" borderId="0" pivotButton="0" quotePrefix="0" xfId="0"/>
    <xf numFmtId="1" fontId="11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6500"/>
        <sz val="11"/>
      </font>
      <fill>
        <patternFill>
          <bgColor rgb="FFFFEB9C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666666"/>
        <sz val="11"/>
      </font>
      <fill>
        <patternFill>
          <bgColor rgb="FFE0E0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1696F"/>
      <rgbColor rgb="FFD4D1CA"/>
      <rgbColor rgb="FF808080"/>
      <rgbColor rgb="FF9999FF"/>
      <rgbColor rgb="FFA12C7B"/>
      <rgbColor rgb="FFFFFFCC"/>
      <rgbColor rgb="FFE0F2F3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37A22"/>
      <rgbColor rgb="FF0D1B2A"/>
      <rgbColor rgb="FF333300"/>
      <rgbColor rgb="FF964219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Status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'Compliance Matrix'!$B$42:$B$45</f>
            </numRef>
          </cat>
          <val>
            <numRef>
              <f>'Compliance Matrix'!$C$42:$C$45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7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1696F"/>
    <outlinePr summaryBelow="1" summaryRight="1"/>
    <pageSetUpPr fitToPage="0"/>
  </sheetPr>
  <dimension ref="B2:P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3" customWidth="1" style="18" min="1" max="1"/>
    <col width="5" customWidth="1" style="18" min="2" max="2"/>
    <col width="14" customWidth="1" style="18" min="3" max="3"/>
    <col width="50" customWidth="1" style="18" min="4" max="4"/>
    <col width="14" customWidth="1" style="18" min="5" max="5"/>
    <col width="10" customWidth="1" style="18" min="6" max="6"/>
    <col width="16" customWidth="1" style="18" min="7" max="9"/>
    <col width="20" customWidth="1" style="18" min="10" max="10"/>
    <col width="14" customWidth="1" style="18" min="11" max="11"/>
    <col width="25" customWidth="1" style="18" min="12" max="12"/>
  </cols>
  <sheetData>
    <row r="2" ht="19.7" customHeight="1" s="19">
      <c r="B2" s="20" t="inlineStr">
        <is>
          <t>PROPOSAL COMPLIANCE MATRIX</t>
        </is>
      </c>
    </row>
    <row r="3" ht="15" customHeight="1" s="19">
      <c r="B3" s="21" t="inlineStr">
        <is>
          <t>Acqlerate — Defense Acquisitions Academy</t>
        </is>
      </c>
    </row>
    <row r="5" ht="15" customHeight="1" s="19">
      <c r="B5" s="22" t="inlineStr">
        <is>
          <t>SUMMARY</t>
        </is>
      </c>
      <c r="D5" s="23" t="inlineStr">
        <is>
          <t>Total Items:</t>
        </is>
      </c>
      <c r="E5" s="24">
        <f>COUNTA(B9:B38)</f>
        <v/>
      </c>
      <c r="F5" s="25" t="inlineStr">
        <is>
          <t>Compliant:</t>
        </is>
      </c>
      <c r="G5" s="24">
        <f>COUNTIF(I9:I38,"Compliant")</f>
        <v/>
      </c>
      <c r="H5" s="26" t="inlineStr">
        <is>
          <t>Partial:</t>
        </is>
      </c>
      <c r="I5" s="24">
        <f>COUNTIF(I9:I38,"Partial")</f>
        <v/>
      </c>
      <c r="J5" s="27" t="inlineStr">
        <is>
          <t>Non-Compliant:</t>
        </is>
      </c>
      <c r="K5" s="24">
        <f>COUNTIF(I9:I38,"Non-Compliant")</f>
        <v/>
      </c>
      <c r="L5" s="23" t="inlineStr">
        <is>
          <t>Not Started:</t>
        </is>
      </c>
      <c r="M5" s="24">
        <f>COUNTIF(I9:I38,"Not Started")</f>
        <v/>
      </c>
      <c r="O5" s="36" t="inlineStr">
        <is>
          <t>% Complete:</t>
        </is>
      </c>
      <c r="P5" s="37">
        <f>IF(E5&gt;0,G5/E5,0)</f>
        <v/>
      </c>
    </row>
    <row r="8" ht="36" customHeight="1" s="19">
      <c r="B8" s="28" t="inlineStr">
        <is>
          <t>Item #</t>
        </is>
      </c>
      <c r="C8" s="28" t="inlineStr">
        <is>
          <t>Section L Ref</t>
        </is>
      </c>
      <c r="D8" s="28" t="inlineStr">
        <is>
          <t>Requirement</t>
        </is>
      </c>
      <c r="E8" s="28" t="inlineStr">
        <is>
          <t>Volume
(I/II/III/IV/V)</t>
        </is>
      </c>
      <c r="F8" s="28" t="inlineStr">
        <is>
          <t>Page Limit</t>
        </is>
      </c>
      <c r="G8" s="28" t="inlineStr">
        <is>
          <t>Applies To
(Prime/Sub/Both)</t>
        </is>
      </c>
      <c r="H8" s="28" t="inlineStr">
        <is>
          <t>Required Format</t>
        </is>
      </c>
      <c r="I8" s="28" t="inlineStr">
        <is>
          <t>Compliance Status</t>
        </is>
      </c>
      <c r="J8" s="28" t="inlineStr">
        <is>
          <t>Location in Proposal</t>
        </is>
      </c>
      <c r="K8" s="28" t="inlineStr">
        <is>
          <t>Reviewer</t>
        </is>
      </c>
      <c r="L8" s="28" t="inlineStr">
        <is>
          <t>Notes</t>
        </is>
      </c>
    </row>
    <row r="9" ht="15" customHeight="1" s="19">
      <c r="B9" s="29" t="n">
        <v>1</v>
      </c>
      <c r="C9" s="30" t="inlineStr">
        <is>
          <t>L.5.1.1</t>
        </is>
      </c>
      <c r="D9" s="31" t="inlineStr">
        <is>
          <t>Cover Sheet / Title Page per RFP format</t>
        </is>
      </c>
      <c r="E9" s="32" t="inlineStr">
        <is>
          <t>V - Admin</t>
        </is>
      </c>
      <c r="F9" s="45" t="n">
        <v>1</v>
      </c>
      <c r="G9" s="32" t="inlineStr">
        <is>
          <t>Prime</t>
        </is>
      </c>
      <c r="H9" s="32" t="inlineStr">
        <is>
          <t>PDF</t>
        </is>
      </c>
      <c r="I9" s="32" t="inlineStr">
        <is>
          <t>Not Started</t>
        </is>
      </c>
      <c r="J9" s="30" t="n"/>
      <c r="K9" s="30" t="n"/>
      <c r="L9" s="30" t="inlineStr">
        <is>
          <t>Include CAGE code, UEI, contract #</t>
        </is>
      </c>
    </row>
    <row r="10" ht="15" customHeight="1" s="19">
      <c r="B10" s="29" t="n">
        <v>2</v>
      </c>
      <c r="C10" s="30" t="inlineStr">
        <is>
          <t>L.5.1.2</t>
        </is>
      </c>
      <c r="D10" s="31" t="inlineStr">
        <is>
          <t>Table of Contents with page references</t>
        </is>
      </c>
      <c r="E10" s="32" t="inlineStr">
        <is>
          <t>V - Admin</t>
        </is>
      </c>
      <c r="F10" s="45" t="n">
        <v>2</v>
      </c>
      <c r="G10" s="32" t="inlineStr">
        <is>
          <t>Prime</t>
        </is>
      </c>
      <c r="H10" s="32" t="inlineStr">
        <is>
          <t>PDF</t>
        </is>
      </c>
      <c r="I10" s="32" t="inlineStr">
        <is>
          <t>Not Started</t>
        </is>
      </c>
      <c r="J10" s="30" t="n"/>
      <c r="K10" s="30" t="n"/>
      <c r="L10" s="30" t="inlineStr">
        <is>
          <t>Must match volume structure</t>
        </is>
      </c>
    </row>
    <row r="11" ht="28.35" customHeight="1" s="19">
      <c r="B11" s="29" t="n">
        <v>3</v>
      </c>
      <c r="C11" s="30" t="inlineStr">
        <is>
          <t>L.5.1.3</t>
        </is>
      </c>
      <c r="D11" s="31" t="inlineStr">
        <is>
          <t>Executive Summary — overview of approach &amp; capabilities</t>
        </is>
      </c>
      <c r="E11" s="32" t="inlineStr">
        <is>
          <t>I - Technical</t>
        </is>
      </c>
      <c r="F11" s="45" t="n">
        <v>3</v>
      </c>
      <c r="G11" s="32" t="inlineStr">
        <is>
          <t>Prime</t>
        </is>
      </c>
      <c r="H11" s="32" t="inlineStr">
        <is>
          <t>PDF</t>
        </is>
      </c>
      <c r="I11" s="32" t="inlineStr">
        <is>
          <t>Not Started</t>
        </is>
      </c>
      <c r="J11" s="30" t="n"/>
      <c r="K11" s="30" t="n"/>
      <c r="L11" s="30" t="inlineStr">
        <is>
          <t>Highlight win themes; keep non-technical</t>
        </is>
      </c>
    </row>
    <row r="12" ht="28.35" customHeight="1" s="19">
      <c r="B12" s="29" t="n">
        <v>4</v>
      </c>
      <c r="C12" s="30" t="inlineStr">
        <is>
          <t>L.5.2.1</t>
        </is>
      </c>
      <c r="D12" s="31" t="inlineStr">
        <is>
          <t>Technical Approach — overview of methodology and framework</t>
        </is>
      </c>
      <c r="E12" s="32" t="inlineStr">
        <is>
          <t>I - Technical</t>
        </is>
      </c>
      <c r="F12" s="45" t="n">
        <v>10</v>
      </c>
      <c r="G12" s="32" t="inlineStr">
        <is>
          <t>Both</t>
        </is>
      </c>
      <c r="H12" s="32" t="inlineStr">
        <is>
          <t>PDF</t>
        </is>
      </c>
      <c r="I12" s="32" t="inlineStr">
        <is>
          <t>Not Started</t>
        </is>
      </c>
      <c r="J12" s="30" t="n"/>
      <c r="K12" s="30" t="n"/>
      <c r="L12" s="30" t="inlineStr">
        <is>
          <t>Address all SOW tasks</t>
        </is>
      </c>
    </row>
    <row r="13" ht="28.35" customHeight="1" s="19">
      <c r="B13" s="29" t="n">
        <v>5</v>
      </c>
      <c r="C13" s="30" t="inlineStr">
        <is>
          <t>L.5.2.2</t>
        </is>
      </c>
      <c r="D13" s="31" t="inlineStr">
        <is>
          <t>Technical Approach — innovation &amp; emerging technology integration</t>
        </is>
      </c>
      <c r="E13" s="32" t="inlineStr">
        <is>
          <t>I - Technical</t>
        </is>
      </c>
      <c r="F13" s="45" t="n">
        <v>5</v>
      </c>
      <c r="G13" s="32" t="inlineStr">
        <is>
          <t>Prime</t>
        </is>
      </c>
      <c r="H13" s="32" t="inlineStr">
        <is>
          <t>PDF</t>
        </is>
      </c>
      <c r="I13" s="32" t="inlineStr">
        <is>
          <t>Not Started</t>
        </is>
      </c>
      <c r="J13" s="30" t="n"/>
      <c r="K13" s="30" t="n"/>
      <c r="L13" s="30" t="inlineStr">
        <is>
          <t>Tie to M Factor: Innovation (15%)</t>
        </is>
      </c>
    </row>
    <row r="14" ht="28.35" customHeight="1" s="19">
      <c r="B14" s="29" t="n">
        <v>6</v>
      </c>
      <c r="C14" s="30" t="inlineStr">
        <is>
          <t>L.5.2.3</t>
        </is>
      </c>
      <c r="D14" s="31" t="inlineStr">
        <is>
          <t>Technical Approach — risk identification &amp; mitigation strategy</t>
        </is>
      </c>
      <c r="E14" s="32" t="inlineStr">
        <is>
          <t>I - Technical</t>
        </is>
      </c>
      <c r="F14" s="45" t="n">
        <v>5</v>
      </c>
      <c r="G14" s="32" t="inlineStr">
        <is>
          <t>Both</t>
        </is>
      </c>
      <c r="H14" s="32" t="inlineStr">
        <is>
          <t>PDF</t>
        </is>
      </c>
      <c r="I14" s="32" t="inlineStr">
        <is>
          <t>Not Started</t>
        </is>
      </c>
      <c r="J14" s="30" t="n"/>
      <c r="K14" s="30" t="n"/>
      <c r="L14" s="30" t="inlineStr">
        <is>
          <t>Include risk register excerpt</t>
        </is>
      </c>
    </row>
    <row r="15" ht="15" customHeight="1" s="19">
      <c r="B15" s="29" t="n">
        <v>7</v>
      </c>
      <c r="C15" s="30" t="inlineStr">
        <is>
          <t>L.5.2.4</t>
        </is>
      </c>
      <c r="D15" s="31" t="inlineStr">
        <is>
          <t>Technical Approach — schedule &amp; milestone plan</t>
        </is>
      </c>
      <c r="E15" s="32" t="inlineStr">
        <is>
          <t>I - Technical</t>
        </is>
      </c>
      <c r="F15" s="45" t="n">
        <v>5</v>
      </c>
      <c r="G15" s="32" t="inlineStr">
        <is>
          <t>Prime</t>
        </is>
      </c>
      <c r="H15" s="32" t="inlineStr">
        <is>
          <t>PDF + Gantt</t>
        </is>
      </c>
      <c r="I15" s="32" t="inlineStr">
        <is>
          <t>Not Started</t>
        </is>
      </c>
      <c r="J15" s="30" t="n"/>
      <c r="K15" s="30" t="n"/>
      <c r="L15" s="30" t="inlineStr">
        <is>
          <t>IMS required; show critical path</t>
        </is>
      </c>
    </row>
    <row r="16" ht="28.35" customHeight="1" s="19">
      <c r="B16" s="29" t="n">
        <v>8</v>
      </c>
      <c r="C16" s="30" t="inlineStr">
        <is>
          <t>L.5.2.5</t>
        </is>
      </c>
      <c r="D16" s="31" t="inlineStr">
        <is>
          <t>Technical Approach — quality assurance &amp; control procedures</t>
        </is>
      </c>
      <c r="E16" s="32" t="inlineStr">
        <is>
          <t>I - Technical</t>
        </is>
      </c>
      <c r="F16" s="45" t="n">
        <v>3</v>
      </c>
      <c r="G16" s="32" t="inlineStr">
        <is>
          <t>Both</t>
        </is>
      </c>
      <c r="H16" s="32" t="inlineStr">
        <is>
          <t>PDF</t>
        </is>
      </c>
      <c r="I16" s="32" t="inlineStr">
        <is>
          <t>Not Started</t>
        </is>
      </c>
      <c r="J16" s="30" t="n"/>
      <c r="K16" s="30" t="n"/>
      <c r="L16" s="30" t="inlineStr">
        <is>
          <t>Reference ISO 9001 or CMMI if applicable</t>
        </is>
      </c>
    </row>
    <row r="17" ht="28.35" customHeight="1" s="19">
      <c r="B17" s="29" t="n">
        <v>9</v>
      </c>
      <c r="C17" s="30" t="inlineStr">
        <is>
          <t>L.5.3.1</t>
        </is>
      </c>
      <c r="D17" s="31" t="inlineStr">
        <is>
          <t>Management Plan — organizational structure &amp; governance</t>
        </is>
      </c>
      <c r="E17" s="32" t="inlineStr">
        <is>
          <t>II - Management</t>
        </is>
      </c>
      <c r="F17" s="45" t="n">
        <v>5</v>
      </c>
      <c r="G17" s="32" t="inlineStr">
        <is>
          <t>Prime</t>
        </is>
      </c>
      <c r="H17" s="32" t="inlineStr">
        <is>
          <t>PDF + Org Chart</t>
        </is>
      </c>
      <c r="I17" s="32" t="inlineStr">
        <is>
          <t>Not Started</t>
        </is>
      </c>
      <c r="J17" s="30" t="n"/>
      <c r="K17" s="30" t="n"/>
      <c r="L17" s="30" t="inlineStr">
        <is>
          <t>Show reporting chain to COR</t>
        </is>
      </c>
    </row>
    <row r="18" ht="28.35" customHeight="1" s="19">
      <c r="B18" s="29" t="n">
        <v>10</v>
      </c>
      <c r="C18" s="30" t="inlineStr">
        <is>
          <t>L.5.3.2</t>
        </is>
      </c>
      <c r="D18" s="31" t="inlineStr">
        <is>
          <t>Management Plan — key personnel qualifications &amp; resumes</t>
        </is>
      </c>
      <c r="E18" s="32" t="inlineStr">
        <is>
          <t>II - Management</t>
        </is>
      </c>
      <c r="F18" s="32" t="inlineStr">
        <is>
          <t>2/person</t>
        </is>
      </c>
      <c r="G18" s="32" t="inlineStr">
        <is>
          <t>Both</t>
        </is>
      </c>
      <c r="H18" s="32" t="inlineStr">
        <is>
          <t>PDF (resume format)</t>
        </is>
      </c>
      <c r="I18" s="32" t="inlineStr">
        <is>
          <t>Not Started</t>
        </is>
      </c>
      <c r="J18" s="30" t="n"/>
      <c r="K18" s="30" t="n"/>
      <c r="L18" s="30" t="inlineStr">
        <is>
          <t>PM, Deputy PM, Tech Lead minimum</t>
        </is>
      </c>
    </row>
    <row r="19" ht="28.35" customHeight="1" s="19">
      <c r="B19" s="29" t="n">
        <v>11</v>
      </c>
      <c r="C19" s="30" t="inlineStr">
        <is>
          <t>L.5.3.3</t>
        </is>
      </c>
      <c r="D19" s="31" t="inlineStr">
        <is>
          <t>Management Plan — staffing plan by LCAT &amp; period</t>
        </is>
      </c>
      <c r="E19" s="32" t="inlineStr">
        <is>
          <t>II - Management</t>
        </is>
      </c>
      <c r="F19" s="45" t="n">
        <v>5</v>
      </c>
      <c r="G19" s="32" t="inlineStr">
        <is>
          <t>Both</t>
        </is>
      </c>
      <c r="H19" s="32" t="inlineStr">
        <is>
          <t>PDF + Matrix</t>
        </is>
      </c>
      <c r="I19" s="32" t="inlineStr">
        <is>
          <t>Not Started</t>
        </is>
      </c>
      <c r="J19" s="30" t="n"/>
      <c r="K19" s="30" t="n"/>
      <c r="L19" s="30" t="inlineStr">
        <is>
          <t>Must match pricing labor hours</t>
        </is>
      </c>
    </row>
    <row r="20" ht="28.35" customHeight="1" s="19">
      <c r="B20" s="29" t="n">
        <v>12</v>
      </c>
      <c r="C20" s="30" t="inlineStr">
        <is>
          <t>L.5.3.4</t>
        </is>
      </c>
      <c r="D20" s="31" t="inlineStr">
        <is>
          <t>Management Plan — subcontractor management approach</t>
        </is>
      </c>
      <c r="E20" s="32" t="inlineStr">
        <is>
          <t>II - Management</t>
        </is>
      </c>
      <c r="F20" s="45" t="n">
        <v>3</v>
      </c>
      <c r="G20" s="32" t="inlineStr">
        <is>
          <t>Prime</t>
        </is>
      </c>
      <c r="H20" s="32" t="inlineStr">
        <is>
          <t>PDF</t>
        </is>
      </c>
      <c r="I20" s="32" t="inlineStr">
        <is>
          <t>Not Started</t>
        </is>
      </c>
      <c r="J20" s="30" t="n"/>
      <c r="K20" s="30" t="n"/>
      <c r="L20" s="30" t="inlineStr">
        <is>
          <t>Include teaming agreements summary</t>
        </is>
      </c>
    </row>
    <row r="21" ht="28.35" customHeight="1" s="19">
      <c r="B21" s="29" t="n">
        <v>13</v>
      </c>
      <c r="C21" s="30" t="inlineStr">
        <is>
          <t>L.5.3.5</t>
        </is>
      </c>
      <c r="D21" s="31" t="inlineStr">
        <is>
          <t>Management Plan — transition/phase-in plan</t>
        </is>
      </c>
      <c r="E21" s="32" t="inlineStr">
        <is>
          <t>II - Management</t>
        </is>
      </c>
      <c r="F21" s="45" t="n">
        <v>5</v>
      </c>
      <c r="G21" s="32" t="inlineStr">
        <is>
          <t>Prime</t>
        </is>
      </c>
      <c r="H21" s="32" t="inlineStr">
        <is>
          <t>PDF + Timeline</t>
        </is>
      </c>
      <c r="I21" s="32" t="inlineStr">
        <is>
          <t>Not Started</t>
        </is>
      </c>
      <c r="J21" s="30" t="n"/>
      <c r="K21" s="30" t="n"/>
      <c r="L21" s="30" t="inlineStr">
        <is>
          <t>30/60/90-day milestones required</t>
        </is>
      </c>
    </row>
    <row r="22" ht="28.35" customHeight="1" s="19">
      <c r="B22" s="29" t="n">
        <v>14</v>
      </c>
      <c r="C22" s="30" t="inlineStr">
        <is>
          <t>L.5.4.1</t>
        </is>
      </c>
      <c r="D22" s="31" t="inlineStr">
        <is>
          <t>Past Performance — PPQ forms (3-5 references)</t>
        </is>
      </c>
      <c r="E22" s="32" t="inlineStr">
        <is>
          <t>III - Past Performance</t>
        </is>
      </c>
      <c r="F22" s="32" t="inlineStr">
        <is>
          <t>1/ref</t>
        </is>
      </c>
      <c r="G22" s="32" t="inlineStr">
        <is>
          <t>Both</t>
        </is>
      </c>
      <c r="H22" s="32" t="inlineStr">
        <is>
          <t>SF 1420 or custom</t>
        </is>
      </c>
      <c r="I22" s="32" t="inlineStr">
        <is>
          <t>Not Started</t>
        </is>
      </c>
      <c r="J22" s="30" t="n"/>
      <c r="K22" s="30" t="n"/>
      <c r="L22" s="30" t="inlineStr">
        <is>
          <t>Submit to POCs at least 14 days early</t>
        </is>
      </c>
    </row>
    <row r="23" ht="28.35" customHeight="1" s="19">
      <c r="B23" s="29" t="n">
        <v>15</v>
      </c>
      <c r="C23" s="30" t="inlineStr">
        <is>
          <t>L.5.4.2</t>
        </is>
      </c>
      <c r="D23" s="31" t="inlineStr">
        <is>
          <t>Past Performance — narrative for each reference</t>
        </is>
      </c>
      <c r="E23" s="32" t="inlineStr">
        <is>
          <t>III - Past Performance</t>
        </is>
      </c>
      <c r="F23" s="32" t="inlineStr">
        <is>
          <t>2/ref</t>
        </is>
      </c>
      <c r="G23" s="32" t="inlineStr">
        <is>
          <t>Both</t>
        </is>
      </c>
      <c r="H23" s="32" t="inlineStr">
        <is>
          <t>PDF</t>
        </is>
      </c>
      <c r="I23" s="32" t="inlineStr">
        <is>
          <t>Not Started</t>
        </is>
      </c>
      <c r="J23" s="30" t="n"/>
      <c r="K23" s="30" t="n"/>
      <c r="L23" s="30" t="inlineStr">
        <is>
          <t>Emphasize relevance to current scope</t>
        </is>
      </c>
    </row>
    <row r="24" ht="28.35" customHeight="1" s="19">
      <c r="B24" s="29" t="n">
        <v>16</v>
      </c>
      <c r="C24" s="30" t="inlineStr">
        <is>
          <t>L.5.4.3</t>
        </is>
      </c>
      <c r="D24" s="31" t="inlineStr">
        <is>
          <t>Past Performance — CPARS printouts or verification</t>
        </is>
      </c>
      <c r="E24" s="32" t="inlineStr">
        <is>
          <t>III - Past Performance</t>
        </is>
      </c>
      <c r="F24" s="32" t="inlineStr">
        <is>
          <t>N/A</t>
        </is>
      </c>
      <c r="G24" s="32" t="inlineStr">
        <is>
          <t>Both</t>
        </is>
      </c>
      <c r="H24" s="32" t="inlineStr">
        <is>
          <t>PDF printout</t>
        </is>
      </c>
      <c r="I24" s="32" t="inlineStr">
        <is>
          <t>Not Started</t>
        </is>
      </c>
      <c r="J24" s="30" t="n"/>
      <c r="K24" s="30" t="n"/>
      <c r="L24" s="30" t="inlineStr">
        <is>
          <t>Request from CPARS focal point</t>
        </is>
      </c>
    </row>
    <row r="25" ht="28.35" customHeight="1" s="19">
      <c r="B25" s="29" t="n">
        <v>17</v>
      </c>
      <c r="C25" s="30" t="inlineStr">
        <is>
          <t>L.5.5.1</t>
        </is>
      </c>
      <c r="D25" s="31" t="inlineStr">
        <is>
          <t>Price/Cost Model — completed pricing spreadsheet (all CLINs)</t>
        </is>
      </c>
      <c r="E25" s="32" t="inlineStr">
        <is>
          <t>IV - Price/Cost</t>
        </is>
      </c>
      <c r="F25" s="32" t="inlineStr">
        <is>
          <t>N/A</t>
        </is>
      </c>
      <c r="G25" s="32" t="inlineStr">
        <is>
          <t>Both</t>
        </is>
      </c>
      <c r="H25" s="32" t="inlineStr">
        <is>
          <t>Excel per template</t>
        </is>
      </c>
      <c r="I25" s="32" t="inlineStr">
        <is>
          <t>Not Started</t>
        </is>
      </c>
      <c r="J25" s="30" t="n"/>
      <c r="K25" s="30" t="n"/>
      <c r="L25" s="30" t="inlineStr">
        <is>
          <t>Use Govt-provided template if available</t>
        </is>
      </c>
    </row>
    <row r="26" ht="15" customHeight="1" s="19">
      <c r="B26" s="29" t="n">
        <v>18</v>
      </c>
      <c r="C26" s="30" t="inlineStr">
        <is>
          <t>L.5.5.2</t>
        </is>
      </c>
      <c r="D26" s="31" t="inlineStr">
        <is>
          <t>Price/Cost Model — basis of estimate narrative</t>
        </is>
      </c>
      <c r="E26" s="32" t="inlineStr">
        <is>
          <t>IV - Price/Cost</t>
        </is>
      </c>
      <c r="F26" s="45" t="n">
        <v>10</v>
      </c>
      <c r="G26" s="32" t="inlineStr">
        <is>
          <t>Prime</t>
        </is>
      </c>
      <c r="H26" s="32" t="inlineStr">
        <is>
          <t>PDF</t>
        </is>
      </c>
      <c r="I26" s="32" t="inlineStr">
        <is>
          <t>Not Started</t>
        </is>
      </c>
      <c r="J26" s="30" t="n"/>
      <c r="K26" s="30" t="n"/>
      <c r="L26" s="30" t="inlineStr">
        <is>
          <t>Must trace to technical approach</t>
        </is>
      </c>
    </row>
    <row r="27" ht="28.35" customHeight="1" s="19">
      <c r="B27" s="29" t="n">
        <v>19</v>
      </c>
      <c r="C27" s="30" t="inlineStr">
        <is>
          <t>L.5.5.3</t>
        </is>
      </c>
      <c r="D27" s="31" t="inlineStr">
        <is>
          <t>Price/Cost Model — rate documentation (FPRA/FPRR or provisional)</t>
        </is>
      </c>
      <c r="E27" s="32" t="inlineStr">
        <is>
          <t>IV - Price/Cost</t>
        </is>
      </c>
      <c r="F27" s="32" t="inlineStr">
        <is>
          <t>N/A</t>
        </is>
      </c>
      <c r="G27" s="32" t="inlineStr">
        <is>
          <t>Both</t>
        </is>
      </c>
      <c r="H27" s="32" t="inlineStr">
        <is>
          <t>PDF/Excel</t>
        </is>
      </c>
      <c r="I27" s="32" t="inlineStr">
        <is>
          <t>Not Started</t>
        </is>
      </c>
      <c r="J27" s="30" t="n"/>
      <c r="K27" s="30" t="n"/>
      <c r="L27" s="30" t="inlineStr">
        <is>
          <t>DCAA-approved rates preferred</t>
        </is>
      </c>
    </row>
    <row r="28" ht="15" customHeight="1" s="19">
      <c r="B28" s="29" t="n">
        <v>20</v>
      </c>
      <c r="C28" s="30" t="inlineStr">
        <is>
          <t>L.5.6.1</t>
        </is>
      </c>
      <c r="D28" s="31" t="inlineStr">
        <is>
          <t>DD Form 1423 — CDRLs list completed per SOW</t>
        </is>
      </c>
      <c r="E28" s="32" t="inlineStr">
        <is>
          <t>V - Admin</t>
        </is>
      </c>
      <c r="F28" s="32" t="inlineStr">
        <is>
          <t>N/A</t>
        </is>
      </c>
      <c r="G28" s="32" t="inlineStr">
        <is>
          <t>Prime</t>
        </is>
      </c>
      <c r="H28" s="32" t="inlineStr">
        <is>
          <t>DD 1423 form</t>
        </is>
      </c>
      <c r="I28" s="32" t="inlineStr">
        <is>
          <t>Not Started</t>
        </is>
      </c>
      <c r="J28" s="30" t="n"/>
      <c r="K28" s="30" t="n"/>
      <c r="L28" s="30" t="inlineStr">
        <is>
          <t>One form per CDRL; match DID numbers</t>
        </is>
      </c>
    </row>
    <row r="29" ht="28.35" customHeight="1" s="19">
      <c r="B29" s="29" t="n">
        <v>21</v>
      </c>
      <c r="C29" s="30" t="inlineStr">
        <is>
          <t>L.5.6.2</t>
        </is>
      </c>
      <c r="D29" s="31" t="inlineStr">
        <is>
          <t>SF 1449 — Solicitation/Contract/Order for Commercial Items</t>
        </is>
      </c>
      <c r="E29" s="32" t="inlineStr">
        <is>
          <t>V - Admin</t>
        </is>
      </c>
      <c r="F29" s="32" t="inlineStr">
        <is>
          <t>N/A</t>
        </is>
      </c>
      <c r="G29" s="32" t="inlineStr">
        <is>
          <t>Prime</t>
        </is>
      </c>
      <c r="H29" s="32" t="inlineStr">
        <is>
          <t>SF 1449</t>
        </is>
      </c>
      <c r="I29" s="32" t="inlineStr">
        <is>
          <t>Not Started</t>
        </is>
      </c>
      <c r="J29" s="30" t="n"/>
      <c r="K29" s="30" t="n"/>
      <c r="L29" s="30" t="inlineStr">
        <is>
          <t>Sign blocks 17a and 30a</t>
        </is>
      </c>
    </row>
    <row r="30" ht="28.35" customHeight="1" s="19">
      <c r="B30" s="29" t="n">
        <v>22</v>
      </c>
      <c r="C30" s="30" t="inlineStr">
        <is>
          <t>L.5.6.3</t>
        </is>
      </c>
      <c r="D30" s="31" t="inlineStr">
        <is>
          <t>Representations and Certifications (FAR 52.204-8 or SAM.gov)</t>
        </is>
      </c>
      <c r="E30" s="32" t="inlineStr">
        <is>
          <t>V - Admin</t>
        </is>
      </c>
      <c r="F30" s="32" t="inlineStr">
        <is>
          <t>N/A</t>
        </is>
      </c>
      <c r="G30" s="32" t="inlineStr">
        <is>
          <t>Prime</t>
        </is>
      </c>
      <c r="H30" s="32" t="inlineStr">
        <is>
          <t>SAM printout</t>
        </is>
      </c>
      <c r="I30" s="32" t="inlineStr">
        <is>
          <t>Not Started</t>
        </is>
      </c>
      <c r="J30" s="30" t="n"/>
      <c r="K30" s="30" t="n"/>
      <c r="L30" s="30" t="inlineStr">
        <is>
          <t>Verify SAM.gov is current; print date</t>
        </is>
      </c>
    </row>
    <row r="31" ht="15" customHeight="1" s="19">
      <c r="B31" s="29" t="n">
        <v>23</v>
      </c>
      <c r="C31" s="30" t="inlineStr">
        <is>
          <t>L.5.6.4</t>
        </is>
      </c>
      <c r="D31" s="31" t="inlineStr">
        <is>
          <t>Small Business Subcontracting Plan (FAR 52.219-9)</t>
        </is>
      </c>
      <c r="E31" s="32" t="inlineStr">
        <is>
          <t>V - Admin</t>
        </is>
      </c>
      <c r="F31" s="45" t="n">
        <v>5</v>
      </c>
      <c r="G31" s="32" t="inlineStr">
        <is>
          <t>Prime</t>
        </is>
      </c>
      <c r="H31" s="32" t="inlineStr">
        <is>
          <t>PDF per template</t>
        </is>
      </c>
      <c r="I31" s="32" t="inlineStr">
        <is>
          <t>Not Started</t>
        </is>
      </c>
      <c r="J31" s="30" t="n"/>
      <c r="K31" s="30" t="n"/>
      <c r="L31" s="30" t="inlineStr">
        <is>
          <t>Required above $900K ($2M construction) for other-than-small; include goals</t>
        </is>
      </c>
    </row>
    <row r="32" ht="28.35" customHeight="1" s="19">
      <c r="B32" s="29" t="n">
        <v>24</v>
      </c>
      <c r="C32" s="30" t="inlineStr">
        <is>
          <t>L.5.6.5</t>
        </is>
      </c>
      <c r="D32" s="31" t="inlineStr">
        <is>
          <t>Cybersecurity Attestation — DFARS 252.204-7012 compliance</t>
        </is>
      </c>
      <c r="E32" s="32" t="inlineStr">
        <is>
          <t>V - Admin</t>
        </is>
      </c>
      <c r="F32" s="45" t="n">
        <v>2</v>
      </c>
      <c r="G32" s="32" t="inlineStr">
        <is>
          <t>Both</t>
        </is>
      </c>
      <c r="H32" s="32" t="inlineStr">
        <is>
          <t>PDF</t>
        </is>
      </c>
      <c r="I32" s="32" t="inlineStr">
        <is>
          <t>Not Started</t>
        </is>
      </c>
      <c r="J32" s="30" t="n"/>
      <c r="K32" s="30" t="n"/>
      <c r="L32" s="30" t="inlineStr">
        <is>
          <t>NIST SP 800-171 SPRS score required</t>
        </is>
      </c>
    </row>
    <row r="33" ht="28.35" customHeight="1" s="19">
      <c r="B33" s="29" t="n">
        <v>25</v>
      </c>
      <c r="C33" s="30" t="inlineStr">
        <is>
          <t>L.5.6.6</t>
        </is>
      </c>
      <c r="D33" s="31" t="inlineStr">
        <is>
          <t>Wage Determination compliance (SCA or DBA as applicable)</t>
        </is>
      </c>
      <c r="E33" s="32" t="inlineStr">
        <is>
          <t>V - Admin</t>
        </is>
      </c>
      <c r="F33" s="32" t="inlineStr">
        <is>
          <t>N/A</t>
        </is>
      </c>
      <c r="G33" s="32" t="inlineStr">
        <is>
          <t>Both</t>
        </is>
      </c>
      <c r="H33" s="32" t="inlineStr">
        <is>
          <t>PDF reference</t>
        </is>
      </c>
      <c r="I33" s="32" t="inlineStr">
        <is>
          <t>Not Started</t>
        </is>
      </c>
      <c r="J33" s="30" t="n"/>
      <c r="K33" s="30" t="n"/>
      <c r="L33" s="30" t="inlineStr">
        <is>
          <t>Check SAM.gov for current WD</t>
        </is>
      </c>
    </row>
    <row r="34" ht="15" customHeight="1" s="19">
      <c r="B34" s="29" t="n">
        <v>26</v>
      </c>
      <c r="C34" s="30" t="inlineStr">
        <is>
          <t>L.5.6.7</t>
        </is>
      </c>
      <c r="D34" s="31" t="inlineStr">
        <is>
          <t>OSHA/Safety Plan (if applicable per SOW)</t>
        </is>
      </c>
      <c r="E34" s="32" t="inlineStr">
        <is>
          <t>V - Admin</t>
        </is>
      </c>
      <c r="F34" s="45" t="n">
        <v>3</v>
      </c>
      <c r="G34" s="32" t="inlineStr">
        <is>
          <t>Both</t>
        </is>
      </c>
      <c r="H34" s="32" t="inlineStr">
        <is>
          <t>PDF</t>
        </is>
      </c>
      <c r="I34" s="32" t="inlineStr">
        <is>
          <t>Not Started</t>
        </is>
      </c>
      <c r="J34" s="30" t="n"/>
      <c r="K34" s="30" t="n"/>
      <c r="L34" s="30" t="inlineStr">
        <is>
          <t>Only if on-site work required</t>
        </is>
      </c>
    </row>
    <row r="35" ht="28.35" customHeight="1" s="19">
      <c r="B35" s="29" t="n">
        <v>27</v>
      </c>
      <c r="C35" s="30" t="inlineStr">
        <is>
          <t>L.5.3.2a</t>
        </is>
      </c>
      <c r="D35" s="31" t="inlineStr">
        <is>
          <t>Key Personnel Bio — Program Manager</t>
        </is>
      </c>
      <c r="E35" s="32" t="inlineStr">
        <is>
          <t>II - Management</t>
        </is>
      </c>
      <c r="F35" s="45" t="n">
        <v>2</v>
      </c>
      <c r="G35" s="32" t="inlineStr">
        <is>
          <t>Prime</t>
        </is>
      </c>
      <c r="H35" s="32" t="inlineStr">
        <is>
          <t>Resume template</t>
        </is>
      </c>
      <c r="I35" s="32" t="inlineStr">
        <is>
          <t>Not Started</t>
        </is>
      </c>
      <c r="J35" s="30" t="n"/>
      <c r="K35" s="30" t="n"/>
      <c r="L35" s="30" t="inlineStr">
        <is>
          <t>Must meet minimum qualifications in SOW</t>
        </is>
      </c>
    </row>
    <row r="36" ht="28.35" customHeight="1" s="19">
      <c r="B36" s="29" t="n">
        <v>28</v>
      </c>
      <c r="C36" s="30" t="inlineStr">
        <is>
          <t>L.5.3.2b</t>
        </is>
      </c>
      <c r="D36" s="31" t="inlineStr">
        <is>
          <t>Key Personnel Bio — Deputy Program Manager</t>
        </is>
      </c>
      <c r="E36" s="32" t="inlineStr">
        <is>
          <t>II - Management</t>
        </is>
      </c>
      <c r="F36" s="45" t="n">
        <v>2</v>
      </c>
      <c r="G36" s="32" t="inlineStr">
        <is>
          <t>Prime</t>
        </is>
      </c>
      <c r="H36" s="32" t="inlineStr">
        <is>
          <t>Resume template</t>
        </is>
      </c>
      <c r="I36" s="32" t="inlineStr">
        <is>
          <t>Not Started</t>
        </is>
      </c>
      <c r="J36" s="30" t="n"/>
      <c r="K36" s="30" t="n"/>
      <c r="L36" s="30" t="inlineStr">
        <is>
          <t>Demonstrate relevant clearance level</t>
        </is>
      </c>
    </row>
    <row r="37" ht="28.35" customHeight="1" s="19">
      <c r="B37" s="29" t="n">
        <v>29</v>
      </c>
      <c r="C37" s="30" t="inlineStr">
        <is>
          <t>L.5.3.2c</t>
        </is>
      </c>
      <c r="D37" s="31" t="inlineStr">
        <is>
          <t>Key Personnel Bio — Technical Lead / Chief Engineer</t>
        </is>
      </c>
      <c r="E37" s="32" t="inlineStr">
        <is>
          <t>II - Management</t>
        </is>
      </c>
      <c r="F37" s="45" t="n">
        <v>2</v>
      </c>
      <c r="G37" s="32" t="inlineStr">
        <is>
          <t>Both</t>
        </is>
      </c>
      <c r="H37" s="32" t="inlineStr">
        <is>
          <t>Resume template</t>
        </is>
      </c>
      <c r="I37" s="32" t="inlineStr">
        <is>
          <t>Not Started</t>
        </is>
      </c>
      <c r="J37" s="30" t="n"/>
      <c r="K37" s="30" t="n"/>
      <c r="L37" s="30" t="inlineStr">
        <is>
          <t>Include certifications (PMP, CISSP, etc.)</t>
        </is>
      </c>
    </row>
    <row r="38" ht="28.35" customHeight="1" s="19">
      <c r="B38" s="29" t="n">
        <v>30</v>
      </c>
      <c r="C38" s="30" t="inlineStr">
        <is>
          <t>L.5.2.1a</t>
        </is>
      </c>
      <c r="D38" s="31" t="inlineStr">
        <is>
          <t>Organizational Chart — full team structure</t>
        </is>
      </c>
      <c r="E38" s="32" t="inlineStr">
        <is>
          <t>II - Management</t>
        </is>
      </c>
      <c r="F38" s="45" t="n">
        <v>1</v>
      </c>
      <c r="G38" s="32" t="inlineStr">
        <is>
          <t>Prime</t>
        </is>
      </c>
      <c r="H38" s="32" t="inlineStr">
        <is>
          <t>PDF (landscape OK)</t>
        </is>
      </c>
      <c r="I38" s="32" t="inlineStr">
        <is>
          <t>Not Started</t>
        </is>
      </c>
      <c r="J38" s="30" t="n"/>
      <c r="K38" s="30" t="n"/>
      <c r="L38" s="30" t="inlineStr">
        <is>
          <t>Show prime &amp; sub relationships; names on chart</t>
        </is>
      </c>
    </row>
    <row r="41">
      <c r="B41" s="38" t="inlineStr">
        <is>
          <t>STATUS BREAKDOWN</t>
        </is>
      </c>
    </row>
    <row r="42">
      <c r="B42" s="39" t="inlineStr">
        <is>
          <t>Compliant</t>
        </is>
      </c>
      <c r="C42" s="39">
        <f>G5</f>
        <v/>
      </c>
    </row>
    <row r="43">
      <c r="B43" s="39" t="inlineStr">
        <is>
          <t>Partial</t>
        </is>
      </c>
      <c r="C43" s="39">
        <f>I5</f>
        <v/>
      </c>
    </row>
    <row r="44">
      <c r="B44" s="39" t="inlineStr">
        <is>
          <t>Non-Compliant</t>
        </is>
      </c>
      <c r="C44" s="39">
        <f>K5</f>
        <v/>
      </c>
    </row>
    <row r="45">
      <c r="B45" s="39" t="inlineStr">
        <is>
          <t>Not Started</t>
        </is>
      </c>
      <c r="C45" s="39">
        <f>M5</f>
        <v/>
      </c>
    </row>
    <row r="48">
      <c r="B48" s="38" t="inlineStr">
        <is>
          <t>PAGE BUDGET BY VOLUME</t>
        </is>
      </c>
    </row>
    <row r="49">
      <c r="B49" s="40" t="inlineStr">
        <is>
          <t>Sums numeric page limits in column F. Per-instance entries ("2/person", "1/ref") are excluded — count those manually.</t>
        </is>
      </c>
    </row>
    <row r="50">
      <c r="B50" s="41" t="inlineStr">
        <is>
          <t>Volume</t>
        </is>
      </c>
      <c r="C50" s="41" t="inlineStr">
        <is>
          <t>Page Budget</t>
        </is>
      </c>
      <c r="D50" s="41" t="inlineStr">
        <is>
          <t>Items</t>
        </is>
      </c>
    </row>
    <row r="51">
      <c r="B51" s="39" t="inlineStr">
        <is>
          <t>I - Technical</t>
        </is>
      </c>
      <c r="C51" s="39">
        <f>SUMIFS($F$9:$F$38,$E$9:$E$38,$B51)</f>
        <v/>
      </c>
      <c r="D51" s="39">
        <f>COUNTIFS($E$9:$E$38,$B51)</f>
        <v/>
      </c>
    </row>
    <row r="52">
      <c r="B52" s="39" t="inlineStr">
        <is>
          <t>II - Management</t>
        </is>
      </c>
      <c r="C52" s="39">
        <f>SUMIFS($F$9:$F$38,$E$9:$E$38,$B52)</f>
        <v/>
      </c>
      <c r="D52" s="39">
        <f>COUNTIFS($E$9:$E$38,$B52)</f>
        <v/>
      </c>
    </row>
    <row r="53">
      <c r="B53" s="39" t="inlineStr">
        <is>
          <t>III - Past Performance</t>
        </is>
      </c>
      <c r="C53" s="39">
        <f>SUMIFS($F$9:$F$38,$E$9:$E$38,$B53)</f>
        <v/>
      </c>
      <c r="D53" s="39">
        <f>COUNTIFS($E$9:$E$38,$B53)</f>
        <v/>
      </c>
    </row>
    <row r="54">
      <c r="B54" s="39" t="inlineStr">
        <is>
          <t>IV - Price/Cost</t>
        </is>
      </c>
      <c r="C54" s="39">
        <f>SUMIFS($F$9:$F$38,$E$9:$E$38,$B54)</f>
        <v/>
      </c>
      <c r="D54" s="39">
        <f>COUNTIFS($E$9:$E$38,$B54)</f>
        <v/>
      </c>
    </row>
    <row r="55">
      <c r="B55" s="39" t="inlineStr">
        <is>
          <t>V - Admin</t>
        </is>
      </c>
      <c r="C55" s="39">
        <f>SUMIFS($F$9:$F$38,$E$9:$E$38,$B55)</f>
        <v/>
      </c>
      <c r="D55" s="39">
        <f>COUNTIFS($E$9:$E$38,$B55)</f>
        <v/>
      </c>
    </row>
    <row r="56">
      <c r="B56" s="42" t="inlineStr">
        <is>
          <t>TOTAL</t>
        </is>
      </c>
      <c r="C56" s="42">
        <f>SUM(C51:C55)</f>
        <v/>
      </c>
      <c r="D56" s="42">
        <f>SUM(D51:D55)</f>
        <v/>
      </c>
    </row>
  </sheetData>
  <mergeCells count="3">
    <mergeCell ref="B2:L2"/>
    <mergeCell ref="B5:C5"/>
    <mergeCell ref="B3:L3"/>
  </mergeCells>
  <conditionalFormatting sqref="I9:I38">
    <cfRule type="cellIs" rank="0" priority="2" equalAverage="0" operator="equal" aboveAverage="0" dxfId="0" text="" percent="0" bottom="0">
      <formula>"Compliant"</formula>
    </cfRule>
    <cfRule type="cellIs" rank="0" priority="3" equalAverage="0" operator="equal" aboveAverage="0" dxfId="1" text="" percent="0" bottom="0">
      <formula>"Partial"</formula>
    </cfRule>
    <cfRule type="cellIs" rank="0" priority="4" equalAverage="0" operator="equal" aboveAverage="0" dxfId="2" text="" percent="0" bottom="0">
      <formula>"Non-Compliant"</formula>
    </cfRule>
    <cfRule type="cellIs" rank="0" priority="5" equalAverage="0" operator="equal" aboveAverage="0" dxfId="3" text="" percent="0" bottom="0">
      <formula>"Not Started"</formula>
    </cfRule>
  </conditionalFormatting>
  <dataValidations count="3">
    <dataValidation sqref="I9:I38" showDropDown="0" showInputMessage="0" showErrorMessage="0" allowBlank="1" errorTitle="Invalid Status" error="Please select a valid status" type="list" errorStyle="stop" operator="between">
      <formula1>"Compliant,Partial,Non-Compliant,Not Started,N/A"</formula1>
      <formula2>0</formula2>
    </dataValidation>
    <dataValidation sqref="E9:E38" showDropDown="0" showInputMessage="0" showErrorMessage="0" allowBlank="1" type="list" errorStyle="stop" operator="between">
      <formula1>"I - Technical,II - Management,III - Past Performance,IV - Price/Cost,V - Admin"</formula1>
      <formula2>0</formula2>
    </dataValidation>
    <dataValidation sqref="G9:G38" showDropDown="0" showInputMessage="0" showErrorMessage="0" allowBlank="1" type="list" errorStyle="stop" operator="between">
      <formula1>"Prime,Sub,Both"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D1B2A"/>
    <outlinePr summaryBelow="1" summaryRight="1"/>
    <pageSetUpPr fitToPage="0"/>
  </sheetPr>
  <dimension ref="B2:B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18" min="1" max="1"/>
    <col width="90" customWidth="1" style="18" min="2" max="2"/>
  </cols>
  <sheetData>
    <row r="2" ht="30" customHeight="1" s="19">
      <c r="B2" s="20" t="inlineStr">
        <is>
          <t>COMPLIANCE MATRIX — INSTRUCTIONS</t>
        </is>
      </c>
    </row>
    <row r="3" ht="15" customHeight="1" s="19">
      <c r="B3" s="33" t="inlineStr">
        <is>
          <t>Acqlerate — Defense Acquisitions Academy</t>
        </is>
      </c>
    </row>
    <row r="6" ht="21.75" customHeight="1" s="19">
      <c r="B6" s="34" t="inlineStr">
        <is>
          <t>WHAT IS A COMPLIANCE MATRIX?</t>
        </is>
      </c>
    </row>
    <row r="7" ht="79.5" customHeight="1" s="19">
      <c r="B7" s="35" t="inlineStr">
        <is>
          <t>A Compliance Matrix is the single most important proposal management tool. It maps EVERY requirement in Section L (Instructions to Offerors) to your proposal response, ensuring nothing is missed. Government evaluators use Section M (Evaluation Criteria) to score your proposal — if you fail to address an L requirement, you lose points under M.</t>
        </is>
      </c>
    </row>
    <row r="9" ht="21.75" customHeight="1" s="19">
      <c r="B9" s="34" t="inlineStr">
        <is>
          <t>SECTION L vs. SECTION M DISCIPLINE</t>
        </is>
      </c>
    </row>
    <row r="10" ht="31.5" customHeight="1" s="19">
      <c r="B10" s="35" t="inlineStr">
        <is>
          <t>Section L tells you WHAT to submit and HOW to format it. Section M tells you HOW IT WILL BE SCORED.</t>
        </is>
      </c>
    </row>
    <row r="11" ht="48" customHeight="1" s="19">
      <c r="B11" s="35" t="inlineStr">
        <is>
          <t>Golden Rule: Every Section M evaluation factor must trace to at least one Section L instruction, and vice versa. If you find an L requirement with no obvious M factor, it is likely pass/fail (administrative compliance). Do not ignore it.</t>
        </is>
      </c>
    </row>
    <row r="13" ht="21.75" customHeight="1" s="19">
      <c r="B13" s="34" t="inlineStr">
        <is>
          <t>HOW TO USE THIS MATRIX</t>
        </is>
      </c>
    </row>
    <row r="14" ht="31.5" customHeight="1" s="19">
      <c r="B14" s="35" t="inlineStr">
        <is>
          <t>Step 1: Read the entire RFP — Sections L, M, C (SOW/PWS), and J (Attachments). Do not start filling this matrix until you have read the full solicitation.</t>
        </is>
      </c>
    </row>
    <row r="15" ht="48" customHeight="1" s="19">
      <c r="B15" s="35" t="inlineStr">
        <is>
          <t>Step 2: Enter every L instruction as a separate row. Break compound instructions into individual requirements (e.g., 'Describe your approach and provide a schedule' = 2 rows).</t>
        </is>
      </c>
    </row>
    <row r="16" ht="31.5" customHeight="1" s="19">
      <c r="B16" s="35" t="inlineStr">
        <is>
          <t>Step 3: Assign each requirement to the correct Volume (I-V). Cross-reference with L instructions on volume structure.</t>
        </is>
      </c>
    </row>
    <row r="17" ht="31.5" customHeight="1" s="19">
      <c r="B17" s="35" t="inlineStr">
        <is>
          <t>Step 4: Note page limits. These are HARD limits — exceeding them can result in non-evaluation of excess pages.</t>
        </is>
      </c>
    </row>
    <row r="18" ht="18" customHeight="1" s="19">
      <c r="B18" s="35" t="inlineStr">
        <is>
          <t>Step 5: Assign a writer and set target completion dates.</t>
        </is>
      </c>
    </row>
    <row r="19" ht="31.5" customHeight="1" s="19">
      <c r="B19" s="35" t="inlineStr">
        <is>
          <t>Step 6: Update Compliance Status as drafts progress: Not Started → Partial → Compliant.</t>
        </is>
      </c>
    </row>
    <row r="20" ht="31.5" customHeight="1" s="19">
      <c r="B20" s="35" t="inlineStr">
        <is>
          <t>Step 7: Before final submission, every row must show 'Compliant' or 'N/A'. Any 'Non-Compliant' or 'Not Started' items are submission risks.</t>
        </is>
      </c>
    </row>
    <row r="22" ht="21.75" customHeight="1" s="19">
      <c r="B22" s="34" t="inlineStr">
        <is>
          <t>STATUS DEFINITIONS</t>
        </is>
      </c>
    </row>
    <row r="23" ht="18" customHeight="1" s="19">
      <c r="B23" s="35" t="inlineStr">
        <is>
          <t>Compliant — Requirement fully addressed in the proposal at the specified location.</t>
        </is>
      </c>
    </row>
    <row r="24" ht="18" customHeight="1" s="19">
      <c r="B24" s="35" t="inlineStr">
        <is>
          <t>Partial — Requirement partially addressed; additional content or revision needed.</t>
        </is>
      </c>
    </row>
    <row r="25" ht="31.5" customHeight="1" s="19">
      <c r="B25" s="35" t="inlineStr">
        <is>
          <t>Non-Compliant — Requirement identified but not yet addressed; action needed immediately.</t>
        </is>
      </c>
    </row>
    <row r="26" ht="18" customHeight="1" s="19">
      <c r="B26" s="35" t="inlineStr">
        <is>
          <t>Not Started — Work has not begun on this requirement.</t>
        </is>
      </c>
    </row>
    <row r="27" ht="18" customHeight="1" s="19">
      <c r="B27" s="35" t="inlineStr">
        <is>
          <t>N/A — Requirement does not apply (document your rationale in Notes).</t>
        </is>
      </c>
    </row>
    <row r="29" ht="21.75" customHeight="1" s="19">
      <c r="B29" s="34" t="inlineStr">
        <is>
          <t>TIPS FOR SUCCESS</t>
        </is>
      </c>
    </row>
    <row r="30" ht="31.5" customHeight="1" s="19">
      <c r="B30" s="35" t="inlineStr">
        <is>
          <t>• Use the Requirement column verbatim from the RFP where possible — evaluators look for their own language.</t>
        </is>
      </c>
    </row>
    <row r="31" ht="31.5" customHeight="1" s="19">
      <c r="B31" s="35" t="inlineStr">
        <is>
          <t>• Cross-reference the Location in Proposal column with your document outline to ensure no gaps.</t>
        </is>
      </c>
    </row>
    <row r="32" ht="18" customHeight="1" s="19">
      <c r="B32" s="35" t="inlineStr">
        <is>
          <t>• Assign a single Reviewer per item — shared ownership means no ownership.</t>
        </is>
      </c>
    </row>
    <row r="33" ht="18" customHeight="1" s="19">
      <c r="B33" s="35" t="inlineStr">
        <is>
          <t>• Run a compliance review 48 hours before submission with a fresh set of eyes.</t>
        </is>
      </c>
    </row>
    <row r="34" ht="31.5" customHeight="1" s="19">
      <c r="B34" s="35" t="inlineStr">
        <is>
          <t>• Print the matrix and physically check off items against the final PDF before upload.</t>
        </is>
      </c>
    </row>
    <row r="36" ht="21.75" customHeight="1" s="19">
      <c r="B36" s="34" t="inlineStr">
        <is>
          <t>COMMON PITFALLS</t>
        </is>
      </c>
    </row>
    <row r="37" ht="31.5" customHeight="1" s="19">
      <c r="B37" s="35" t="inlineStr">
        <is>
          <t>• Missing a sub-requirement buried in a long L paragraph. Break every sentence into its own row.</t>
        </is>
      </c>
    </row>
    <row r="38" ht="31.5" customHeight="1" s="19">
      <c r="B38" s="35" t="inlineStr">
        <is>
          <t>• Ignoring Section J attachments — CDRLs, DD forms, and templates are compliance requirements too.</t>
        </is>
      </c>
    </row>
    <row r="39" ht="18" customHeight="1" s="19">
      <c r="B39" s="35" t="inlineStr">
        <is>
          <t>• Exceeding page limits. Count pages in your final PDF, not your Word document.</t>
        </is>
      </c>
    </row>
    <row r="40" ht="31.5" customHeight="1" s="19">
      <c r="B40" s="35" t="inlineStr">
        <is>
          <t>• Failing to use the Government's prescribed format (font, margins, spacing) — this can cause rejection.</t>
        </is>
      </c>
    </row>
    <row r="42" ht="18" customHeight="1" s="19">
      <c r="B42" s="35" t="inlineStr">
        <is>
          <t>© Acqlerate — Defense Acquisitions Academy. For training use only.</t>
        </is>
      </c>
    </row>
    <row r="44">
      <c r="B44" s="43" t="inlineStr">
        <is>
          <t>License &amp; Use</t>
        </is>
      </c>
    </row>
    <row r="45">
      <c r="B45" s="44" t="inlineStr">
        <is>
          <t>This template is licensed for use on one program, by one organization, under your Acqlerate purchase. Customize the text, branding, and layout freely for your own program. Deploying it company-wide, sharing it outside your organization, or reselling it requires an Acqlerate Team License (acqlerate.com/team).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2026-03-23T14:50:50Z</dcterms:created>
  <dcterms:modified xmlns:dcterms="http://purl.org/dc/terms/" xmlns:xsi="http://www.w3.org/2001/XMLSchema-instance" xsi:type="dcterms:W3CDTF">2026-09-24T08:59:10Z</dcterms:modified>
  <cp:revision>0</cp:revision>
</cp:coreProperties>
</file>