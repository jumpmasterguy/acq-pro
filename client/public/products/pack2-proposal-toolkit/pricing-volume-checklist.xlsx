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icing Checklist" sheetId="1" state="visible" r:id="rId1"/>
    <sheet xmlns:r="http://schemas.openxmlformats.org/officeDocument/2006/relationships" name="Cost Realism Self-Check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0.0%"/>
  </numFmts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0D1B2A"/>
      <sz val="16"/>
    </font>
    <font>
      <name val="Calibri"/>
      <charset val="1"/>
      <family val="0"/>
      <color rgb="FF01696F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437A22"/>
      <sz val="11"/>
    </font>
    <font>
      <name val="Calibri"/>
      <charset val="1"/>
      <family val="0"/>
      <b val="1"/>
      <color rgb="FF01696F"/>
      <sz val="12"/>
    </font>
    <font>
      <name val="Calibri"/>
      <charset val="1"/>
      <family val="0"/>
      <sz val="11"/>
    </font>
    <font>
      <name val="Calibri"/>
      <charset val="1"/>
      <family val="0"/>
      <i val="1"/>
      <color rgb="FF666666"/>
      <sz val="11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0D1B2A"/>
      <sz val="14"/>
    </font>
    <font>
      <name val="Calibri"/>
      <charset val="1"/>
      <family val="0"/>
      <i val="1"/>
      <color rgb="FF999999"/>
      <sz val="10"/>
    </font>
    <font>
      <i val="1"/>
      <color rgb="FF6B7280"/>
      <sz val="9"/>
    </font>
    <font>
      <i val="1"/>
      <color rgb="FF6B7280"/>
      <sz val="8"/>
    </font>
    <font>
      <b val="1"/>
      <color rgb="FF0D1B2A"/>
      <sz val="11"/>
    </font>
    <font>
      <b val="1"/>
      <color rgb="FF0D1B2A"/>
      <sz val="14"/>
    </font>
    <font>
      <i val="1"/>
      <color rgb="FF6B7280"/>
      <sz val="10"/>
    </font>
    <font>
      <b val="1"/>
      <color rgb="FFFFFFFF"/>
      <sz val="10"/>
    </font>
    <font>
      <b val="1"/>
      <color rgb="0001696F"/>
      <sz val="10"/>
    </font>
    <font>
      <b val="1"/>
      <sz val="10"/>
    </font>
    <font>
      <sz val="10"/>
    </font>
    <font>
      <b val="1"/>
      <color rgb="FF0D1B2A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E0F2F3"/>
        <bgColor rgb="FFCCFFFF"/>
      </patternFill>
    </fill>
    <fill>
      <patternFill patternType="solid">
        <fgColor rgb="FF01696F"/>
        <bgColor rgb="FF008080"/>
      </patternFill>
    </fill>
    <fill>
      <patternFill patternType="solid">
        <fgColor rgb="FF0D1B2A"/>
      </patternFill>
    </fill>
    <fill>
      <patternFill patternType="solid">
        <fgColor rgb="FFF9FAFB"/>
      </patternFill>
    </fill>
  </fills>
  <borders count="7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/>
      <right/>
      <top style="thin">
        <color rgb="FFD4D1CA"/>
      </top>
      <bottom/>
      <diagonal/>
    </border>
    <border>
      <left/>
      <right style="thin">
        <color rgb="FFD4D1CA"/>
      </right>
      <top style="thin">
        <color rgb="FFD4D1CA"/>
      </top>
      <bottom/>
      <diagonal/>
    </border>
    <border>
      <left/>
      <right/>
      <top style="thin">
        <color rgb="FFD4D1CA"/>
      </top>
      <bottom style="thin">
        <color rgb="FFD4D1CA"/>
      </bottom>
      <diagonal/>
    </border>
    <border>
      <left/>
      <right style="thin">
        <color rgb="FFD4D1CA"/>
      </right>
      <top style="thin">
        <color rgb="FFD4D1CA"/>
      </top>
      <bottom style="thin">
        <color rgb="FFD4D1CA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9" fontId="9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center" indent="1"/>
    </xf>
    <xf numFmtId="165" fontId="1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indent="1"/>
    </xf>
    <xf numFmtId="164" fontId="0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indent="1"/>
    </xf>
    <xf numFmtId="165" fontId="0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9" fontId="9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12" fillId="2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center" indent="1"/>
    </xf>
    <xf numFmtId="165" fontId="1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indent="1"/>
    </xf>
    <xf numFmtId="164" fontId="0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indent="1"/>
    </xf>
    <xf numFmtId="165" fontId="0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17" fillId="0" borderId="0" pivotButton="0" quotePrefix="0" xfId="0"/>
    <xf numFmtId="0" fontId="15" fillId="0" borderId="0" pivotButton="0" quotePrefix="0" xfId="0"/>
    <xf numFmtId="164" fontId="15" fillId="2" borderId="1" applyAlignment="1" pivotButton="0" quotePrefix="0" xfId="0">
      <alignment horizontal="center"/>
    </xf>
    <xf numFmtId="0" fontId="16" fillId="0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wrapText="1"/>
    </xf>
    <xf numFmtId="0" fontId="20" fillId="5" borderId="6" applyAlignment="1" pivotButton="0" quotePrefix="0" xfId="0">
      <alignment vertical="center" wrapText="1"/>
    </xf>
    <xf numFmtId="0" fontId="21" fillId="6" borderId="6" applyAlignment="1" pivotButton="0" quotePrefix="0" xfId="0">
      <alignment vertical="top" wrapText="1"/>
    </xf>
    <xf numFmtId="0" fontId="22" fillId="6" borderId="6" applyAlignment="1" pivotButton="0" quotePrefix="0" xfId="0">
      <alignment vertical="top" wrapText="1"/>
    </xf>
    <xf numFmtId="0" fontId="23" fillId="6" borderId="6" applyAlignment="1" pivotButton="0" quotePrefix="0" xfId="0">
      <alignment vertical="top" wrapText="1"/>
    </xf>
    <xf numFmtId="0" fontId="23" fillId="6" borderId="6" applyAlignment="1" applyProtection="1" pivotButton="0" quotePrefix="0" xfId="0">
      <alignment horizontal="center" vertical="top" wrapText="1"/>
      <protection locked="0" hidden="0"/>
    </xf>
    <xf numFmtId="0" fontId="23" fillId="6" borderId="6" applyAlignment="1" applyProtection="1" pivotButton="0" quotePrefix="0" xfId="0">
      <alignment vertical="top" wrapText="1"/>
      <protection locked="0" hidden="0"/>
    </xf>
    <xf numFmtId="0" fontId="21" fillId="0" borderId="6" applyAlignment="1" pivotButton="0" quotePrefix="0" xfId="0">
      <alignment vertical="top" wrapText="1"/>
    </xf>
    <xf numFmtId="0" fontId="22" fillId="0" borderId="6" applyAlignment="1" pivotButton="0" quotePrefix="0" xfId="0">
      <alignment vertical="top" wrapText="1"/>
    </xf>
    <xf numFmtId="0" fontId="23" fillId="0" borderId="6" applyAlignment="1" pivotButton="0" quotePrefix="0" xfId="0">
      <alignment vertical="top" wrapText="1"/>
    </xf>
    <xf numFmtId="0" fontId="23" fillId="0" borderId="6" applyAlignment="1" applyProtection="1" pivotButton="0" quotePrefix="0" xfId="0">
      <alignment horizontal="center" vertical="top" wrapText="1"/>
      <protection locked="0" hidden="0"/>
    </xf>
    <xf numFmtId="0" fontId="23" fillId="0" borderId="6" applyAlignment="1" applyProtection="1" pivotButton="0" quotePrefix="0" xfId="0">
      <alignment vertical="top" wrapText="1"/>
      <protection locked="0" hidden="0"/>
    </xf>
    <xf numFmtId="0" fontId="24" fillId="0" borderId="0" pivotButton="0" quotePrefix="0" xfId="0"/>
    <xf numFmtId="0" fontId="22" fillId="0" borderId="0" pivotButton="0" quotePrefix="0" xfId="0"/>
    <xf numFmtId="1" fontId="23" fillId="0" borderId="6" pivotButton="0" quotePrefix="0" xfId="0"/>
    <xf numFmtId="9" fontId="23" fillId="0" borderId="6" pivotButton="0" quotePrefix="0" xfId="0"/>
    <xf numFmtId="49" fontId="25" fillId="0" borderId="6" pivotButton="0" quotePrefix="0" xfId="0"/>
    <xf numFmtId="0" fontId="15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ont>
        <name val="Calibri"/>
        <charset val="1"/>
        <family val="0"/>
        <color rgb="FF006100"/>
        <sz val="11"/>
      </font>
      <fill>
        <patternFill>
          <bgColor rgb="FFC6EFCE"/>
        </patternFill>
      </fill>
    </dxf>
    <dxf>
      <font>
        <name val="Calibri"/>
        <charset val="1"/>
        <family val="0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0"/>
        <color rgb="FF9C6500"/>
        <sz val="11"/>
      </font>
      <fill>
        <patternFill>
          <bgColor rgb="FFFFEB9C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</dxf>
    <dxf>
      <font>
        <b val="1"/>
        <color rgb="FF9C5700"/>
      </font>
      <fill>
        <patternFill patternType="solid">
          <f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1696F"/>
      <rgbColor rgb="FFD4D1CA"/>
      <rgbColor rgb="FF808080"/>
      <rgbColor rgb="FF9999FF"/>
      <rgbColor rgb="FF993366"/>
      <rgbColor rgb="FFFFFFCC"/>
      <rgbColor rgb="FFE0F2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437A22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1696F"/>
    <outlinePr summaryBelow="1" summaryRight="1"/>
    <pageSetUpPr fitToPage="0"/>
  </sheetPr>
  <dimension ref="B2:I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27" min="1" max="1"/>
    <col width="8" customWidth="1" style="27" min="2" max="2"/>
    <col width="48" customWidth="1" style="27" min="3" max="3"/>
    <col width="18" customWidth="1" style="27" min="4" max="4"/>
    <col width="12" customWidth="1" style="27" min="5" max="6"/>
    <col width="20" customWidth="1" style="27" min="7" max="7"/>
    <col width="30" customWidth="1" style="27" min="8" max="8"/>
  </cols>
  <sheetData>
    <row r="2" ht="19.5" customHeight="1" s="28">
      <c r="B2" s="29" t="inlineStr">
        <is>
          <t>PRICING VOLUME COMPLIANCE CHECKLIST</t>
        </is>
      </c>
    </row>
    <row r="3" ht="15" customHeight="1" s="28">
      <c r="B3" s="30" t="inlineStr">
        <is>
          <t>Acqlerate — Defense Acquisitions Academy</t>
        </is>
      </c>
    </row>
    <row r="5" ht="15" customHeight="1" s="28">
      <c r="B5" s="31" t="inlineStr">
        <is>
          <t>COMPLETION SUMMARY</t>
        </is>
      </c>
      <c r="D5" s="32" t="inlineStr">
        <is>
          <t>Total Items:</t>
        </is>
      </c>
      <c r="E5" s="33">
        <f>COUNTA(B9:B48)</f>
        <v/>
      </c>
      <c r="F5" s="34" t="inlineStr">
        <is>
          <t>Complete:</t>
        </is>
      </c>
      <c r="G5" s="33">
        <f>COUNTIF(F9:F48,"Yes")</f>
        <v/>
      </c>
      <c r="H5" s="32" t="inlineStr">
        <is>
          <t>% Complete:</t>
        </is>
      </c>
      <c r="I5" s="35">
        <f>IF(E5&gt;0,G5/E5,0)</f>
        <v/>
      </c>
    </row>
    <row r="8" ht="36" customHeight="1" s="28">
      <c r="B8" s="36" t="inlineStr">
        <is>
          <t>Item #</t>
        </is>
      </c>
      <c r="C8" s="36" t="inlineStr">
        <is>
          <t>Requirement</t>
        </is>
      </c>
      <c r="D8" s="36" t="inlineStr">
        <is>
          <t>FAR/DFARS
Reference</t>
        </is>
      </c>
      <c r="E8" s="36" t="inlineStr">
        <is>
          <t>Required
(Y/N/Cond.)</t>
        </is>
      </c>
      <c r="F8" s="36" t="inlineStr">
        <is>
          <t>Complete?</t>
        </is>
      </c>
      <c r="G8" s="36" t="inlineStr">
        <is>
          <t>Location in
Proposal</t>
        </is>
      </c>
      <c r="H8" s="36" t="inlineStr">
        <is>
          <t>Notes</t>
        </is>
      </c>
    </row>
    <row r="9" ht="31.5" customHeight="1" s="28">
      <c r="B9" s="37" t="n">
        <v>1</v>
      </c>
      <c r="C9" s="38" t="inlineStr">
        <is>
          <t>SF 1449 — Solicitation/Contract/Order for Commercial Items (completed, signed)</t>
        </is>
      </c>
      <c r="D9" s="39" t="inlineStr">
        <is>
          <t>FAR 52.212-1 / SF 1449</t>
        </is>
      </c>
      <c r="E9" s="39" t="inlineStr">
        <is>
          <t>Y</t>
        </is>
      </c>
      <c r="F9" s="39" t="n"/>
      <c r="G9" s="38" t="n"/>
      <c r="H9" s="38" t="inlineStr">
        <is>
          <t>Blocks 17a and 30a signed by authorized representative</t>
        </is>
      </c>
    </row>
    <row r="10" ht="31.5" customHeight="1" s="28">
      <c r="B10" s="37" t="n">
        <v>2</v>
      </c>
      <c r="C10" s="38" t="inlineStr">
        <is>
          <t>Pricing volume cover letter with authorized signatory</t>
        </is>
      </c>
      <c r="D10" s="39" t="inlineStr">
        <is>
          <t>Per RFP Section L</t>
        </is>
      </c>
      <c r="E10" s="39" t="inlineStr">
        <is>
          <t>Conditional</t>
        </is>
      </c>
      <c r="F10" s="39" t="n"/>
      <c r="G10" s="38" t="n"/>
      <c r="H10" s="38" t="inlineStr">
        <is>
          <t>Required only if RFP specifies; include CAGE, UEI, legal name</t>
        </is>
      </c>
    </row>
    <row r="11" ht="31.5" customHeight="1" s="28">
      <c r="B11" s="37" t="n">
        <v>3</v>
      </c>
      <c r="C11" s="38" t="inlineStr">
        <is>
          <t>Table of Contents for pricing volume</t>
        </is>
      </c>
      <c r="D11" s="39" t="inlineStr">
        <is>
          <t>Per RFP Section L</t>
        </is>
      </c>
      <c r="E11" s="39" t="inlineStr">
        <is>
          <t>Y</t>
        </is>
      </c>
      <c r="F11" s="39" t="n"/>
      <c r="G11" s="38" t="n"/>
      <c r="H11" s="38" t="inlineStr">
        <is>
          <t>Page numbers must match final PDF</t>
        </is>
      </c>
    </row>
    <row r="12" ht="31.5" customHeight="1" s="28">
      <c r="B12" s="37" t="n">
        <v>4</v>
      </c>
      <c r="C12" s="38" t="inlineStr">
        <is>
          <t>Government-provided price/cost model completed (all CLINs priced)</t>
        </is>
      </c>
      <c r="D12" s="39" t="inlineStr">
        <is>
          <t>Per RFP Section L</t>
        </is>
      </c>
      <c r="E12" s="39" t="inlineStr">
        <is>
          <t>Y</t>
        </is>
      </c>
      <c r="F12" s="39" t="n"/>
      <c r="G12" s="38" t="n"/>
      <c r="H12" s="38" t="inlineStr">
        <is>
          <t>Use Govt template exactly; do not modify structure</t>
        </is>
      </c>
    </row>
    <row r="13" ht="31.5" customHeight="1" s="28">
      <c r="B13" s="37" t="n">
        <v>5</v>
      </c>
      <c r="C13" s="38" t="inlineStr">
        <is>
          <t>CLIN/SLIN structure matches SOW/PWS WBS</t>
        </is>
      </c>
      <c r="D13" s="39" t="inlineStr">
        <is>
          <t>FAR 4.1001</t>
        </is>
      </c>
      <c r="E13" s="39" t="inlineStr">
        <is>
          <t>Y</t>
        </is>
      </c>
      <c r="F13" s="39" t="n"/>
      <c r="G13" s="38" t="n"/>
      <c r="H13" s="38" t="inlineStr">
        <is>
          <t>Every SOW task must map to at least one CLIN</t>
        </is>
      </c>
    </row>
    <row r="14" ht="31.5" customHeight="1" s="28">
      <c r="B14" s="37" t="n">
        <v>6</v>
      </c>
      <c r="C14" s="38" t="inlineStr">
        <is>
          <t>All option periods priced (Base + Option Years)</t>
        </is>
      </c>
      <c r="D14" s="39" t="inlineStr">
        <is>
          <t>FAR 17.2</t>
        </is>
      </c>
      <c r="E14" s="39" t="inlineStr">
        <is>
          <t>Y</t>
        </is>
      </c>
      <c r="F14" s="39" t="n"/>
      <c r="G14" s="38" t="n"/>
      <c r="H14" s="38" t="inlineStr">
        <is>
          <t>Confirm number of option years matches RFP Section B</t>
        </is>
      </c>
    </row>
    <row r="15" ht="31.5" customHeight="1" s="28">
      <c r="B15" s="37" t="n">
        <v>7</v>
      </c>
      <c r="C15" s="38" t="inlineStr">
        <is>
          <t>All CLINs have correct Contract Type designation (FFP/CPFF/T&amp;M)</t>
        </is>
      </c>
      <c r="D15" s="39" t="inlineStr">
        <is>
          <t>FAR 16.1</t>
        </is>
      </c>
      <c r="E15" s="39" t="inlineStr">
        <is>
          <t>Y</t>
        </is>
      </c>
      <c r="F15" s="39" t="n"/>
      <c r="G15" s="38" t="n"/>
      <c r="H15" s="38" t="inlineStr">
        <is>
          <t>Must match Section B; mixed types require separate line items</t>
        </is>
      </c>
    </row>
    <row r="16" ht="31.5" customHeight="1" s="28">
      <c r="B16" s="37" t="n">
        <v>8</v>
      </c>
      <c r="C16" s="38" t="inlineStr">
        <is>
          <t>CLIN descriptions match SOW task descriptions verbatim</t>
        </is>
      </c>
      <c r="D16" s="39" t="inlineStr">
        <is>
          <t>FAR 4.1001</t>
        </is>
      </c>
      <c r="E16" s="39" t="inlineStr">
        <is>
          <t>Y</t>
        </is>
      </c>
      <c r="F16" s="39" t="n"/>
      <c r="G16" s="38" t="n"/>
      <c r="H16" s="38" t="inlineStr">
        <is>
          <t>Use exact Government language; do not paraphrase</t>
        </is>
      </c>
    </row>
    <row r="17" ht="31.5" customHeight="1" s="28">
      <c r="B17" s="37" t="n">
        <v>9</v>
      </c>
      <c r="C17" s="38" t="inlineStr">
        <is>
          <t>Direct labor categories (LCATs) listed with descriptions</t>
        </is>
      </c>
      <c r="D17" s="39" t="inlineStr">
        <is>
          <t>FAR 15.408, Table 15-2</t>
        </is>
      </c>
      <c r="E17" s="39" t="inlineStr">
        <is>
          <t>Y</t>
        </is>
      </c>
      <c r="F17" s="39" t="n"/>
      <c r="G17" s="38" t="n"/>
      <c r="H17" s="38" t="inlineStr">
        <is>
          <t>Must match LCATs in technical/staffing plan</t>
        </is>
      </c>
    </row>
    <row r="18" ht="31.5" customHeight="1" s="28">
      <c r="B18" s="37" t="n">
        <v>10</v>
      </c>
      <c r="C18" s="38" t="inlineStr">
        <is>
          <t>Direct labor hours broken out by LCAT by CLIN by period</t>
        </is>
      </c>
      <c r="D18" s="39" t="inlineStr">
        <is>
          <t>FAR 15.408, Table 15-2</t>
        </is>
      </c>
      <c r="E18" s="39" t="inlineStr">
        <is>
          <t>Y</t>
        </is>
      </c>
      <c r="F18" s="39" t="n"/>
      <c r="G18" s="38" t="n"/>
      <c r="H18" s="38" t="inlineStr">
        <is>
          <t>Hours must reconcile to staffing plan in Management volume</t>
        </is>
      </c>
    </row>
    <row r="19" ht="31.5" customHeight="1" s="28">
      <c r="B19" s="37" t="n">
        <v>11</v>
      </c>
      <c r="C19" s="38" t="inlineStr">
        <is>
          <t>Direct labor rates provided for each LCAT</t>
        </is>
      </c>
      <c r="D19" s="39" t="inlineStr">
        <is>
          <t>FAR 15.408, Table 15-2</t>
        </is>
      </c>
      <c r="E19" s="39" t="inlineStr">
        <is>
          <t>Y</t>
        </is>
      </c>
      <c r="F19" s="39" t="n"/>
      <c r="G19" s="38" t="n"/>
      <c r="H19" s="38" t="inlineStr">
        <is>
          <t>If escalation applied, state rate and percentage per year</t>
        </is>
      </c>
    </row>
    <row r="20" ht="31.5" customHeight="1" s="28">
      <c r="B20" s="37" t="n">
        <v>12</v>
      </c>
      <c r="C20" s="38" t="inlineStr">
        <is>
          <t>FPRA/FPRR or provisional rate documentation attached</t>
        </is>
      </c>
      <c r="D20" s="39" t="inlineStr">
        <is>
          <t>FAR 42.1701</t>
        </is>
      </c>
      <c r="E20" s="39" t="inlineStr">
        <is>
          <t>Conditional</t>
        </is>
      </c>
      <c r="F20" s="39" t="n"/>
      <c r="G20" s="38" t="n"/>
      <c r="H20" s="38" t="inlineStr">
        <is>
          <t>Required if DCAA-approved rates exist; otherwise provide basis of estimate</t>
        </is>
      </c>
    </row>
    <row r="21" ht="31.5" customHeight="1" s="28">
      <c r="B21" s="37" t="n">
        <v>13</v>
      </c>
      <c r="C21" s="38" t="inlineStr">
        <is>
          <t>Labor rate escalation factors documented and sourced</t>
        </is>
      </c>
      <c r="D21" s="39" t="inlineStr">
        <is>
          <t>FAR 15.404-1</t>
        </is>
      </c>
      <c r="E21" s="39" t="inlineStr">
        <is>
          <t>Conditional</t>
        </is>
      </c>
      <c r="F21" s="39" t="n"/>
      <c r="G21" s="38" t="n"/>
      <c r="H21" s="38" t="inlineStr">
        <is>
          <t>Reference BLS ECI, contract terms, or company policy</t>
        </is>
      </c>
    </row>
    <row r="22" ht="31.5" customHeight="1" s="28">
      <c r="B22" s="37" t="n">
        <v>14</v>
      </c>
      <c r="C22" s="38" t="inlineStr">
        <is>
          <t>Uncompensated overtime policy stated (if applicable)</t>
        </is>
      </c>
      <c r="D22" s="39" t="inlineStr">
        <is>
          <t>FAR 37.115 / DFARS 237.170</t>
        </is>
      </c>
      <c r="E22" s="39" t="inlineStr">
        <is>
          <t>Conditional</t>
        </is>
      </c>
      <c r="F22" s="39" t="n"/>
      <c r="G22" s="38" t="n"/>
      <c r="H22" s="38" t="inlineStr">
        <is>
          <t>State whether professional staff are exempt; impact on rates</t>
        </is>
      </c>
    </row>
    <row r="23" ht="31.5" customHeight="1" s="28">
      <c r="B23" s="37" t="n">
        <v>15</v>
      </c>
      <c r="C23" s="38" t="inlineStr">
        <is>
          <t>Fringe benefit rate documented with basis</t>
        </is>
      </c>
      <c r="D23" s="39" t="inlineStr">
        <is>
          <t>FAR 15.408, Table 15-2</t>
        </is>
      </c>
      <c r="E23" s="39" t="inlineStr">
        <is>
          <t>Y</t>
        </is>
      </c>
      <c r="F23" s="39" t="n"/>
      <c r="G23" s="38" t="n"/>
      <c r="H23" s="38" t="inlineStr">
        <is>
          <t>Percentage and base to which it applies</t>
        </is>
      </c>
    </row>
    <row r="24" ht="31.5" customHeight="1" s="28">
      <c r="B24" s="37" t="n">
        <v>16</v>
      </c>
      <c r="C24" s="38" t="inlineStr">
        <is>
          <t>Overhead rate documented with basis</t>
        </is>
      </c>
      <c r="D24" s="39" t="inlineStr">
        <is>
          <t>FAR 15.408, Table 15-2</t>
        </is>
      </c>
      <c r="E24" s="39" t="inlineStr">
        <is>
          <t>Y</t>
        </is>
      </c>
      <c r="F24" s="39" t="n"/>
      <c r="G24" s="38" t="n"/>
      <c r="H24" s="38" t="inlineStr">
        <is>
          <t>Applied to direct labor + fringe; state pool and base</t>
        </is>
      </c>
    </row>
    <row r="25" ht="31.5" customHeight="1" s="28">
      <c r="B25" s="37" t="n">
        <v>17</v>
      </c>
      <c r="C25" s="38" t="inlineStr">
        <is>
          <t>G&amp;A rate documented with basis</t>
        </is>
      </c>
      <c r="D25" s="39" t="inlineStr">
        <is>
          <t>FAR 15.408, Table 15-2</t>
        </is>
      </c>
      <c r="E25" s="39" t="inlineStr">
        <is>
          <t>Y</t>
        </is>
      </c>
      <c r="F25" s="39" t="n"/>
      <c r="G25" s="38" t="n"/>
      <c r="H25" s="38" t="inlineStr">
        <is>
          <t>Applied to total cost input or value-added base; specify which</t>
        </is>
      </c>
    </row>
    <row r="26" ht="31.5" customHeight="1" s="28">
      <c r="B26" s="37" t="n">
        <v>18</v>
      </c>
      <c r="C26" s="38" t="inlineStr">
        <is>
          <t>DCAA audit status of indirect rates disclosed</t>
        </is>
      </c>
      <c r="D26" s="39" t="inlineStr">
        <is>
          <t>FAR 42.1701</t>
        </is>
      </c>
      <c r="E26" s="39" t="inlineStr">
        <is>
          <t>Y</t>
        </is>
      </c>
      <c r="F26" s="39" t="n"/>
      <c r="G26" s="38" t="n"/>
      <c r="H26" s="38" t="inlineStr">
        <is>
          <t>State: DCAA-approved / audited / provisional / estimated</t>
        </is>
      </c>
    </row>
    <row r="27" ht="31.5" customHeight="1" s="28">
      <c r="B27" s="37" t="n">
        <v>19</v>
      </c>
      <c r="C27" s="38" t="inlineStr">
        <is>
          <t>Rate build-up/waterfall (wrapping calculation) shown</t>
        </is>
      </c>
      <c r="D27" s="39" t="inlineStr">
        <is>
          <t>FAR 15.408</t>
        </is>
      </c>
      <c r="E27" s="39" t="inlineStr">
        <is>
          <t>Y</t>
        </is>
      </c>
      <c r="F27" s="39" t="n"/>
      <c r="G27" s="38" t="n"/>
      <c r="H27" s="38" t="inlineStr">
        <is>
          <t>Show: base rate → +fringe → +overhead → +G&amp;A → fully loaded rate</t>
        </is>
      </c>
    </row>
    <row r="28" ht="31.5" customHeight="1" s="28">
      <c r="B28" s="37" t="n">
        <v>20</v>
      </c>
      <c r="C28" s="38" t="inlineStr">
        <is>
          <t>Travel costs broken out (trips, destination, duration, per diem)</t>
        </is>
      </c>
      <c r="D28" s="39" t="inlineStr">
        <is>
          <t>FAR 31.205-46 / JTR</t>
        </is>
      </c>
      <c r="E28" s="39" t="inlineStr">
        <is>
          <t>Y</t>
        </is>
      </c>
      <c r="F28" s="39" t="n"/>
      <c r="G28" s="38" t="n"/>
      <c r="H28" s="38" t="inlineStr">
        <is>
          <t>Use JTR rates for per diem; cite specific destinations</t>
        </is>
      </c>
    </row>
    <row r="29" ht="31.5" customHeight="1" s="28">
      <c r="B29" s="37" t="n">
        <v>21</v>
      </c>
      <c r="C29" s="38" t="inlineStr">
        <is>
          <t>Materials and supplies itemized</t>
        </is>
      </c>
      <c r="D29" s="39" t="inlineStr">
        <is>
          <t>FAR 15.408, Table 15-2</t>
        </is>
      </c>
      <c r="E29" s="39" t="inlineStr">
        <is>
          <t>Conditional</t>
        </is>
      </c>
      <c r="F29" s="39" t="n"/>
      <c r="G29" s="38" t="n"/>
      <c r="H29" s="38" t="inlineStr">
        <is>
          <t>Required if ODC CLINs exist; provide quantities and unit costs</t>
        </is>
      </c>
    </row>
    <row r="30" ht="31.5" customHeight="1" s="28">
      <c r="B30" s="37" t="n">
        <v>22</v>
      </c>
      <c r="C30" s="38" t="inlineStr">
        <is>
          <t>Subcontractor cost proposals attached for each subcontractor</t>
        </is>
      </c>
      <c r="D30" s="39" t="inlineStr">
        <is>
          <t>FAR 15.404-3</t>
        </is>
      </c>
      <c r="E30" s="39" t="inlineStr">
        <is>
          <t>Y</t>
        </is>
      </c>
      <c r="F30" s="39" t="n"/>
      <c r="G30" s="38" t="n"/>
      <c r="H30" s="38" t="inlineStr">
        <is>
          <t>Each sub must provide their own cost/price proposal</t>
        </is>
      </c>
    </row>
    <row r="31" ht="31.5" customHeight="1" s="28">
      <c r="B31" s="37" t="n">
        <v>23</v>
      </c>
      <c r="C31" s="38" t="inlineStr">
        <is>
          <t>Subcontractor cost/price analysis summary provided</t>
        </is>
      </c>
      <c r="D31" s="39" t="inlineStr">
        <is>
          <t>FAR 15.404-3</t>
        </is>
      </c>
      <c r="E31" s="39" t="inlineStr">
        <is>
          <t>Y</t>
        </is>
      </c>
      <c r="F31" s="39" t="n"/>
      <c r="G31" s="38" t="n"/>
      <c r="H31" s="38" t="inlineStr">
        <is>
          <t>Prime must demonstrate sub prices are fair and reasonable</t>
        </is>
      </c>
    </row>
    <row r="32" ht="31.5" customHeight="1" s="28">
      <c r="B32" s="37" t="n">
        <v>24</v>
      </c>
      <c r="C32" s="38" t="inlineStr">
        <is>
          <t>Other Direct Costs (ODCs) itemized and justified</t>
        </is>
      </c>
      <c r="D32" s="39" t="inlineStr">
        <is>
          <t>FAR 15.408, Table 15-2</t>
        </is>
      </c>
      <c r="E32" s="39" t="inlineStr">
        <is>
          <t>Y</t>
        </is>
      </c>
      <c r="F32" s="39" t="n"/>
      <c r="G32" s="38" t="n"/>
      <c r="H32" s="38" t="inlineStr">
        <is>
          <t>Equipment, licenses, training, certifications — justify each</t>
        </is>
      </c>
    </row>
    <row r="33" ht="31.5" customHeight="1" s="28">
      <c r="B33" s="37" t="n">
        <v>25</v>
      </c>
      <c r="C33" s="38" t="inlineStr">
        <is>
          <t>Material handling rate disclosed (if applicable)</t>
        </is>
      </c>
      <c r="D33" s="39" t="inlineStr">
        <is>
          <t>FAR 31.205-26</t>
        </is>
      </c>
      <c r="E33" s="39" t="inlineStr">
        <is>
          <t>Conditional</t>
        </is>
      </c>
      <c r="F33" s="39" t="n"/>
      <c r="G33" s="38" t="n"/>
      <c r="H33" s="38" t="inlineStr">
        <is>
          <t>Rate applied to material/subcontract costs through your system</t>
        </is>
      </c>
    </row>
    <row r="34" ht="31.5" customHeight="1" s="28">
      <c r="B34" s="37" t="n">
        <v>26</v>
      </c>
      <c r="C34" s="38" t="inlineStr">
        <is>
          <t>Fee/profit percentage stated and justified</t>
        </is>
      </c>
      <c r="D34" s="39" t="inlineStr">
        <is>
          <t>FAR 15.404-4</t>
        </is>
      </c>
      <c r="E34" s="39" t="inlineStr">
        <is>
          <t>Y</t>
        </is>
      </c>
      <c r="F34" s="39" t="n"/>
      <c r="G34" s="38" t="n"/>
      <c r="H34" s="38" t="inlineStr">
        <is>
          <t>Reference weighted guidelines method (DFARS 215.404-71)</t>
        </is>
      </c>
    </row>
    <row r="35" ht="31.5" customHeight="1" s="28">
      <c r="B35" s="37" t="n">
        <v>27</v>
      </c>
      <c r="C35" s="38" t="inlineStr">
        <is>
          <t>Fee/profit narrative explains risk, investment, and complexity</t>
        </is>
      </c>
      <c r="D35" s="39" t="inlineStr">
        <is>
          <t>DFARS 215.404-71</t>
        </is>
      </c>
      <c r="E35" s="39" t="inlineStr">
        <is>
          <t>Y</t>
        </is>
      </c>
      <c r="F35" s="39" t="n"/>
      <c r="G35" s="38" t="n"/>
      <c r="H35" s="38" t="inlineStr">
        <is>
          <t>Higher fee requires higher risk justification</t>
        </is>
      </c>
    </row>
    <row r="36" ht="31.5" customHeight="1" s="28">
      <c r="B36" s="37" t="n">
        <v>28</v>
      </c>
      <c r="C36" s="38" t="inlineStr">
        <is>
          <t>TINA threshold check — certified cost or pricing data required?</t>
        </is>
      </c>
      <c r="D36" s="39" t="inlineStr">
        <is>
          <t>FAR 15.403-4 (&gt;$2.5M)</t>
        </is>
      </c>
      <c r="E36" s="39" t="inlineStr">
        <is>
          <t>Y</t>
        </is>
      </c>
      <c r="F36" s="39" t="n"/>
      <c r="G36" s="38" t="n"/>
      <c r="H36" s="38" t="inlineStr">
        <is>
          <t>If total price &gt;$2.5M, certify per FAR 15.406-2 unless exemption applies</t>
        </is>
      </c>
    </row>
    <row r="37" ht="31.5" customHeight="1" s="28">
      <c r="B37" s="37" t="n">
        <v>29</v>
      </c>
      <c r="C37" s="38" t="inlineStr">
        <is>
          <t>Certificate of Current Cost or Pricing Data (if required)</t>
        </is>
      </c>
      <c r="D37" s="39" t="inlineStr">
        <is>
          <t>FAR 15.406-2</t>
        </is>
      </c>
      <c r="E37" s="39" t="inlineStr">
        <is>
          <t>Conditional</t>
        </is>
      </c>
      <c r="F37" s="39" t="n"/>
      <c r="G37" s="38" t="n"/>
      <c r="H37" s="38" t="inlineStr">
        <is>
          <t>Required if above TINA threshold and no exception per FAR 15.403-1</t>
        </is>
      </c>
    </row>
    <row r="38" ht="31.5" customHeight="1" s="28">
      <c r="B38" s="37" t="n">
        <v>30</v>
      </c>
      <c r="C38" s="38" t="inlineStr">
        <is>
          <t>Price realism narrative (for cost-type contracts)</t>
        </is>
      </c>
      <c r="D38" s="39" t="inlineStr">
        <is>
          <t>FAR 15.404-1(d)</t>
        </is>
      </c>
      <c r="E38" s="39" t="inlineStr">
        <is>
          <t>Conditional</t>
        </is>
      </c>
      <c r="F38" s="39" t="n"/>
      <c r="G38" s="38" t="n"/>
      <c r="H38" s="38" t="inlineStr">
        <is>
          <t>Required for cost-reimbursement; explain why costs are realistic, not low</t>
        </is>
      </c>
    </row>
    <row r="39" ht="31.5" customHeight="1" s="28">
      <c r="B39" s="37" t="n">
        <v>31</v>
      </c>
      <c r="C39" s="38" t="inlineStr">
        <is>
          <t>Price reasonableness analysis support (for FFP)</t>
        </is>
      </c>
      <c r="D39" s="39" t="inlineStr">
        <is>
          <t>FAR 15.404-1(b)</t>
        </is>
      </c>
      <c r="E39" s="39" t="inlineStr">
        <is>
          <t>Conditional</t>
        </is>
      </c>
      <c r="F39" s="39" t="n"/>
      <c r="G39" s="38" t="n"/>
      <c r="H39" s="38" t="inlineStr">
        <is>
          <t>Provide market data, historical pricing, or competitive analysis</t>
        </is>
      </c>
    </row>
    <row r="40" ht="31.5" customHeight="1" s="28">
      <c r="B40" s="37" t="n">
        <v>32</v>
      </c>
      <c r="C40" s="38" t="inlineStr">
        <is>
          <t>SAM.gov registration current and active</t>
        </is>
      </c>
      <c r="D40" s="39" t="inlineStr">
        <is>
          <t>FAR 52.204-7</t>
        </is>
      </c>
      <c r="E40" s="39" t="inlineStr">
        <is>
          <t>Y</t>
        </is>
      </c>
      <c r="F40" s="39" t="n"/>
      <c r="G40" s="38" t="n"/>
      <c r="H40" s="38" t="inlineStr">
        <is>
          <t>Verify expiration date; print SAM.gov entity page</t>
        </is>
      </c>
    </row>
    <row r="41" ht="31.5" customHeight="1" s="28">
      <c r="B41" s="37" t="n">
        <v>33</v>
      </c>
      <c r="C41" s="38" t="inlineStr">
        <is>
          <t>CAGE code correct and current</t>
        </is>
      </c>
      <c r="D41" s="39" t="inlineStr">
        <is>
          <t>DFARS 204.1870</t>
        </is>
      </c>
      <c r="E41" s="39" t="inlineStr">
        <is>
          <t>Y</t>
        </is>
      </c>
      <c r="F41" s="39" t="n"/>
      <c r="G41" s="38" t="n"/>
      <c r="H41" s="38" t="inlineStr">
        <is>
          <t>Must match SAM.gov registration; verify at cage.dla.mil</t>
        </is>
      </c>
    </row>
    <row r="42" ht="31.5" customHeight="1" s="28">
      <c r="B42" s="37" t="n">
        <v>34</v>
      </c>
      <c r="C42" s="38" t="inlineStr">
        <is>
          <t>Size standard certification (small business self-certification)</t>
        </is>
      </c>
      <c r="D42" s="39" t="inlineStr">
        <is>
          <t>FAR 19.301</t>
        </is>
      </c>
      <c r="E42" s="39" t="inlineStr">
        <is>
          <t>Y</t>
        </is>
      </c>
      <c r="F42" s="39" t="n"/>
      <c r="G42" s="38" t="n"/>
      <c r="H42" s="38" t="inlineStr">
        <is>
          <t>Based on NAICS code in RFP; verify at SBA.gov</t>
        </is>
      </c>
    </row>
    <row r="43" ht="31.5" customHeight="1" s="28">
      <c r="B43" s="37" t="n">
        <v>35</v>
      </c>
      <c r="C43" s="38" t="inlineStr">
        <is>
          <t>Representations and Certifications (FAR 52.204-8 or SAM printout)</t>
        </is>
      </c>
      <c r="D43" s="39" t="inlineStr">
        <is>
          <t>FAR 52.204-8</t>
        </is>
      </c>
      <c r="E43" s="39" t="inlineStr">
        <is>
          <t>Y</t>
        </is>
      </c>
      <c r="F43" s="39" t="n"/>
      <c r="G43" s="38" t="n"/>
      <c r="H43" s="38" t="inlineStr">
        <is>
          <t>Complete in SAM.gov or provide with proposal per RFP instructions</t>
        </is>
      </c>
    </row>
    <row r="44" ht="31.5" customHeight="1" s="28">
      <c r="B44" s="37" t="n">
        <v>36</v>
      </c>
      <c r="C44" s="38" t="inlineStr">
        <is>
          <t>DD Form 1423 — CDRLs completed for all required deliverables</t>
        </is>
      </c>
      <c r="D44" s="39" t="inlineStr">
        <is>
          <t>DFARS 215.470</t>
        </is>
      </c>
      <c r="E44" s="39" t="inlineStr">
        <is>
          <t>Conditional</t>
        </is>
      </c>
      <c r="F44" s="39" t="n"/>
      <c r="G44" s="38" t="n"/>
      <c r="H44" s="38" t="inlineStr">
        <is>
          <t>One form per deliverable; match DID numbers to SOW</t>
        </is>
      </c>
    </row>
    <row r="45" ht="31.5" customHeight="1" s="28">
      <c r="B45" s="37" t="n">
        <v>37</v>
      </c>
      <c r="C45" s="38" t="inlineStr">
        <is>
          <t>Basis of Estimate (BOE) narrative for each cost element</t>
        </is>
      </c>
      <c r="D45" s="39" t="inlineStr">
        <is>
          <t>FAR 15.408, Table 15-2</t>
        </is>
      </c>
      <c r="E45" s="39" t="inlineStr">
        <is>
          <t>Y</t>
        </is>
      </c>
      <c r="F45" s="39" t="n"/>
      <c r="G45" s="38" t="n"/>
      <c r="H45" s="38" t="inlineStr">
        <is>
          <t>Explain methodology for each major cost: labor, ODC, travel, subs</t>
        </is>
      </c>
    </row>
    <row r="46" ht="31.5" customHeight="1" s="28">
      <c r="B46" s="37" t="n">
        <v>38</v>
      </c>
      <c r="C46" s="38" t="inlineStr">
        <is>
          <t>Wage Determination compliance statement (SCA/DBA)</t>
        </is>
      </c>
      <c r="D46" s="39" t="inlineStr">
        <is>
          <t>FAR 22.1002 / 29 CFR 4</t>
        </is>
      </c>
      <c r="E46" s="39" t="inlineStr">
        <is>
          <t>Conditional</t>
        </is>
      </c>
      <c r="F46" s="39" t="n"/>
      <c r="G46" s="38" t="n"/>
      <c r="H46" s="38" t="inlineStr">
        <is>
          <t>Required if Service Contract Act applies; cite WD number from SAM.gov</t>
        </is>
      </c>
    </row>
    <row r="47" ht="31.5" customHeight="1" s="28">
      <c r="B47" s="37" t="n">
        <v>39</v>
      </c>
      <c r="C47" s="38" t="inlineStr">
        <is>
          <t>Small Business Subcontracting Plan (if &gt;$750K)</t>
        </is>
      </c>
      <c r="D47" s="39" t="inlineStr">
        <is>
          <t>FAR 52.219-9</t>
        </is>
      </c>
      <c r="E47" s="39" t="inlineStr">
        <is>
          <t>Conditional</t>
        </is>
      </c>
      <c r="F47" s="39" t="n"/>
      <c r="G47" s="38" t="n"/>
      <c r="H47" s="38" t="inlineStr">
        <is>
          <t>Required for other-than-small business &gt;$750K; include all SB category goals</t>
        </is>
      </c>
    </row>
    <row r="48" ht="31.5" customHeight="1" s="28">
      <c r="B48" s="37" t="n">
        <v>40</v>
      </c>
      <c r="C48" s="38" t="inlineStr">
        <is>
          <t>Cross-reference: pricing labor hours match staffing plan in Vol II</t>
        </is>
      </c>
      <c r="D48" s="39" t="inlineStr">
        <is>
          <t>Internal QC</t>
        </is>
      </c>
      <c r="E48" s="39" t="inlineStr">
        <is>
          <t>Y</t>
        </is>
      </c>
      <c r="F48" s="39" t="n"/>
      <c r="G48" s="38" t="n"/>
      <c r="H48" s="38" t="inlineStr">
        <is>
          <t>Total hours by LCAT must reconcile exactly between Price and Management volumes</t>
        </is>
      </c>
    </row>
    <row r="50">
      <c r="B50" s="56" t="inlineStr">
        <is>
          <t>License &amp; Use</t>
        </is>
      </c>
    </row>
    <row r="51">
      <c r="B51" s="57" t="inlineStr">
        <is>
          <t>This template is licensed for use on one program, by one organization, under your Acqlerate purchase. Customize the text, branding, and layout freely for your own program. Deploying it company-wide, sharing it outside your organization, or reselling it requires an Acqlerate Team License (acqlerate.com/team).</t>
        </is>
      </c>
    </row>
  </sheetData>
  <mergeCells count="3">
    <mergeCell ref="B3:H3"/>
    <mergeCell ref="B2:H2"/>
    <mergeCell ref="B5:C5"/>
  </mergeCells>
  <conditionalFormatting sqref="F9:F48">
    <cfRule type="cellIs" rank="0" priority="2" equalAverage="0" operator="equal" aboveAverage="0" dxfId="0" text="" percent="0" bottom="0">
      <formula>"Yes"</formula>
    </cfRule>
    <cfRule type="cellIs" rank="0" priority="3" equalAverage="0" operator="equal" aboveAverage="0" dxfId="1" text="" percent="0" bottom="0">
      <formula>"No"</formula>
    </cfRule>
    <cfRule type="cellIs" rank="0" priority="4" equalAverage="0" operator="equal" aboveAverage="0" dxfId="2" text="" percent="0" bottom="0">
      <formula>"In Progress"</formula>
    </cfRule>
  </conditionalFormatting>
  <dataValidations count="2">
    <dataValidation sqref="E9:E48" showDropDown="0" showInputMessage="0" showErrorMessage="0" allowBlank="1" type="list" errorStyle="stop" operator="between">
      <formula1>"Y,N,Conditional"</formula1>
      <formula2>0</formula2>
    </dataValidation>
    <dataValidation sqref="F9:F48" showDropDown="0" showInputMessage="0" showErrorMessage="0" allowBlank="1" type="list" errorStyle="stop" operator="between">
      <formula1>"Yes,No,N/A,In Progress"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H40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style="28" min="1" max="1"/>
    <col width="16" customWidth="1" style="28" min="2" max="2"/>
    <col width="42" customWidth="1" style="28" min="3" max="3"/>
    <col width="42" customWidth="1" style="28" min="4" max="4"/>
    <col width="42" customWidth="1" style="28" min="5" max="5"/>
    <col width="12" customWidth="1" style="28" min="6" max="6"/>
    <col width="14" customWidth="1" style="28" min="7" max="7"/>
    <col width="36" customWidth="1" style="28" min="8" max="8"/>
  </cols>
  <sheetData>
    <row r="2">
      <c r="B2" s="60" t="inlineStr">
        <is>
          <t>Cost Realism Self-Check: Would the Government Believe Your Price?</t>
        </is>
      </c>
    </row>
    <row r="3" ht="30" customHeight="1" s="28">
      <c r="B3" s="61" t="inlineStr">
        <is>
          <t>The questions a DoD cost/price analyst asks under FAR 15.404-1(d). Answer each before submission. A low price the government does not believe gets adjusted upward for evaluation, and you lose the advantage you cut margin for.</t>
        </is>
      </c>
    </row>
    <row r="5">
      <c r="B5" s="62" t="inlineStr">
        <is>
          <t>Category</t>
        </is>
      </c>
      <c r="C5" s="62" t="inlineStr">
        <is>
          <t>The question the analyst asks</t>
        </is>
      </c>
      <c r="D5" s="62" t="inlineStr">
        <is>
          <t>What a strong answer looks like</t>
        </is>
      </c>
      <c r="E5" s="62" t="inlineStr">
        <is>
          <t>Typical finding if weak</t>
        </is>
      </c>
      <c r="F5" s="62" t="inlineStr">
        <is>
          <t>Risk if weak</t>
        </is>
      </c>
      <c r="G5" s="62" t="inlineStr">
        <is>
          <t>Status</t>
        </is>
      </c>
      <c r="H5" s="62" t="inlineStr">
        <is>
          <t>Your evidence / notes</t>
        </is>
      </c>
    </row>
    <row r="6" ht="70" customHeight="1" s="28">
      <c r="B6" s="63" t="inlineStr">
        <is>
          <t>Labor rates</t>
        </is>
      </c>
      <c r="C6" s="64" t="inlineStr">
        <is>
          <t>Are proposed labor rates realistic for the labor categories, the location, and the clearance level required?</t>
        </is>
      </c>
      <c r="D6" s="65" t="inlineStr">
        <is>
          <t>Rates tied to a named source: BLS, GSA MAS, your forward pricing rate agreement, or current payroll for the same LCATs. A rate build-up per category.</t>
        </is>
      </c>
      <c r="E6" s="65" t="inlineStr">
        <is>
          <t>Rates below market for cleared labor. Government adjusts upward to its own IGCE rate for evaluation; you lose the price advantage and gain a realism weakness.</t>
        </is>
      </c>
      <c r="F6" s="66" t="inlineStr">
        <is>
          <t>High</t>
        </is>
      </c>
      <c r="G6" s="66" t="inlineStr">
        <is>
          <t>Not Checked</t>
        </is>
      </c>
      <c r="H6" s="67" t="n"/>
    </row>
    <row r="7" ht="70" customHeight="1" s="28">
      <c r="B7" s="68" t="inlineStr">
        <is>
          <t>Labor rates</t>
        </is>
      </c>
      <c r="C7" s="69" t="inlineStr">
        <is>
          <t>Do the rates escalate over the period of performance, and is the escalation defensible?</t>
        </is>
      </c>
      <c r="D7" s="70" t="inlineStr">
        <is>
          <t>Annual escalation stated, with the basis (ECI, DoL wage determination, your actual history). Consistent across volumes.</t>
        </is>
      </c>
      <c r="E7" s="70" t="inlineStr">
        <is>
          <t>Flat rates across five years. Analyst applies escalation for you and your evaluated price rises.</t>
        </is>
      </c>
      <c r="F7" s="71" t="inlineStr">
        <is>
          <t>High</t>
        </is>
      </c>
      <c r="G7" s="71" t="inlineStr">
        <is>
          <t>Not Checked</t>
        </is>
      </c>
      <c r="H7" s="72" t="n"/>
    </row>
    <row r="8" ht="70" customHeight="1" s="28">
      <c r="B8" s="63" t="inlineStr">
        <is>
          <t>Labor hours</t>
        </is>
      </c>
      <c r="C8" s="64" t="inlineStr">
        <is>
          <t>Are proposed hours sufficient to perform the PWS as your technical volume describes it?</t>
        </is>
      </c>
      <c r="D8" s="65" t="inlineStr">
        <is>
          <t>A basis of estimate by task showing how hours were derived. Hours in the price volume match the staffing in the technical volume.</t>
        </is>
      </c>
      <c r="E8" s="65" t="inlineStr">
        <is>
          <t>Technical volume promises 24/7 coverage or surge capacity; hours support one shift. The two volumes contradict each other.</t>
        </is>
      </c>
      <c r="F8" s="66" t="inlineStr">
        <is>
          <t>High</t>
        </is>
      </c>
      <c r="G8" s="66" t="inlineStr">
        <is>
          <t>Not Checked</t>
        </is>
      </c>
      <c r="H8" s="67" t="n"/>
    </row>
    <row r="9" ht="70" customHeight="1" s="28">
      <c r="B9" s="68" t="inlineStr">
        <is>
          <t>Labor hours</t>
        </is>
      </c>
      <c r="C9" s="69" t="inlineStr">
        <is>
          <t>Is the productive-hours assumption realistic?</t>
        </is>
      </c>
      <c r="D9" s="70" t="inlineStr">
        <is>
          <t>Productive hours per FTE stated (typically 1,880 to 1,920 for a 2,080-hour year) with leave and training accounted for.</t>
        </is>
      </c>
      <c r="E9" s="70" t="inlineStr">
        <is>
          <t>2,080 productive hours per FTE. Nobody works every hour of the year; the analyst knows it.</t>
        </is>
      </c>
      <c r="F9" s="71" t="inlineStr">
        <is>
          <t>High</t>
        </is>
      </c>
      <c r="G9" s="71" t="inlineStr">
        <is>
          <t>Not Checked</t>
        </is>
      </c>
      <c r="H9" s="72" t="n"/>
    </row>
    <row r="10" ht="70" customHeight="1" s="28">
      <c r="B10" s="63" t="inlineStr">
        <is>
          <t>Labor mix</t>
        </is>
      </c>
      <c r="C10" s="64" t="inlineStr">
        <is>
          <t>Does the labor mix (senior vs. junior) match the complexity described in the technical volume?</t>
        </is>
      </c>
      <c r="D10" s="65" t="inlineStr">
        <is>
          <t>Mix justified by task. Senior hours where the technical volume says the work is hard.</t>
        </is>
      </c>
      <c r="E10" s="65" t="inlineStr">
        <is>
          <t>A senior-heavy technical narrative priced with a junior-heavy team, or the reverse.</t>
        </is>
      </c>
      <c r="F10" s="66" t="inlineStr">
        <is>
          <t>Medium</t>
        </is>
      </c>
      <c r="G10" s="66" t="inlineStr">
        <is>
          <t>Not Checked</t>
        </is>
      </c>
      <c r="H10" s="67" t="n"/>
    </row>
    <row r="11" ht="70" customHeight="1" s="28">
      <c r="B11" s="68" t="inlineStr">
        <is>
          <t>Uncompensated overtime</t>
        </is>
      </c>
      <c r="C11" s="69" t="inlineStr">
        <is>
          <t>Are you relying on uncompensated overtime to make the price work?</t>
        </is>
      </c>
      <c r="D11" s="70" t="inlineStr">
        <is>
          <t>Per FAR 52.237-10, disclose it if proposed. State the policy and show it is applied consistently, not just to this bid.</t>
        </is>
      </c>
      <c r="E11" s="70" t="inlineStr">
        <is>
          <t>Undisclosed uncompensated overtime discovered in the rate build-up. Realism finding and a credibility problem.</t>
        </is>
      </c>
      <c r="F11" s="71" t="inlineStr">
        <is>
          <t>Medium</t>
        </is>
      </c>
      <c r="G11" s="71" t="inlineStr">
        <is>
          <t>Not Checked</t>
        </is>
      </c>
      <c r="H11" s="72" t="n"/>
    </row>
    <row r="12" ht="70" customHeight="1" s="28">
      <c r="B12" s="63" t="inlineStr">
        <is>
          <t>Indirect rates</t>
        </is>
      </c>
      <c r="C12" s="64" t="inlineStr">
        <is>
          <t>Are fringe, overhead, and G&amp;A consistent with your FPRA, FPRP, or most recent DCAA-accepted rates?</t>
        </is>
      </c>
      <c r="D12" s="65" t="inlineStr">
        <is>
          <t>Rates match the agreement or are explained. If you are bidding below your accepted rates, say why and show it is sustainable.</t>
        </is>
      </c>
      <c r="E12" s="65" t="inlineStr">
        <is>
          <t>Bid rates lower than your DCAA-accepted rates with no explanation. Analyst substitutes the accepted rates.</t>
        </is>
      </c>
      <c r="F12" s="66" t="inlineStr">
        <is>
          <t>Medium</t>
        </is>
      </c>
      <c r="G12" s="66" t="inlineStr">
        <is>
          <t>Not Checked</t>
        </is>
      </c>
      <c r="H12" s="67" t="n"/>
    </row>
    <row r="13" ht="70" customHeight="1" s="28">
      <c r="B13" s="68" t="inlineStr">
        <is>
          <t>Indirect rates</t>
        </is>
      </c>
      <c r="C13" s="69" t="inlineStr">
        <is>
          <t>Is the indirect rate base applied correctly (e.g., overhead on direct labor plus fringe, G&amp;A on total cost input)?</t>
        </is>
      </c>
      <c r="D13" s="70" t="inlineStr">
        <is>
          <t>Rate build-up shows each base explicitly. Consistent with your disclosed accounting practices.</t>
        </is>
      </c>
      <c r="E13" s="70" t="inlineStr">
        <is>
          <t>Overhead applied to a base that excludes fringe when your disclosure statement says it includes it. Recalculated for you.</t>
        </is>
      </c>
      <c r="F13" s="71" t="inlineStr">
        <is>
          <t>Medium</t>
        </is>
      </c>
      <c r="G13" s="71" t="inlineStr">
        <is>
          <t>Not Checked</t>
        </is>
      </c>
      <c r="H13" s="72" t="n"/>
    </row>
    <row r="14" ht="70" customHeight="1" s="28">
      <c r="B14" s="63" t="inlineStr">
        <is>
          <t>Fee / profit</t>
        </is>
      </c>
      <c r="C14" s="64" t="inlineStr">
        <is>
          <t>Is fee within the range the government will find reasonable for this contract type and risk?</t>
        </is>
      </c>
      <c r="D14" s="65" t="inlineStr">
        <is>
          <t>Fee stated, with a weighted-guidelines rationale if cost-type. Consistent with contract type (lower for CPFF, higher for FFP risk).</t>
        </is>
      </c>
      <c r="E14" s="65" t="inlineStr">
        <is>
          <t>A 15% fee on a low-risk CPFF. Reasonableness finding.</t>
        </is>
      </c>
      <c r="F14" s="66" t="inlineStr">
        <is>
          <t>Medium</t>
        </is>
      </c>
      <c r="G14" s="66" t="inlineStr">
        <is>
          <t>Not Checked</t>
        </is>
      </c>
      <c r="H14" s="67" t="n"/>
    </row>
    <row r="15" ht="70" customHeight="1" s="28">
      <c r="B15" s="68" t="inlineStr">
        <is>
          <t>ODCs</t>
        </is>
      </c>
      <c r="C15" s="69" t="inlineStr">
        <is>
          <t>Are all ODCs the PWS implies actually priced: travel, materials, software licenses, training, security clearances?</t>
        </is>
      </c>
      <c r="D15" s="70" t="inlineStr">
        <is>
          <t>ODC schedule reconciled to the PWS and the technical volume. Travel by trip with JTR rates. Licenses by seat.</t>
        </is>
      </c>
      <c r="E15" s="70" t="inlineStr">
        <is>
          <t>Travel described in the technical volume but not priced. Analyst adds it to your evaluated price.</t>
        </is>
      </c>
      <c r="F15" s="71" t="inlineStr">
        <is>
          <t>Medium</t>
        </is>
      </c>
      <c r="G15" s="71" t="inlineStr">
        <is>
          <t>Not Checked</t>
        </is>
      </c>
      <c r="H15" s="72" t="n"/>
    </row>
    <row r="16" ht="70" customHeight="1" s="28">
      <c r="B16" s="63" t="inlineStr">
        <is>
          <t>ODCs</t>
        </is>
      </c>
      <c r="C16" s="64" t="inlineStr">
        <is>
          <t>Is travel priced at current JTR per diem and GSA airfare?</t>
        </is>
      </c>
      <c r="D16" s="65" t="inlineStr">
        <is>
          <t>Trip table: destination, duration, travelers, per diem source, airfare source.</t>
        </is>
      </c>
      <c r="E16" s="65" t="inlineStr">
        <is>
          <t>A lump-sum travel line. Cannot be evaluated for realism; treated as unsupported.</t>
        </is>
      </c>
      <c r="F16" s="66" t="inlineStr">
        <is>
          <t>Medium</t>
        </is>
      </c>
      <c r="G16" s="66" t="inlineStr">
        <is>
          <t>Not Checked</t>
        </is>
      </c>
      <c r="H16" s="67" t="n"/>
    </row>
    <row r="17" ht="70" customHeight="1" s="28">
      <c r="B17" s="68" t="inlineStr">
        <is>
          <t>Subcontracts</t>
        </is>
      </c>
      <c r="C17" s="69" t="inlineStr">
        <is>
          <t>Are subcontractor costs supported by quotes or subcontractor cost proposals?</t>
        </is>
      </c>
      <c r="D17" s="70" t="inlineStr">
        <is>
          <t>Quotes or sub proposals attached or available. Sub labor rates and hours visible if cost-type.</t>
        </is>
      </c>
      <c r="E17" s="70" t="inlineStr">
        <is>
          <t>A subcontract line with no support. Treated as unsupported; may be excluded or adjusted.</t>
        </is>
      </c>
      <c r="F17" s="71" t="inlineStr">
        <is>
          <t>Medium</t>
        </is>
      </c>
      <c r="G17" s="71" t="inlineStr">
        <is>
          <t>Not Checked</t>
        </is>
      </c>
      <c r="H17" s="72" t="n"/>
    </row>
    <row r="18" ht="70" customHeight="1" s="28">
      <c r="B18" s="63" t="inlineStr">
        <is>
          <t>Subcontracts</t>
        </is>
      </c>
      <c r="C18" s="64" t="inlineStr">
        <is>
          <t>Is your pass-through rate on subcontracts reasonable, and does it comply with DFARS 252.215-7009 if pass-through exceeds 70%?</t>
        </is>
      </c>
      <c r="D18" s="65" t="inlineStr">
        <is>
          <t>Pass-through stated. If excessive pass-through applies, the added-value narrative is written.</t>
        </is>
      </c>
      <c r="E18" s="65" t="inlineStr">
        <is>
          <t>Prime adds G&amp;A and fee on a subcontract that is 80% of the work, with no added-value explanation.</t>
        </is>
      </c>
      <c r="F18" s="66" t="inlineStr">
        <is>
          <t>Medium</t>
        </is>
      </c>
      <c r="G18" s="66" t="inlineStr">
        <is>
          <t>Not Checked</t>
        </is>
      </c>
      <c r="H18" s="67" t="n"/>
    </row>
    <row r="19" ht="70" customHeight="1" s="28">
      <c r="B19" s="68" t="inlineStr">
        <is>
          <t>Consistency</t>
        </is>
      </c>
      <c r="C19" s="69" t="inlineStr">
        <is>
          <t>Does every number in the price volume trace to the technical and management volumes?</t>
        </is>
      </c>
      <c r="D19" s="70" t="inlineStr">
        <is>
          <t>A cross-walk: staffing plan headcount equals priced FTEs; schedule duration equals priced period; deliverables equal priced hours.</t>
        </is>
      </c>
      <c r="E19" s="70" t="inlineStr">
        <is>
          <t>Three volumes, three different headcounts. This is the single most common realism finding.</t>
        </is>
      </c>
      <c r="F19" s="71" t="inlineStr">
        <is>
          <t>High</t>
        </is>
      </c>
      <c r="G19" s="71" t="inlineStr">
        <is>
          <t>Not Checked</t>
        </is>
      </c>
      <c r="H19" s="72" t="n"/>
    </row>
    <row r="20" ht="70" customHeight="1" s="28">
      <c r="B20" s="63" t="inlineStr">
        <is>
          <t>Consistency</t>
        </is>
      </c>
      <c r="C20" s="64" t="inlineStr">
        <is>
          <t>Are assumptions stated in one place and consistent with the RFP?</t>
        </is>
      </c>
      <c r="D20" s="65" t="inlineStr">
        <is>
          <t>An assumptions section listing every pricing assumption. Nothing in the assumptions contradicts a PWS requirement.</t>
        </is>
      </c>
      <c r="E20" s="65" t="inlineStr">
        <is>
          <t>An assumption that shifts a requirement to the government, buried in a footnote. Read as an exception to the terms.</t>
        </is>
      </c>
      <c r="F20" s="66" t="inlineStr">
        <is>
          <t>High</t>
        </is>
      </c>
      <c r="G20" s="66" t="inlineStr">
        <is>
          <t>Not Checked</t>
        </is>
      </c>
      <c r="H20" s="67" t="n"/>
    </row>
    <row r="21" ht="70" customHeight="1" s="28">
      <c r="B21" s="68" t="inlineStr">
        <is>
          <t>Basis of estimate</t>
        </is>
      </c>
      <c r="C21" s="69" t="inlineStr">
        <is>
          <t>Can every cost element be traced to a documented basis of estimate?</t>
        </is>
      </c>
      <c r="D21" s="70" t="inlineStr">
        <is>
          <t>BOE per task or CLIN: method (engineering estimate, analogy, parametric, historical), source data, and the calculation.</t>
        </is>
      </c>
      <c r="E21" s="70" t="inlineStr">
        <is>
          <t>Costs asserted without a method. Analyst cannot evaluate realism and marks it unsupported.</t>
        </is>
      </c>
      <c r="F21" s="71" t="inlineStr">
        <is>
          <t>High</t>
        </is>
      </c>
      <c r="G21" s="71" t="inlineStr">
        <is>
          <t>Not Checked</t>
        </is>
      </c>
      <c r="H21" s="72" t="n"/>
    </row>
    <row r="22" ht="70" customHeight="1" s="28">
      <c r="B22" s="63" t="inlineStr">
        <is>
          <t>Transition</t>
        </is>
      </c>
      <c r="C22" s="64" t="inlineStr">
        <is>
          <t>Is transition-in priced, and does the price match the transition plan's duration and staffing?</t>
        </is>
      </c>
      <c r="D22" s="65" t="inlineStr">
        <is>
          <t>Transition CLIN or line item with hours and duration matching the transition plan in the technical volume.</t>
        </is>
      </c>
      <c r="E22" s="65" t="inlineStr">
        <is>
          <t>A 60-day transition plan with no transition costs. Either the plan is unrealistic or the price is.</t>
        </is>
      </c>
      <c r="F22" s="66" t="inlineStr">
        <is>
          <t>Medium</t>
        </is>
      </c>
      <c r="G22" s="66" t="inlineStr">
        <is>
          <t>Not Checked</t>
        </is>
      </c>
      <c r="H22" s="67" t="n"/>
    </row>
    <row r="23" ht="70" customHeight="1" s="28">
      <c r="B23" s="68" t="inlineStr">
        <is>
          <t>Contract type risk</t>
        </is>
      </c>
      <c r="C23" s="69" t="inlineStr">
        <is>
          <t>Under FFP, have you priced the risk the technical volume takes on?</t>
        </is>
      </c>
      <c r="D23" s="70" t="inlineStr">
        <is>
          <t>Contingency or risk-adjusted hours identified for the risks named in your own risk section.</t>
        </is>
      </c>
      <c r="E23" s="70" t="inlineStr">
        <is>
          <t>An FFP price with no risk allowance, while the technical volume lists six significant risks.</t>
        </is>
      </c>
      <c r="F23" s="71" t="inlineStr">
        <is>
          <t>Medium</t>
        </is>
      </c>
      <c r="G23" s="71" t="inlineStr">
        <is>
          <t>Not Checked</t>
        </is>
      </c>
      <c r="H23" s="72" t="n"/>
    </row>
    <row r="24" ht="70" customHeight="1" s="28">
      <c r="B24" s="63" t="inlineStr">
        <is>
          <t>Option years</t>
        </is>
      </c>
      <c r="C24" s="64" t="inlineStr">
        <is>
          <t>Are option years priced consistently with the base, and do they reflect learning or escalation?</t>
        </is>
      </c>
      <c r="D24" s="65" t="inlineStr">
        <is>
          <t>Option pricing shows the escalation basis and any efficiency assumed. Efficiencies explained.</t>
        </is>
      </c>
      <c r="E24" s="65" t="inlineStr">
        <is>
          <t>Option years priced identically to the base with no escalation, or with a learning-curve discount that is not explained.</t>
        </is>
      </c>
      <c r="F24" s="66" t="inlineStr">
        <is>
          <t>Medium</t>
        </is>
      </c>
      <c r="G24" s="66" t="inlineStr">
        <is>
          <t>Not Checked</t>
        </is>
      </c>
      <c r="H24" s="67" t="n"/>
    </row>
    <row r="25" ht="70" customHeight="1" s="28">
      <c r="B25" s="68" t="inlineStr">
        <is>
          <t>CMMC / compliance</t>
        </is>
      </c>
      <c r="C25" s="69" t="inlineStr">
        <is>
          <t>Are CMMC assessment, cybersecurity, and other compliance costs included where the contract requires them?</t>
        </is>
      </c>
      <c r="D25" s="70" t="inlineStr">
        <is>
          <t>CMMC Level 2 C3PAO assessment cost (Phase 2 effective November 10, 2026), NIST 800-171 sustainment, and any FedRAMP or clearance costs priced as ODCs or in overhead, and stated.</t>
        </is>
      </c>
      <c r="E25" s="70" t="inlineStr">
        <is>
          <t>Compliance costs omitted entirely. Realism finding, and a delivery risk if you win.</t>
        </is>
      </c>
      <c r="F25" s="71" t="inlineStr">
        <is>
          <t>Medium</t>
        </is>
      </c>
      <c r="G25" s="71" t="inlineStr">
        <is>
          <t>Not Checked</t>
        </is>
      </c>
      <c r="H25" s="72" t="n"/>
    </row>
    <row r="26" ht="70" customHeight="1" s="28">
      <c r="B26" s="63" t="inlineStr">
        <is>
          <t>Math</t>
        </is>
      </c>
      <c r="C26" s="64" t="inlineStr">
        <is>
          <t>Does the spreadsheet actually add up, and are formulas visible if requested?</t>
        </is>
      </c>
      <c r="D26" s="65" t="inlineStr">
        <is>
          <t>Every total is a live formula. A recalculation has been run. Rounding stated. The file provided matches the PDF.</t>
        </is>
      </c>
      <c r="E26" s="65" t="inlineStr">
        <is>
          <t>Hard-coded totals that do not sum. The analyst finds it in the first hour.</t>
        </is>
      </c>
      <c r="F26" s="66" t="inlineStr">
        <is>
          <t>High</t>
        </is>
      </c>
      <c r="G26" s="66" t="inlineStr">
        <is>
          <t>Not Checked</t>
        </is>
      </c>
      <c r="H26" s="67" t="n"/>
    </row>
    <row r="27" ht="70" customHeight="1" s="28">
      <c r="B27" s="68" t="inlineStr">
        <is>
          <t>Certified cost data</t>
        </is>
      </c>
      <c r="C27" s="69" t="inlineStr">
        <is>
          <t>If over the TINA threshold ($2.5M), is certified cost or pricing data provided, or an exemption claimed correctly?</t>
        </is>
      </c>
      <c r="D27" s="70" t="inlineStr">
        <is>
          <t>Table 15-2 format if required. Exemption (adequate price competition, commercial item) stated with basis.</t>
        </is>
      </c>
      <c r="E27" s="70" t="inlineStr">
        <is>
          <t>Missing certified data on a covered action. Proposal is incomplete.</t>
        </is>
      </c>
      <c r="F27" s="71" t="inlineStr">
        <is>
          <t>Medium</t>
        </is>
      </c>
      <c r="G27" s="71" t="inlineStr">
        <is>
          <t>Not Checked</t>
        </is>
      </c>
      <c r="H27" s="72" t="n"/>
    </row>
    <row r="29">
      <c r="B29" s="73" t="inlineStr">
        <is>
          <t>READINESS</t>
        </is>
      </c>
    </row>
    <row r="30">
      <c r="B30" s="74" t="inlineStr">
        <is>
          <t>Items</t>
        </is>
      </c>
      <c r="C30" s="75">
        <f>COUNTA(C6:C27)</f>
        <v/>
      </c>
    </row>
    <row r="31">
      <c r="B31" s="74" t="inlineStr">
        <is>
          <t>Supported</t>
        </is>
      </c>
      <c r="C31" s="75">
        <f>COUNTIF(G6:G27,"Supported")</f>
        <v/>
      </c>
    </row>
    <row r="32">
      <c r="B32" s="74" t="inlineStr">
        <is>
          <t>Weak</t>
        </is>
      </c>
      <c r="C32" s="75">
        <f>COUNTIF(G6:G27,"Weak")</f>
        <v/>
      </c>
    </row>
    <row r="33">
      <c r="B33" s="74" t="inlineStr">
        <is>
          <t>Not yet checked</t>
        </is>
      </c>
      <c r="C33" s="75">
        <f>COUNTIF(G6:G27,"Not Checked")</f>
        <v/>
      </c>
    </row>
    <row r="34">
      <c r="B34" s="74" t="inlineStr">
        <is>
          <t>High-risk items still Weak or unchecked</t>
        </is>
      </c>
      <c r="C34" s="75">
        <f>COUNTIFS(F6:F27,"High",G6:G27,"Weak")+COUNTIFS(F6:F27,"High",G6:G27,"Not Checked")</f>
        <v/>
      </c>
    </row>
    <row r="35">
      <c r="B35" s="74" t="inlineStr">
        <is>
          <t>% supported (excl. N/A)</t>
        </is>
      </c>
      <c r="C35" s="76">
        <f>IF((C30-COUNTIF(G6:G27,"N/A"))=0,0,C31/(C30-COUNTIF(G6:G27,"N/A")))</f>
        <v/>
      </c>
    </row>
    <row r="36">
      <c r="B36" s="74" t="inlineStr">
        <is>
          <t>Verdict</t>
        </is>
      </c>
      <c r="C36" s="77">
        <f>IF(C34&gt;0,"NOT READY: high-risk items open",IF(C32&gt;0,"AT RISK: weak items remain",IF(C33&gt;0,"INCOMPLETE: items unchecked","READY TO SUBMIT")))</f>
        <v/>
      </c>
    </row>
    <row r="38" ht="42" customHeight="1" s="28">
      <c r="B38" s="78" t="inlineStr">
        <is>
          <t>FAR 15.404-1(d): cost realism analysis determines whether the estimated proposed cost elements are realistic for the work to be performed, reflect a clear understanding of the requirements, and are consistent with the unique methods of performance described in the technical proposal. That last clause is where most proposals fail.</t>
        </is>
      </c>
    </row>
    <row r="40">
      <c r="B40" s="59" t="inlineStr">
        <is>
          <t>Acqlerate Proposal Toolkit · acqlerate.com · September 2026 Edition · Reflects FAC 2025-06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B38:H38"/>
  </mergeCells>
  <conditionalFormatting sqref="G6:G27">
    <cfRule type="expression" priority="1" dxfId="3">
      <formula>G6="Supported"</formula>
    </cfRule>
    <cfRule type="expression" priority="2" dxfId="4">
      <formula>G6="Weak"</formula>
    </cfRule>
  </conditionalFormatting>
  <conditionalFormatting sqref="F6:F27">
    <cfRule type="expression" priority="3" dxfId="5">
      <formula>F6="High"</formula>
    </cfRule>
  </conditionalFormatting>
  <conditionalFormatting sqref="C36">
    <cfRule type="expression" priority="4" dxfId="4">
      <formula>LEFT(C36,9)="NOT READY"</formula>
    </cfRule>
    <cfRule type="expression" priority="5" dxfId="6">
      <formula>OR(LEFT(C36,7)="AT RISK",LEFT(C36,10)="INCOMPLETE")</formula>
    </cfRule>
    <cfRule type="expression" priority="6" dxfId="3">
      <formula>C36="READY TO SUBMIT"</formula>
    </cfRule>
  </conditionalFormatting>
  <dataValidations count="2">
    <dataValidation sqref="F6:F27" showDropDown="0" showInputMessage="0" showErrorMessage="0" allowBlank="1" type="list">
      <formula1>"High,Medium,Low"</formula1>
    </dataValidation>
    <dataValidation sqref="G6:G27" showDropDown="0" showInputMessage="0" showErrorMessage="0" allowBlank="1" type="list">
      <formula1>"Not Checked,Supported,Weak,N/A"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2026-03-23T14:50:51Z</dcterms:created>
  <dcterms:modified xmlns:dcterms="http://purl.org/dc/terms/" xmlns:xsi="http://www.w3.org/2001/XMLSchema-instance" xsi:type="dcterms:W3CDTF">2026-09-24T08:28:55Z</dcterms:modified>
  <cp:revision>0</cp:revision>
</cp:coreProperties>
</file>