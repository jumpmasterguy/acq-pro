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icing Checklist" sheetId="1" state="visible" r:id="rId3"/>
    <sheet name="CLIN Pricing Templat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<sst xmlns="http://schemas.openxmlformats.org/spreadsheetml/2006/main" count="285" uniqueCount="208">
  <si>
    <t xml:space="preserve">PRICING VOLUME COMPLIANCE CHECKLIST</t>
  </si>
  <si>
    <t xml:space="preserve">Acqlerate — Defense Acquisitions Academy</t>
  </si>
  <si>
    <t xml:space="preserve">COMPLETION SUMMARY</t>
  </si>
  <si>
    <t xml:space="preserve">Total Items:</t>
  </si>
  <si>
    <t xml:space="preserve">Complete:</t>
  </si>
  <si>
    <t xml:space="preserve">% Complete:</t>
  </si>
  <si>
    <t xml:space="preserve">Item #</t>
  </si>
  <si>
    <t xml:space="preserve">Requirement</t>
  </si>
  <si>
    <t xml:space="preserve">FAR/DFARS
Reference</t>
  </si>
  <si>
    <t xml:space="preserve">Required
(Y/N/Cond.)</t>
  </si>
  <si>
    <t xml:space="preserve">Complete?</t>
  </si>
  <si>
    <t xml:space="preserve">Location in
Proposal</t>
  </si>
  <si>
    <t xml:space="preserve">Notes</t>
  </si>
  <si>
    <t xml:space="preserve">SF 1449 — Solicitation/Contract/Order for Commercial Items (completed, signed)</t>
  </si>
  <si>
    <t xml:space="preserve">FAR 52.212-1 / SF 1449</t>
  </si>
  <si>
    <t xml:space="preserve">Y</t>
  </si>
  <si>
    <t xml:space="preserve">Blocks 17a and 30a signed by authorized representative</t>
  </si>
  <si>
    <t xml:space="preserve">Pricing volume cover letter with authorized signatory</t>
  </si>
  <si>
    <t xml:space="preserve">Per RFP Section L</t>
  </si>
  <si>
    <t xml:space="preserve">Conditional</t>
  </si>
  <si>
    <t xml:space="preserve">Required only if RFP specifies; include CAGE, DUNS, legal name</t>
  </si>
  <si>
    <t xml:space="preserve">Table of Contents for pricing volume</t>
  </si>
  <si>
    <t xml:space="preserve">Page numbers must match final PDF</t>
  </si>
  <si>
    <t xml:space="preserve">Government-provided price/cost model completed (all CLINs priced)</t>
  </si>
  <si>
    <t xml:space="preserve">Use Govt template exactly; do not modify structure</t>
  </si>
  <si>
    <t xml:space="preserve">CLIN/SLIN structure matches SOW/PWS WBS</t>
  </si>
  <si>
    <t xml:space="preserve">FAR 4.1001</t>
  </si>
  <si>
    <t xml:space="preserve">Every SOW task must map to at least one CLIN</t>
  </si>
  <si>
    <t xml:space="preserve">All option periods priced (Base + Option Years)</t>
  </si>
  <si>
    <t xml:space="preserve">FAR 17.2</t>
  </si>
  <si>
    <t xml:space="preserve">Confirm number of option years matches RFP Section B</t>
  </si>
  <si>
    <t xml:space="preserve">All CLINs have correct Contract Type designation (FFP/CPFF/T&amp;M)</t>
  </si>
  <si>
    <t xml:space="preserve">FAR 16.1</t>
  </si>
  <si>
    <t xml:space="preserve">Must match Section B; mixed types require separate line items</t>
  </si>
  <si>
    <t xml:space="preserve">CLIN descriptions match SOW task descriptions verbatim</t>
  </si>
  <si>
    <t xml:space="preserve">Use exact Government language; do not paraphrase</t>
  </si>
  <si>
    <t xml:space="preserve">Direct labor categories (LCATs) listed with descriptions</t>
  </si>
  <si>
    <t xml:space="preserve">FAR 15.408, Table 15-2</t>
  </si>
  <si>
    <t xml:space="preserve">Must match LCATs in technical/staffing plan</t>
  </si>
  <si>
    <t xml:space="preserve">Direct labor hours broken out by LCAT by CLIN by period</t>
  </si>
  <si>
    <t xml:space="preserve">Hours must reconcile to staffing plan in Management volume</t>
  </si>
  <si>
    <t xml:space="preserve">Direct labor rates provided for each LCAT</t>
  </si>
  <si>
    <t xml:space="preserve">If escalation applied, state rate and percentage per year</t>
  </si>
  <si>
    <t xml:space="preserve">FPRA/FPRR or provisional rate documentation attached</t>
  </si>
  <si>
    <t xml:space="preserve">FAR 42.1701</t>
  </si>
  <si>
    <t xml:space="preserve">Required if DCAA-approved rates exist; otherwise provide basis of estimate</t>
  </si>
  <si>
    <t xml:space="preserve">Labor rate escalation factors documented and sourced</t>
  </si>
  <si>
    <t xml:space="preserve">FAR 15.404-1</t>
  </si>
  <si>
    <t xml:space="preserve">Reference BLS ECI, contract terms, or company policy</t>
  </si>
  <si>
    <t xml:space="preserve">Uncompensated overtime policy stated (if applicable)</t>
  </si>
  <si>
    <t xml:space="preserve">FAR 37.115 / DFARS 237.170</t>
  </si>
  <si>
    <t xml:space="preserve">State whether professional staff are exempt; impact on rates</t>
  </si>
  <si>
    <t xml:space="preserve">Fringe benefit rate documented with basis</t>
  </si>
  <si>
    <t xml:space="preserve">Percentage and base to which it applies</t>
  </si>
  <si>
    <t xml:space="preserve">Overhead rate documented with basis</t>
  </si>
  <si>
    <t xml:space="preserve">Applied to direct labor + fringe; state pool and base</t>
  </si>
  <si>
    <t xml:space="preserve">G&amp;A rate documented with basis</t>
  </si>
  <si>
    <t xml:space="preserve">Applied to total cost input or value-added base; specify which</t>
  </si>
  <si>
    <t xml:space="preserve">DCAA audit status of indirect rates disclosed</t>
  </si>
  <si>
    <t xml:space="preserve">State: DCAA-approved / audited / provisional / estimated</t>
  </si>
  <si>
    <t xml:space="preserve">Rate build-up/waterfall (wrapping calculation) shown</t>
  </si>
  <si>
    <t xml:space="preserve">FAR 15.408</t>
  </si>
  <si>
    <t xml:space="preserve">Show: base rate → +fringe → +overhead → +G&amp;A → fully loaded rate</t>
  </si>
  <si>
    <t xml:space="preserve">Travel costs broken out (trips, destination, duration, per diem)</t>
  </si>
  <si>
    <t xml:space="preserve">FAR 31.205-46 / JTR</t>
  </si>
  <si>
    <t xml:space="preserve">Use JTR rates for per diem; cite specific destinations</t>
  </si>
  <si>
    <t xml:space="preserve">Materials and supplies itemized</t>
  </si>
  <si>
    <t xml:space="preserve">Required if ODC CLINs exist; provide quantities and unit costs</t>
  </si>
  <si>
    <t xml:space="preserve">Subcontractor cost proposals attached for each subcontractor</t>
  </si>
  <si>
    <t xml:space="preserve">FAR 15.404-3</t>
  </si>
  <si>
    <t xml:space="preserve">Each sub must provide their own cost/price proposal</t>
  </si>
  <si>
    <t xml:space="preserve">Subcontractor cost/price analysis summary provided</t>
  </si>
  <si>
    <t xml:space="preserve">Prime must demonstrate sub prices are fair and reasonable</t>
  </si>
  <si>
    <t xml:space="preserve">Other Direct Costs (ODCs) itemized and justified</t>
  </si>
  <si>
    <t xml:space="preserve">Equipment, licenses, training, certifications — justify each</t>
  </si>
  <si>
    <t xml:space="preserve">Material handling rate disclosed (if applicable)</t>
  </si>
  <si>
    <t xml:space="preserve">FAR 31.205-26</t>
  </si>
  <si>
    <t xml:space="preserve">Rate applied to material/subcontract costs through your system</t>
  </si>
  <si>
    <t xml:space="preserve">Fee/profit percentage stated and justified</t>
  </si>
  <si>
    <t xml:space="preserve">FAR 15.404-4</t>
  </si>
  <si>
    <t xml:space="preserve">Reference weighted guidelines method (DFARS 215.404-71)</t>
  </si>
  <si>
    <t xml:space="preserve">Fee/profit narrative explains risk, investment, and complexity</t>
  </si>
  <si>
    <t xml:space="preserve">DFARS 215.404-71</t>
  </si>
  <si>
    <t xml:space="preserve">Higher fee requires higher risk justification</t>
  </si>
  <si>
    <t xml:space="preserve">TINA threshold check — certified cost or pricing data required?</t>
  </si>
  <si>
    <t xml:space="preserve">FAR 15.403-4 (&gt;$2M)</t>
  </si>
  <si>
    <t xml:space="preserve">If total price &gt;$2M, certify per FAR 15.406-2 unless exemption applies</t>
  </si>
  <si>
    <t xml:space="preserve">Certificate of Current Cost or Pricing Data (if required)</t>
  </si>
  <si>
    <t xml:space="preserve">FAR 15.406-2</t>
  </si>
  <si>
    <t xml:space="preserve">Required if above TINA threshold and no exception per FAR 15.403-1</t>
  </si>
  <si>
    <t xml:space="preserve">Price realism narrative (for cost-type contracts)</t>
  </si>
  <si>
    <t xml:space="preserve">FAR 15.404-1(d)</t>
  </si>
  <si>
    <t xml:space="preserve">Required for cost-reimbursement; explain why costs are realistic, not low</t>
  </si>
  <si>
    <t xml:space="preserve">Price reasonableness analysis support (for FFP)</t>
  </si>
  <si>
    <t xml:space="preserve">FAR 15.404-1(b)</t>
  </si>
  <si>
    <t xml:space="preserve">Provide market data, historical pricing, or competitive analysis</t>
  </si>
  <si>
    <t xml:space="preserve">SAM.gov registration current and active</t>
  </si>
  <si>
    <t xml:space="preserve">FAR 52.204-7</t>
  </si>
  <si>
    <t xml:space="preserve">Verify expiration date; print SAM.gov entity page</t>
  </si>
  <si>
    <t xml:space="preserve">CAGE code correct and current</t>
  </si>
  <si>
    <t xml:space="preserve">DFARS 204.1870</t>
  </si>
  <si>
    <t xml:space="preserve">Must match SAM.gov registration; verify at cage.dla.mil</t>
  </si>
  <si>
    <t xml:space="preserve">Size standard certification (small business self-certification)</t>
  </si>
  <si>
    <t xml:space="preserve">FAR 19.301</t>
  </si>
  <si>
    <t xml:space="preserve">Based on NAICS code in RFP; verify at SBA.gov</t>
  </si>
  <si>
    <t xml:space="preserve">Representations and Certifications (FAR 52.204-8 or SAM printout)</t>
  </si>
  <si>
    <t xml:space="preserve">FAR 52.204-8</t>
  </si>
  <si>
    <t xml:space="preserve">Complete in SAM.gov or provide with proposal per RFP instructions</t>
  </si>
  <si>
    <t xml:space="preserve">DD Form 1423 — CDRLs completed for all required deliverables</t>
  </si>
  <si>
    <t xml:space="preserve">DFARS 252.242-7006</t>
  </si>
  <si>
    <t xml:space="preserve">One form per deliverable; match DID numbers to SOW</t>
  </si>
  <si>
    <t xml:space="preserve">Basis of Estimate (BOE) narrative for each cost element</t>
  </si>
  <si>
    <t xml:space="preserve">Explain methodology for each major cost: labor, ODC, travel, subs</t>
  </si>
  <si>
    <t xml:space="preserve">Wage Determination compliance statement (SCA/DBA)</t>
  </si>
  <si>
    <t xml:space="preserve">FAR 22.1002 / 29 CFR 4</t>
  </si>
  <si>
    <t xml:space="preserve">Required if Service Contract Act applies; cite WD number from SAM.gov</t>
  </si>
  <si>
    <t xml:space="preserve">Small Business Subcontracting Plan (if &gt;$750K)</t>
  </si>
  <si>
    <t xml:space="preserve">FAR 52.219-9</t>
  </si>
  <si>
    <t xml:space="preserve">Required for other-than-small business &gt;$750K; include all SB category goals</t>
  </si>
  <si>
    <t xml:space="preserve">Cross-reference: pricing labor hours match staffing plan in Vol II</t>
  </si>
  <si>
    <t xml:space="preserve">Internal QC</t>
  </si>
  <si>
    <t xml:space="preserve">Total hours by LCAT must reconcile exactly between Price and Management volumes</t>
  </si>
  <si>
    <t xml:space="preserve">CLIN/SLIN PRICING TABLE</t>
  </si>
  <si>
    <t xml:space="preserve">Customize this template to match your RFP's CLIN structure. Formulas auto-calculate totals.</t>
  </si>
  <si>
    <t xml:space="preserve">CLIN/SLIN</t>
  </si>
  <si>
    <t xml:space="preserve">Description</t>
  </si>
  <si>
    <t xml:space="preserve">Contract
Type</t>
  </si>
  <si>
    <t xml:space="preserve">Unit</t>
  </si>
  <si>
    <t xml:space="preserve">Qty</t>
  </si>
  <si>
    <t xml:space="preserve">Unit Price</t>
  </si>
  <si>
    <t xml:space="preserve">Base Year</t>
  </si>
  <si>
    <t xml:space="preserve">Option Yr 1</t>
  </si>
  <si>
    <t xml:space="preserve">Option Yr 2</t>
  </si>
  <si>
    <t xml:space="preserve">Option Yr 3</t>
  </si>
  <si>
    <t xml:space="preserve">Option Yr 4</t>
  </si>
  <si>
    <t xml:space="preserve">Total</t>
  </si>
  <si>
    <t xml:space="preserve">0001</t>
  </si>
  <si>
    <t xml:space="preserve">Program Management</t>
  </si>
  <si>
    <t xml:space="preserve">FFP</t>
  </si>
  <si>
    <t xml:space="preserve">MO</t>
  </si>
  <si>
    <t xml:space="preserve">12</t>
  </si>
  <si>
    <t xml:space="preserve">0002</t>
  </si>
  <si>
    <t xml:space="preserve">Systems Engineering &amp; Technical Support</t>
  </si>
  <si>
    <t xml:space="preserve">T&amp;M</t>
  </si>
  <si>
    <t xml:space="preserve">HR</t>
  </si>
  <si>
    <t xml:space="preserve">0002AA</t>
  </si>
  <si>
    <t xml:space="preserve">  — Senior Systems Engineer</t>
  </si>
  <si>
    <t xml:space="preserve">0002AB</t>
  </si>
  <si>
    <t xml:space="preserve">  — Systems Engineer</t>
  </si>
  <si>
    <t xml:space="preserve">0002AC</t>
  </si>
  <si>
    <t xml:space="preserve">  — Junior Systems Engineer</t>
  </si>
  <si>
    <t xml:space="preserve">0003</t>
  </si>
  <si>
    <t xml:space="preserve">Cybersecurity Operations</t>
  </si>
  <si>
    <t xml:space="preserve">0004</t>
  </si>
  <si>
    <t xml:space="preserve">Cloud Migration Services</t>
  </si>
  <si>
    <t xml:space="preserve">CPFF</t>
  </si>
  <si>
    <t xml:space="preserve">LOT</t>
  </si>
  <si>
    <t xml:space="preserve">1</t>
  </si>
  <si>
    <t xml:space="preserve">0005</t>
  </si>
  <si>
    <t xml:space="preserve">Help Desk / Service Desk (Tier I-III)</t>
  </si>
  <si>
    <t xml:space="preserve">0006</t>
  </si>
  <si>
    <t xml:space="preserve">Travel</t>
  </si>
  <si>
    <t xml:space="preserve">NTE</t>
  </si>
  <si>
    <t xml:space="preserve">0007</t>
  </si>
  <si>
    <t xml:space="preserve">Other Direct Costs (Materials, Licenses)</t>
  </si>
  <si>
    <t xml:space="preserve">1001</t>
  </si>
  <si>
    <t xml:space="preserve">Program Management (Option Year 1)</t>
  </si>
  <si>
    <t xml:space="preserve">1002</t>
  </si>
  <si>
    <t xml:space="preserve">Systems Engineering &amp; Technical Support (OY1)</t>
  </si>
  <si>
    <t xml:space="preserve">1003</t>
  </si>
  <si>
    <t xml:space="preserve">Cybersecurity Operations (OY1)</t>
  </si>
  <si>
    <t xml:space="preserve">GRAND TOTAL</t>
  </si>
  <si>
    <t xml:space="preserve">LABOR CATEGORY RATE SUMMARY</t>
  </si>
  <si>
    <t xml:space="preserve">LCAT</t>
  </si>
  <si>
    <t xml:space="preserve">Base Year
Rate</t>
  </si>
  <si>
    <t xml:space="preserve">OY1 Rate</t>
  </si>
  <si>
    <t xml:space="preserve">OY2 Rate</t>
  </si>
  <si>
    <t xml:space="preserve">OY3 Rate</t>
  </si>
  <si>
    <t xml:space="preserve">OY4 Rate</t>
  </si>
  <si>
    <t xml:space="preserve">Escalation %</t>
  </si>
  <si>
    <t xml:space="preserve">Program Manager</t>
  </si>
  <si>
    <t xml:space="preserve">Deputy Program Manager</t>
  </si>
  <si>
    <t xml:space="preserve">Senior Systems Engineer</t>
  </si>
  <si>
    <t xml:space="preserve">Systems Engineer</t>
  </si>
  <si>
    <t xml:space="preserve">Junior Systems Engineer</t>
  </si>
  <si>
    <t xml:space="preserve">Cybersecurity Analyst (Senior)</t>
  </si>
  <si>
    <t xml:space="preserve">Cybersecurity Analyst</t>
  </si>
  <si>
    <t xml:space="preserve">Cloud Architect</t>
  </si>
  <si>
    <t xml:space="preserve">Help Desk Specialist (Tier I)</t>
  </si>
  <si>
    <t xml:space="preserve">Help Desk Specialist (Tier II)</t>
  </si>
  <si>
    <t xml:space="preserve">Help Desk Specialist (Tier III)</t>
  </si>
  <si>
    <t xml:space="preserve">Database Administrator</t>
  </si>
  <si>
    <t xml:space="preserve">Technical Writer</t>
  </si>
  <si>
    <t xml:space="preserve">Quality Assurance Analyst</t>
  </si>
  <si>
    <t xml:space="preserve">Administrative Support</t>
  </si>
  <si>
    <t xml:space="preserve">INDIRECT RATE BUILD-UP</t>
  </si>
  <si>
    <t xml:space="preserve">Direct Labor Rate (Base):</t>
  </si>
  <si>
    <t xml:space="preserve">Enter direct hourly or annual rate</t>
  </si>
  <si>
    <t xml:space="preserve">Fringe Benefit Rate:</t>
  </si>
  <si>
    <t xml:space="preserve">e.g., 32.5%</t>
  </si>
  <si>
    <t xml:space="preserve">Overhead Rate:</t>
  </si>
  <si>
    <t xml:space="preserve">e.g., 45.0%</t>
  </si>
  <si>
    <t xml:space="preserve">G&amp;A Rate:</t>
  </si>
  <si>
    <t xml:space="preserve">e.g., 12.0%</t>
  </si>
  <si>
    <t xml:space="preserve">Fee/Profit:</t>
  </si>
  <si>
    <t xml:space="preserve">e.g., 8.0%</t>
  </si>
  <si>
    <t xml:space="preserve">Fully Burdened Rate:</t>
  </si>
  <si>
    <t xml:space="preserve">Base × (1 + Fringe) × (1 + OH) × (1 + G&amp;A) × (1 + Fee)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</si>
</sst>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\$#,##0.00"/>
    <numFmt numFmtId="168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D1B2A"/>
      <name val="Calibri"/>
      <family val="0"/>
      <charset val="1"/>
    </font>
    <font>
      <sz val="11"/>
      <color rgb="FF01696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437A22"/>
      <name val="Calibri"/>
      <family val="0"/>
      <charset val="1"/>
    </font>
    <font>
      <b val="true"/>
      <sz val="12"/>
      <color rgb="FF01696F"/>
      <name val="Calibri"/>
      <family val="0"/>
      <charset val="1"/>
    </font>
    <font>
      <sz val="11"/>
      <name val="Calibri"/>
      <family val="0"/>
      <charset val="1"/>
    </font>
    <font>
      <i val="true"/>
      <sz val="11"/>
      <color rgb="FF666666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4"/>
      <color rgb="FF0D1B2A"/>
      <name val="Calibri"/>
      <family val="0"/>
      <charset val="1"/>
    </font>
    <font>
      <i val="true"/>
      <sz val="10"/>
      <color rgb="FF999999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E0F2F3"/>
        <bgColor rgb="FFCCFFFF"/>
      </patternFill>
    </fill>
    <fill>
      <patternFill patternType="solid">
        <fgColor rgb="FF01696F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100"/>
        <sz val="11"/>
      </font>
      <fill>
        <patternFill>
          <bgColor rgb="FFC6EFCE"/>
        </patternFill>
      </fill>
    </dxf>
    <dxf>
      <font>
        <name val="Calibri"/>
        <charset val="1"/>
        <family val="0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0"/>
        <color rgb="FF9C6500"/>
        <sz val="11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1696F"/>
      <rgbColor rgb="FFD4D1CA"/>
      <rgbColor rgb="FF808080"/>
      <rgbColor rgb="FF9999FF"/>
      <rgbColor rgb="FF993366"/>
      <rgbColor rgb="FFFFFFCC"/>
      <rgbColor rgb="FFE0F2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437A22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696F"/>
    <pageSetUpPr fitToPage="false"/>
  </sheetPr>
  <dimension ref="B2:I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48"/>
    <col collapsed="false" customWidth="true" hidden="false" outlineLevel="0" max="4" min="4" style="1" width="18"/>
    <col collapsed="false" customWidth="true" hidden="false" outlineLevel="0" max="6" min="5" style="1" width="12"/>
    <col collapsed="false" customWidth="true" hidden="false" outlineLevel="0" max="7" min="7" style="1" width="20"/>
    <col collapsed="false" customWidth="true" hidden="false" outlineLevel="0" max="8" min="8" style="1" width="30"/>
  </cols>
  <sheetData>
    <row r="2" customFormat="false" ht="19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B5" s="4" t="s">
        <v>2</v>
      </c>
      <c r="C5" s="4"/>
      <c r="D5" s="5" t="s">
        <v>3</v>
      </c>
      <c r="E5" s="6" t="n">
        <f aca="false">COUNTA(B9:B48)</f>
        <v>40</v>
      </c>
      <c r="F5" s="7" t="s">
        <v>4</v>
      </c>
      <c r="G5" s="6" t="n">
        <f aca="false">COUNTIF(F9:F48,"Yes")</f>
        <v>0</v>
      </c>
      <c r="H5" s="5" t="s">
        <v>5</v>
      </c>
      <c r="I5" s="8" t="n">
        <f aca="false">IF(E5&gt;0,G5/E5,0)</f>
        <v>0</v>
      </c>
    </row>
    <row r="8" customFormat="false" ht="36" hidden="false" customHeight="true" outlineLevel="0" collapsed="false">
      <c r="B8" s="9" t="s">
        <v>6</v>
      </c>
      <c r="C8" s="9" t="s">
        <v>7</v>
      </c>
      <c r="D8" s="9" t="s">
        <v>8</v>
      </c>
      <c r="E8" s="9" t="s">
        <v>9</v>
      </c>
      <c r="F8" s="9" t="s">
        <v>10</v>
      </c>
      <c r="G8" s="9" t="s">
        <v>11</v>
      </c>
      <c r="H8" s="9" t="s">
        <v>12</v>
      </c>
    </row>
    <row r="9" customFormat="false" ht="31.5" hidden="false" customHeight="true" outlineLevel="0" collapsed="false">
      <c r="B9" s="10" t="n">
        <v>1</v>
      </c>
      <c r="C9" s="11" t="s">
        <v>13</v>
      </c>
      <c r="D9" s="12" t="s">
        <v>14</v>
      </c>
      <c r="E9" s="12" t="s">
        <v>15</v>
      </c>
      <c r="F9" s="12"/>
      <c r="G9" s="11"/>
      <c r="H9" s="11" t="s">
        <v>16</v>
      </c>
    </row>
    <row r="10" customFormat="false" ht="31.5" hidden="false" customHeight="true" outlineLevel="0" collapsed="false">
      <c r="B10" s="10" t="n">
        <v>2</v>
      </c>
      <c r="C10" s="11" t="s">
        <v>17</v>
      </c>
      <c r="D10" s="12" t="s">
        <v>18</v>
      </c>
      <c r="E10" s="12" t="s">
        <v>19</v>
      </c>
      <c r="F10" s="12"/>
      <c r="G10" s="11"/>
      <c r="H10" s="11" t="s">
        <v>20</v>
      </c>
    </row>
    <row r="11" customFormat="false" ht="31.5" hidden="false" customHeight="true" outlineLevel="0" collapsed="false">
      <c r="B11" s="10" t="n">
        <v>3</v>
      </c>
      <c r="C11" s="11" t="s">
        <v>21</v>
      </c>
      <c r="D11" s="12" t="s">
        <v>18</v>
      </c>
      <c r="E11" s="12" t="s">
        <v>15</v>
      </c>
      <c r="F11" s="12"/>
      <c r="G11" s="11"/>
      <c r="H11" s="11" t="s">
        <v>22</v>
      </c>
    </row>
    <row r="12" customFormat="false" ht="31.5" hidden="false" customHeight="true" outlineLevel="0" collapsed="false">
      <c r="B12" s="10" t="n">
        <v>4</v>
      </c>
      <c r="C12" s="11" t="s">
        <v>23</v>
      </c>
      <c r="D12" s="12" t="s">
        <v>18</v>
      </c>
      <c r="E12" s="12" t="s">
        <v>15</v>
      </c>
      <c r="F12" s="12"/>
      <c r="G12" s="11"/>
      <c r="H12" s="11" t="s">
        <v>24</v>
      </c>
    </row>
    <row r="13" customFormat="false" ht="31.5" hidden="false" customHeight="true" outlineLevel="0" collapsed="false">
      <c r="B13" s="10" t="n">
        <v>5</v>
      </c>
      <c r="C13" s="11" t="s">
        <v>25</v>
      </c>
      <c r="D13" s="12" t="s">
        <v>26</v>
      </c>
      <c r="E13" s="12" t="s">
        <v>15</v>
      </c>
      <c r="F13" s="12"/>
      <c r="G13" s="11"/>
      <c r="H13" s="11" t="s">
        <v>27</v>
      </c>
    </row>
    <row r="14" customFormat="false" ht="31.5" hidden="false" customHeight="true" outlineLevel="0" collapsed="false">
      <c r="B14" s="10" t="n">
        <v>6</v>
      </c>
      <c r="C14" s="11" t="s">
        <v>28</v>
      </c>
      <c r="D14" s="12" t="s">
        <v>29</v>
      </c>
      <c r="E14" s="12" t="s">
        <v>15</v>
      </c>
      <c r="F14" s="12"/>
      <c r="G14" s="11"/>
      <c r="H14" s="11" t="s">
        <v>30</v>
      </c>
    </row>
    <row r="15" customFormat="false" ht="31.5" hidden="false" customHeight="true" outlineLevel="0" collapsed="false">
      <c r="B15" s="10" t="n">
        <v>7</v>
      </c>
      <c r="C15" s="11" t="s">
        <v>31</v>
      </c>
      <c r="D15" s="12" t="s">
        <v>32</v>
      </c>
      <c r="E15" s="12" t="s">
        <v>15</v>
      </c>
      <c r="F15" s="12"/>
      <c r="G15" s="11"/>
      <c r="H15" s="11" t="s">
        <v>33</v>
      </c>
    </row>
    <row r="16" customFormat="false" ht="31.5" hidden="false" customHeight="true" outlineLevel="0" collapsed="false">
      <c r="B16" s="10" t="n">
        <v>8</v>
      </c>
      <c r="C16" s="11" t="s">
        <v>34</v>
      </c>
      <c r="D16" s="12" t="s">
        <v>26</v>
      </c>
      <c r="E16" s="12" t="s">
        <v>15</v>
      </c>
      <c r="F16" s="12"/>
      <c r="G16" s="11"/>
      <c r="H16" s="11" t="s">
        <v>35</v>
      </c>
    </row>
    <row r="17" customFormat="false" ht="31.5" hidden="false" customHeight="true" outlineLevel="0" collapsed="false">
      <c r="B17" s="10" t="n">
        <v>9</v>
      </c>
      <c r="C17" s="11" t="s">
        <v>36</v>
      </c>
      <c r="D17" s="12" t="s">
        <v>37</v>
      </c>
      <c r="E17" s="12" t="s">
        <v>15</v>
      </c>
      <c r="F17" s="12"/>
      <c r="G17" s="11"/>
      <c r="H17" s="11" t="s">
        <v>38</v>
      </c>
    </row>
    <row r="18" customFormat="false" ht="31.5" hidden="false" customHeight="true" outlineLevel="0" collapsed="false">
      <c r="B18" s="10" t="n">
        <v>10</v>
      </c>
      <c r="C18" s="11" t="s">
        <v>39</v>
      </c>
      <c r="D18" s="12" t="s">
        <v>37</v>
      </c>
      <c r="E18" s="12" t="s">
        <v>15</v>
      </c>
      <c r="F18" s="12"/>
      <c r="G18" s="11"/>
      <c r="H18" s="11" t="s">
        <v>40</v>
      </c>
    </row>
    <row r="19" customFormat="false" ht="31.5" hidden="false" customHeight="true" outlineLevel="0" collapsed="false">
      <c r="B19" s="10" t="n">
        <v>11</v>
      </c>
      <c r="C19" s="11" t="s">
        <v>41</v>
      </c>
      <c r="D19" s="12" t="s">
        <v>37</v>
      </c>
      <c r="E19" s="12" t="s">
        <v>15</v>
      </c>
      <c r="F19" s="12"/>
      <c r="G19" s="11"/>
      <c r="H19" s="11" t="s">
        <v>42</v>
      </c>
    </row>
    <row r="20" customFormat="false" ht="31.5" hidden="false" customHeight="true" outlineLevel="0" collapsed="false">
      <c r="B20" s="10" t="n">
        <v>12</v>
      </c>
      <c r="C20" s="11" t="s">
        <v>43</v>
      </c>
      <c r="D20" s="12" t="s">
        <v>44</v>
      </c>
      <c r="E20" s="12" t="s">
        <v>19</v>
      </c>
      <c r="F20" s="12"/>
      <c r="G20" s="11"/>
      <c r="H20" s="11" t="s">
        <v>45</v>
      </c>
    </row>
    <row r="21" customFormat="false" ht="31.5" hidden="false" customHeight="true" outlineLevel="0" collapsed="false">
      <c r="B21" s="10" t="n">
        <v>13</v>
      </c>
      <c r="C21" s="11" t="s">
        <v>46</v>
      </c>
      <c r="D21" s="12" t="s">
        <v>47</v>
      </c>
      <c r="E21" s="12" t="s">
        <v>19</v>
      </c>
      <c r="F21" s="12"/>
      <c r="G21" s="11"/>
      <c r="H21" s="11" t="s">
        <v>48</v>
      </c>
    </row>
    <row r="22" customFormat="false" ht="31.5" hidden="false" customHeight="true" outlineLevel="0" collapsed="false">
      <c r="B22" s="10" t="n">
        <v>14</v>
      </c>
      <c r="C22" s="11" t="s">
        <v>49</v>
      </c>
      <c r="D22" s="12" t="s">
        <v>50</v>
      </c>
      <c r="E22" s="12" t="s">
        <v>19</v>
      </c>
      <c r="F22" s="12"/>
      <c r="G22" s="11"/>
      <c r="H22" s="11" t="s">
        <v>51</v>
      </c>
    </row>
    <row r="23" customFormat="false" ht="31.5" hidden="false" customHeight="true" outlineLevel="0" collapsed="false">
      <c r="B23" s="10" t="n">
        <v>15</v>
      </c>
      <c r="C23" s="11" t="s">
        <v>52</v>
      </c>
      <c r="D23" s="12" t="s">
        <v>37</v>
      </c>
      <c r="E23" s="12" t="s">
        <v>15</v>
      </c>
      <c r="F23" s="12"/>
      <c r="G23" s="11"/>
      <c r="H23" s="11" t="s">
        <v>53</v>
      </c>
    </row>
    <row r="24" customFormat="false" ht="31.5" hidden="false" customHeight="true" outlineLevel="0" collapsed="false">
      <c r="B24" s="10" t="n">
        <v>16</v>
      </c>
      <c r="C24" s="11" t="s">
        <v>54</v>
      </c>
      <c r="D24" s="12" t="s">
        <v>37</v>
      </c>
      <c r="E24" s="12" t="s">
        <v>15</v>
      </c>
      <c r="F24" s="12"/>
      <c r="G24" s="11"/>
      <c r="H24" s="11" t="s">
        <v>55</v>
      </c>
    </row>
    <row r="25" customFormat="false" ht="31.5" hidden="false" customHeight="true" outlineLevel="0" collapsed="false">
      <c r="B25" s="10" t="n">
        <v>17</v>
      </c>
      <c r="C25" s="11" t="s">
        <v>56</v>
      </c>
      <c r="D25" s="12" t="s">
        <v>37</v>
      </c>
      <c r="E25" s="12" t="s">
        <v>15</v>
      </c>
      <c r="F25" s="12"/>
      <c r="G25" s="11"/>
      <c r="H25" s="11" t="s">
        <v>57</v>
      </c>
    </row>
    <row r="26" customFormat="false" ht="31.5" hidden="false" customHeight="true" outlineLevel="0" collapsed="false">
      <c r="B26" s="10" t="n">
        <v>18</v>
      </c>
      <c r="C26" s="11" t="s">
        <v>58</v>
      </c>
      <c r="D26" s="12" t="s">
        <v>44</v>
      </c>
      <c r="E26" s="12" t="s">
        <v>15</v>
      </c>
      <c r="F26" s="12"/>
      <c r="G26" s="11"/>
      <c r="H26" s="11" t="s">
        <v>59</v>
      </c>
    </row>
    <row r="27" customFormat="false" ht="31.5" hidden="false" customHeight="true" outlineLevel="0" collapsed="false">
      <c r="B27" s="10" t="n">
        <v>19</v>
      </c>
      <c r="C27" s="11" t="s">
        <v>60</v>
      </c>
      <c r="D27" s="12" t="s">
        <v>61</v>
      </c>
      <c r="E27" s="12" t="s">
        <v>15</v>
      </c>
      <c r="F27" s="12"/>
      <c r="G27" s="11"/>
      <c r="H27" s="11" t="s">
        <v>62</v>
      </c>
    </row>
    <row r="28" customFormat="false" ht="31.5" hidden="false" customHeight="true" outlineLevel="0" collapsed="false">
      <c r="B28" s="10" t="n">
        <v>20</v>
      </c>
      <c r="C28" s="11" t="s">
        <v>63</v>
      </c>
      <c r="D28" s="12" t="s">
        <v>64</v>
      </c>
      <c r="E28" s="12" t="s">
        <v>15</v>
      </c>
      <c r="F28" s="12"/>
      <c r="G28" s="11"/>
      <c r="H28" s="11" t="s">
        <v>65</v>
      </c>
    </row>
    <row r="29" customFormat="false" ht="31.5" hidden="false" customHeight="true" outlineLevel="0" collapsed="false">
      <c r="B29" s="10" t="n">
        <v>21</v>
      </c>
      <c r="C29" s="11" t="s">
        <v>66</v>
      </c>
      <c r="D29" s="12" t="s">
        <v>37</v>
      </c>
      <c r="E29" s="12" t="s">
        <v>19</v>
      </c>
      <c r="F29" s="12"/>
      <c r="G29" s="11"/>
      <c r="H29" s="11" t="s">
        <v>67</v>
      </c>
    </row>
    <row r="30" customFormat="false" ht="31.5" hidden="false" customHeight="true" outlineLevel="0" collapsed="false">
      <c r="B30" s="10" t="n">
        <v>22</v>
      </c>
      <c r="C30" s="11" t="s">
        <v>68</v>
      </c>
      <c r="D30" s="12" t="s">
        <v>69</v>
      </c>
      <c r="E30" s="12" t="s">
        <v>15</v>
      </c>
      <c r="F30" s="12"/>
      <c r="G30" s="11"/>
      <c r="H30" s="11" t="s">
        <v>70</v>
      </c>
    </row>
    <row r="31" customFormat="false" ht="31.5" hidden="false" customHeight="true" outlineLevel="0" collapsed="false">
      <c r="B31" s="10" t="n">
        <v>23</v>
      </c>
      <c r="C31" s="11" t="s">
        <v>71</v>
      </c>
      <c r="D31" s="12" t="s">
        <v>69</v>
      </c>
      <c r="E31" s="12" t="s">
        <v>15</v>
      </c>
      <c r="F31" s="12"/>
      <c r="G31" s="11"/>
      <c r="H31" s="11" t="s">
        <v>72</v>
      </c>
    </row>
    <row r="32" customFormat="false" ht="31.5" hidden="false" customHeight="true" outlineLevel="0" collapsed="false">
      <c r="B32" s="10" t="n">
        <v>24</v>
      </c>
      <c r="C32" s="11" t="s">
        <v>73</v>
      </c>
      <c r="D32" s="12" t="s">
        <v>37</v>
      </c>
      <c r="E32" s="12" t="s">
        <v>15</v>
      </c>
      <c r="F32" s="12"/>
      <c r="G32" s="11"/>
      <c r="H32" s="11" t="s">
        <v>74</v>
      </c>
    </row>
    <row r="33" customFormat="false" ht="31.5" hidden="false" customHeight="true" outlineLevel="0" collapsed="false">
      <c r="B33" s="10" t="n">
        <v>25</v>
      </c>
      <c r="C33" s="11" t="s">
        <v>75</v>
      </c>
      <c r="D33" s="12" t="s">
        <v>76</v>
      </c>
      <c r="E33" s="12" t="s">
        <v>19</v>
      </c>
      <c r="F33" s="12"/>
      <c r="G33" s="11"/>
      <c r="H33" s="11" t="s">
        <v>77</v>
      </c>
    </row>
    <row r="34" customFormat="false" ht="31.5" hidden="false" customHeight="true" outlineLevel="0" collapsed="false">
      <c r="B34" s="10" t="n">
        <v>26</v>
      </c>
      <c r="C34" s="11" t="s">
        <v>78</v>
      </c>
      <c r="D34" s="12" t="s">
        <v>79</v>
      </c>
      <c r="E34" s="12" t="s">
        <v>15</v>
      </c>
      <c r="F34" s="12"/>
      <c r="G34" s="11"/>
      <c r="H34" s="11" t="s">
        <v>80</v>
      </c>
    </row>
    <row r="35" customFormat="false" ht="31.5" hidden="false" customHeight="true" outlineLevel="0" collapsed="false">
      <c r="B35" s="10" t="n">
        <v>27</v>
      </c>
      <c r="C35" s="11" t="s">
        <v>81</v>
      </c>
      <c r="D35" s="12" t="s">
        <v>82</v>
      </c>
      <c r="E35" s="12" t="s">
        <v>15</v>
      </c>
      <c r="F35" s="12"/>
      <c r="G35" s="11"/>
      <c r="H35" s="11" t="s">
        <v>83</v>
      </c>
    </row>
    <row r="36" customFormat="false" ht="31.5" hidden="false" customHeight="true" outlineLevel="0" collapsed="false">
      <c r="B36" s="10" t="n">
        <v>28</v>
      </c>
      <c r="C36" s="11" t="s">
        <v>84</v>
      </c>
      <c r="D36" s="12" t="s">
        <v>85</v>
      </c>
      <c r="E36" s="12" t="s">
        <v>15</v>
      </c>
      <c r="F36" s="12"/>
      <c r="G36" s="11"/>
      <c r="H36" s="11" t="s">
        <v>86</v>
      </c>
    </row>
    <row r="37" customFormat="false" ht="31.5" hidden="false" customHeight="true" outlineLevel="0" collapsed="false">
      <c r="B37" s="10" t="n">
        <v>29</v>
      </c>
      <c r="C37" s="11" t="s">
        <v>87</v>
      </c>
      <c r="D37" s="12" t="s">
        <v>88</v>
      </c>
      <c r="E37" s="12" t="s">
        <v>19</v>
      </c>
      <c r="F37" s="12"/>
      <c r="G37" s="11"/>
      <c r="H37" s="11" t="s">
        <v>89</v>
      </c>
    </row>
    <row r="38" customFormat="false" ht="31.5" hidden="false" customHeight="true" outlineLevel="0" collapsed="false">
      <c r="B38" s="10" t="n">
        <v>30</v>
      </c>
      <c r="C38" s="11" t="s">
        <v>90</v>
      </c>
      <c r="D38" s="12" t="s">
        <v>91</v>
      </c>
      <c r="E38" s="12" t="s">
        <v>19</v>
      </c>
      <c r="F38" s="12"/>
      <c r="G38" s="11"/>
      <c r="H38" s="11" t="s">
        <v>92</v>
      </c>
    </row>
    <row r="39" customFormat="false" ht="31.5" hidden="false" customHeight="true" outlineLevel="0" collapsed="false">
      <c r="B39" s="10" t="n">
        <v>31</v>
      </c>
      <c r="C39" s="11" t="s">
        <v>93</v>
      </c>
      <c r="D39" s="12" t="s">
        <v>94</v>
      </c>
      <c r="E39" s="12" t="s">
        <v>19</v>
      </c>
      <c r="F39" s="12"/>
      <c r="G39" s="11"/>
      <c r="H39" s="11" t="s">
        <v>95</v>
      </c>
    </row>
    <row r="40" customFormat="false" ht="31.5" hidden="false" customHeight="true" outlineLevel="0" collapsed="false">
      <c r="B40" s="10" t="n">
        <v>32</v>
      </c>
      <c r="C40" s="11" t="s">
        <v>96</v>
      </c>
      <c r="D40" s="12" t="s">
        <v>97</v>
      </c>
      <c r="E40" s="12" t="s">
        <v>15</v>
      </c>
      <c r="F40" s="12"/>
      <c r="G40" s="11"/>
      <c r="H40" s="11" t="s">
        <v>98</v>
      </c>
    </row>
    <row r="41" customFormat="false" ht="31.5" hidden="false" customHeight="true" outlineLevel="0" collapsed="false">
      <c r="B41" s="10" t="n">
        <v>33</v>
      </c>
      <c r="C41" s="11" t="s">
        <v>99</v>
      </c>
      <c r="D41" s="12" t="s">
        <v>100</v>
      </c>
      <c r="E41" s="12" t="s">
        <v>15</v>
      </c>
      <c r="F41" s="12"/>
      <c r="G41" s="11"/>
      <c r="H41" s="11" t="s">
        <v>101</v>
      </c>
    </row>
    <row r="42" customFormat="false" ht="31.5" hidden="false" customHeight="true" outlineLevel="0" collapsed="false">
      <c r="B42" s="10" t="n">
        <v>34</v>
      </c>
      <c r="C42" s="11" t="s">
        <v>102</v>
      </c>
      <c r="D42" s="12" t="s">
        <v>103</v>
      </c>
      <c r="E42" s="12" t="s">
        <v>15</v>
      </c>
      <c r="F42" s="12"/>
      <c r="G42" s="11"/>
      <c r="H42" s="11" t="s">
        <v>104</v>
      </c>
    </row>
    <row r="43" customFormat="false" ht="31.5" hidden="false" customHeight="true" outlineLevel="0" collapsed="false">
      <c r="B43" s="10" t="n">
        <v>35</v>
      </c>
      <c r="C43" s="11" t="s">
        <v>105</v>
      </c>
      <c r="D43" s="12" t="s">
        <v>106</v>
      </c>
      <c r="E43" s="12" t="s">
        <v>15</v>
      </c>
      <c r="F43" s="12"/>
      <c r="G43" s="11"/>
      <c r="H43" s="11" t="s">
        <v>107</v>
      </c>
    </row>
    <row r="44" customFormat="false" ht="31.5" hidden="false" customHeight="true" outlineLevel="0" collapsed="false">
      <c r="B44" s="10" t="n">
        <v>36</v>
      </c>
      <c r="C44" s="11" t="s">
        <v>108</v>
      </c>
      <c r="D44" s="12" t="s">
        <v>109</v>
      </c>
      <c r="E44" s="12" t="s">
        <v>19</v>
      </c>
      <c r="F44" s="12"/>
      <c r="G44" s="11"/>
      <c r="H44" s="11" t="s">
        <v>110</v>
      </c>
    </row>
    <row r="45" customFormat="false" ht="31.5" hidden="false" customHeight="true" outlineLevel="0" collapsed="false">
      <c r="B45" s="10" t="n">
        <v>37</v>
      </c>
      <c r="C45" s="11" t="s">
        <v>111</v>
      </c>
      <c r="D45" s="12" t="s">
        <v>37</v>
      </c>
      <c r="E45" s="12" t="s">
        <v>15</v>
      </c>
      <c r="F45" s="12"/>
      <c r="G45" s="11"/>
      <c r="H45" s="11" t="s">
        <v>112</v>
      </c>
    </row>
    <row r="46" customFormat="false" ht="31.5" hidden="false" customHeight="true" outlineLevel="0" collapsed="false">
      <c r="B46" s="10" t="n">
        <v>38</v>
      </c>
      <c r="C46" s="11" t="s">
        <v>113</v>
      </c>
      <c r="D46" s="12" t="s">
        <v>114</v>
      </c>
      <c r="E46" s="12" t="s">
        <v>19</v>
      </c>
      <c r="F46" s="12"/>
      <c r="G46" s="11"/>
      <c r="H46" s="11" t="s">
        <v>115</v>
      </c>
    </row>
    <row r="47" customFormat="false" ht="31.5" hidden="false" customHeight="true" outlineLevel="0" collapsed="false">
      <c r="B47" s="10" t="n">
        <v>39</v>
      </c>
      <c r="C47" s="11" t="s">
        <v>116</v>
      </c>
      <c r="D47" s="12" t="s">
        <v>117</v>
      </c>
      <c r="E47" s="12" t="s">
        <v>19</v>
      </c>
      <c r="F47" s="12"/>
      <c r="G47" s="11"/>
      <c r="H47" s="11" t="s">
        <v>118</v>
      </c>
    </row>
    <row r="48" customFormat="false" ht="31.5" hidden="false" customHeight="true" outlineLevel="0" collapsed="false">
      <c r="B48" s="10" t="n">
        <v>40</v>
      </c>
      <c r="C48" s="11" t="s">
        <v>119</v>
      </c>
      <c r="D48" s="12" t="s">
        <v>120</v>
      </c>
      <c r="E48" s="12" t="s">
        <v>15</v>
      </c>
      <c r="F48" s="12"/>
      <c r="G48" s="11"/>
      <c r="H48" s="11" t="s">
        <v>121</v>
      </c>
    </row>
  </sheetData>
  <mergeCells count="3">
    <mergeCell ref="B2:H2"/>
    <mergeCell ref="B3:H3"/>
    <mergeCell ref="B5:C5"/>
  </mergeCells>
  <conditionalFormatting sqref="F9:F48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  <cfRule type="cellIs" priority="4" operator="equal" aboveAverage="0" equalAverage="0" bottom="0" percent="0" rank="0" text="" dxfId="2">
      <formula>"In Progress"</formula>
    </cfRule>
  </conditionalFormatting>
  <dataValidations count="2">
    <dataValidation allowBlank="true" errorStyle="stop" operator="between" showDropDown="false" showErrorMessage="false" showInputMessage="false" sqref="E9:E48" type="list">
      <formula1>"Y,N,Conditional"</formula1>
      <formula2>0</formula2>
    </dataValidation>
    <dataValidation allowBlank="true" errorStyle="stop" operator="between" showDropDown="false" showErrorMessage="false" showInputMessage="false" sqref="F9:F48" type="list">
      <formula1>"Yes,No,N/A,In Progress"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696F"/>
    <pageSetUpPr fitToPage="false"/>
  </sheetPr>
  <dimension ref="B2:M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12" min="3" style="1" width="14"/>
    <col collapsed="false" customWidth="true" hidden="false" outlineLevel="0" max="13" min="13" style="1" width="16"/>
  </cols>
  <sheetData>
    <row r="2" customFormat="false" ht="19.5" hidden="false" customHeight="true" outlineLevel="0" collapsed="false">
      <c r="B2" s="2" t="s">
        <v>122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true" outlineLevel="0" collapsed="false">
      <c r="B4" s="13" t="s">
        <v>123</v>
      </c>
      <c r="C4" s="13"/>
      <c r="D4" s="13"/>
      <c r="E4" s="13"/>
      <c r="F4" s="13"/>
      <c r="G4" s="13"/>
      <c r="H4" s="13"/>
      <c r="I4" s="13"/>
      <c r="J4" s="13"/>
      <c r="K4" s="13"/>
      <c r="L4" s="13"/>
    </row>
    <row r="6" customFormat="false" ht="36" hidden="false" customHeight="true" outlineLevel="0" collapsed="false">
      <c r="B6" s="9" t="s">
        <v>124</v>
      </c>
      <c r="C6" s="9" t="s">
        <v>125</v>
      </c>
      <c r="D6" s="9" t="s">
        <v>126</v>
      </c>
      <c r="E6" s="9" t="s">
        <v>127</v>
      </c>
      <c r="F6" s="9" t="s">
        <v>128</v>
      </c>
      <c r="G6" s="9" t="s">
        <v>129</v>
      </c>
      <c r="H6" s="9" t="s">
        <v>130</v>
      </c>
      <c r="I6" s="9" t="s">
        <v>131</v>
      </c>
      <c r="J6" s="9" t="s">
        <v>132</v>
      </c>
      <c r="K6" s="9" t="s">
        <v>133</v>
      </c>
      <c r="L6" s="9" t="s">
        <v>134</v>
      </c>
      <c r="M6" s="9" t="s">
        <v>135</v>
      </c>
    </row>
    <row r="7" customFormat="false" ht="24" hidden="false" customHeight="true" outlineLevel="0" collapsed="false">
      <c r="B7" s="14" t="s">
        <v>136</v>
      </c>
      <c r="C7" s="11" t="s">
        <v>137</v>
      </c>
      <c r="D7" s="10" t="s">
        <v>138</v>
      </c>
      <c r="E7" s="10" t="s">
        <v>139</v>
      </c>
      <c r="F7" s="10" t="s">
        <v>140</v>
      </c>
      <c r="G7" s="15"/>
      <c r="H7" s="15"/>
      <c r="I7" s="15"/>
      <c r="J7" s="15"/>
      <c r="K7" s="15"/>
      <c r="L7" s="15"/>
      <c r="M7" s="16" t="n">
        <f aca="false">SUM(H7:L7)</f>
        <v>0</v>
      </c>
    </row>
    <row r="8" customFormat="false" ht="24" hidden="false" customHeight="true" outlineLevel="0" collapsed="false">
      <c r="B8" s="14" t="s">
        <v>141</v>
      </c>
      <c r="C8" s="11" t="s">
        <v>142</v>
      </c>
      <c r="D8" s="10" t="s">
        <v>143</v>
      </c>
      <c r="E8" s="10" t="s">
        <v>144</v>
      </c>
      <c r="F8" s="10"/>
      <c r="G8" s="15"/>
      <c r="H8" s="15"/>
      <c r="I8" s="15"/>
      <c r="J8" s="15"/>
      <c r="K8" s="15"/>
      <c r="L8" s="15"/>
      <c r="M8" s="16" t="n">
        <f aca="false">SUM(H8:L8)</f>
        <v>0</v>
      </c>
    </row>
    <row r="9" customFormat="false" ht="24" hidden="false" customHeight="true" outlineLevel="0" collapsed="false">
      <c r="B9" s="14" t="s">
        <v>145</v>
      </c>
      <c r="C9" s="11" t="s">
        <v>146</v>
      </c>
      <c r="D9" s="10" t="s">
        <v>143</v>
      </c>
      <c r="E9" s="10" t="s">
        <v>144</v>
      </c>
      <c r="F9" s="10"/>
      <c r="G9" s="15"/>
      <c r="H9" s="15"/>
      <c r="I9" s="15"/>
      <c r="J9" s="15"/>
      <c r="K9" s="15"/>
      <c r="L9" s="15"/>
      <c r="M9" s="16" t="n">
        <f aca="false">SUM(H9:L9)</f>
        <v>0</v>
      </c>
    </row>
    <row r="10" customFormat="false" ht="24" hidden="false" customHeight="true" outlineLevel="0" collapsed="false">
      <c r="B10" s="14" t="s">
        <v>147</v>
      </c>
      <c r="C10" s="11" t="s">
        <v>148</v>
      </c>
      <c r="D10" s="10" t="s">
        <v>143</v>
      </c>
      <c r="E10" s="10" t="s">
        <v>144</v>
      </c>
      <c r="F10" s="10"/>
      <c r="G10" s="15"/>
      <c r="H10" s="15"/>
      <c r="I10" s="15"/>
      <c r="J10" s="15"/>
      <c r="K10" s="15"/>
      <c r="L10" s="15"/>
      <c r="M10" s="16" t="n">
        <f aca="false">SUM(H10:L10)</f>
        <v>0</v>
      </c>
    </row>
    <row r="11" customFormat="false" ht="24" hidden="false" customHeight="true" outlineLevel="0" collapsed="false">
      <c r="B11" s="14" t="s">
        <v>149</v>
      </c>
      <c r="C11" s="11" t="s">
        <v>150</v>
      </c>
      <c r="D11" s="10" t="s">
        <v>143</v>
      </c>
      <c r="E11" s="10" t="s">
        <v>144</v>
      </c>
      <c r="F11" s="10"/>
      <c r="G11" s="15"/>
      <c r="H11" s="15"/>
      <c r="I11" s="15"/>
      <c r="J11" s="15"/>
      <c r="K11" s="15"/>
      <c r="L11" s="15"/>
      <c r="M11" s="16" t="n">
        <f aca="false">SUM(H11:L11)</f>
        <v>0</v>
      </c>
    </row>
    <row r="12" customFormat="false" ht="24" hidden="false" customHeight="true" outlineLevel="0" collapsed="false">
      <c r="B12" s="14" t="s">
        <v>151</v>
      </c>
      <c r="C12" s="11" t="s">
        <v>152</v>
      </c>
      <c r="D12" s="10" t="s">
        <v>138</v>
      </c>
      <c r="E12" s="10" t="s">
        <v>139</v>
      </c>
      <c r="F12" s="10" t="s">
        <v>140</v>
      </c>
      <c r="G12" s="15"/>
      <c r="H12" s="15"/>
      <c r="I12" s="15"/>
      <c r="J12" s="15"/>
      <c r="K12" s="15"/>
      <c r="L12" s="15"/>
      <c r="M12" s="16" t="n">
        <f aca="false">SUM(H12:L12)</f>
        <v>0</v>
      </c>
    </row>
    <row r="13" customFormat="false" ht="24" hidden="false" customHeight="true" outlineLevel="0" collapsed="false">
      <c r="B13" s="14" t="s">
        <v>153</v>
      </c>
      <c r="C13" s="11" t="s">
        <v>154</v>
      </c>
      <c r="D13" s="10" t="s">
        <v>155</v>
      </c>
      <c r="E13" s="10" t="s">
        <v>156</v>
      </c>
      <c r="F13" s="10" t="s">
        <v>157</v>
      </c>
      <c r="G13" s="15"/>
      <c r="H13" s="15"/>
      <c r="I13" s="15"/>
      <c r="J13" s="15"/>
      <c r="K13" s="15"/>
      <c r="L13" s="15"/>
      <c r="M13" s="16" t="n">
        <f aca="false">SUM(H13:L13)</f>
        <v>0</v>
      </c>
    </row>
    <row r="14" customFormat="false" ht="24" hidden="false" customHeight="true" outlineLevel="0" collapsed="false">
      <c r="B14" s="14" t="s">
        <v>158</v>
      </c>
      <c r="C14" s="11" t="s">
        <v>159</v>
      </c>
      <c r="D14" s="10" t="s">
        <v>138</v>
      </c>
      <c r="E14" s="10" t="s">
        <v>139</v>
      </c>
      <c r="F14" s="10" t="s">
        <v>140</v>
      </c>
      <c r="G14" s="15"/>
      <c r="H14" s="15"/>
      <c r="I14" s="15"/>
      <c r="J14" s="15"/>
      <c r="K14" s="15"/>
      <c r="L14" s="15"/>
      <c r="M14" s="16" t="n">
        <f aca="false">SUM(H14:L14)</f>
        <v>0</v>
      </c>
    </row>
    <row r="15" customFormat="false" ht="24" hidden="false" customHeight="true" outlineLevel="0" collapsed="false">
      <c r="B15" s="14" t="s">
        <v>160</v>
      </c>
      <c r="C15" s="11" t="s">
        <v>161</v>
      </c>
      <c r="D15" s="10" t="s">
        <v>162</v>
      </c>
      <c r="E15" s="10" t="s">
        <v>156</v>
      </c>
      <c r="F15" s="10" t="s">
        <v>157</v>
      </c>
      <c r="G15" s="15"/>
      <c r="H15" s="15"/>
      <c r="I15" s="15"/>
      <c r="J15" s="15"/>
      <c r="K15" s="15"/>
      <c r="L15" s="15"/>
      <c r="M15" s="16" t="n">
        <f aca="false">SUM(H15:L15)</f>
        <v>0</v>
      </c>
    </row>
    <row r="16" customFormat="false" ht="24" hidden="false" customHeight="true" outlineLevel="0" collapsed="false">
      <c r="B16" s="14" t="s">
        <v>163</v>
      </c>
      <c r="C16" s="11" t="s">
        <v>164</v>
      </c>
      <c r="D16" s="10" t="s">
        <v>162</v>
      </c>
      <c r="E16" s="10" t="s">
        <v>156</v>
      </c>
      <c r="F16" s="10" t="s">
        <v>157</v>
      </c>
      <c r="G16" s="15"/>
      <c r="H16" s="15"/>
      <c r="I16" s="15"/>
      <c r="J16" s="15"/>
      <c r="K16" s="15"/>
      <c r="L16" s="15"/>
      <c r="M16" s="16" t="n">
        <f aca="false">SUM(H16:L16)</f>
        <v>0</v>
      </c>
    </row>
    <row r="17" customFormat="false" ht="24" hidden="false" customHeight="true" outlineLevel="0" collapsed="false">
      <c r="B17" s="14" t="s">
        <v>165</v>
      </c>
      <c r="C17" s="11" t="s">
        <v>166</v>
      </c>
      <c r="D17" s="10" t="s">
        <v>138</v>
      </c>
      <c r="E17" s="10" t="s">
        <v>139</v>
      </c>
      <c r="F17" s="10" t="s">
        <v>140</v>
      </c>
      <c r="G17" s="15"/>
      <c r="H17" s="15"/>
      <c r="I17" s="15"/>
      <c r="J17" s="15"/>
      <c r="K17" s="15"/>
      <c r="L17" s="15"/>
      <c r="M17" s="16" t="n">
        <f aca="false">SUM(H17:L17)</f>
        <v>0</v>
      </c>
    </row>
    <row r="18" customFormat="false" ht="24" hidden="false" customHeight="true" outlineLevel="0" collapsed="false">
      <c r="B18" s="14" t="s">
        <v>167</v>
      </c>
      <c r="C18" s="11" t="s">
        <v>168</v>
      </c>
      <c r="D18" s="10" t="s">
        <v>143</v>
      </c>
      <c r="E18" s="10" t="s">
        <v>144</v>
      </c>
      <c r="F18" s="10"/>
      <c r="G18" s="15"/>
      <c r="H18" s="15"/>
      <c r="I18" s="15"/>
      <c r="J18" s="15"/>
      <c r="K18" s="15"/>
      <c r="L18" s="15"/>
      <c r="M18" s="16" t="n">
        <f aca="false">SUM(H18:L18)</f>
        <v>0</v>
      </c>
    </row>
    <row r="19" customFormat="false" ht="24" hidden="false" customHeight="true" outlineLevel="0" collapsed="false">
      <c r="B19" s="14" t="s">
        <v>169</v>
      </c>
      <c r="C19" s="11" t="s">
        <v>170</v>
      </c>
      <c r="D19" s="10" t="s">
        <v>138</v>
      </c>
      <c r="E19" s="10" t="s">
        <v>139</v>
      </c>
      <c r="F19" s="10" t="s">
        <v>140</v>
      </c>
      <c r="G19" s="15"/>
      <c r="H19" s="15"/>
      <c r="I19" s="15"/>
      <c r="J19" s="15"/>
      <c r="K19" s="15"/>
      <c r="L19" s="15"/>
      <c r="M19" s="16" t="n">
        <f aca="false">SUM(H19:L19)</f>
        <v>0</v>
      </c>
    </row>
    <row r="21" customFormat="false" ht="30" hidden="false" customHeight="true" outlineLevel="0" collapsed="false">
      <c r="B21" s="17" t="s">
        <v>171</v>
      </c>
      <c r="C21" s="17"/>
      <c r="D21" s="17"/>
      <c r="E21" s="17"/>
      <c r="F21" s="17"/>
      <c r="G21" s="18" t="n">
        <f aca="false">SUM(G7:G19)</f>
        <v>0</v>
      </c>
      <c r="H21" s="18" t="n">
        <f aca="false">SUM(H7:H19)</f>
        <v>0</v>
      </c>
      <c r="I21" s="18" t="n">
        <f aca="false">SUM(I7:I19)</f>
        <v>0</v>
      </c>
      <c r="J21" s="18" t="n">
        <f aca="false">SUM(J7:J19)</f>
        <v>0</v>
      </c>
      <c r="K21" s="18" t="n">
        <f aca="false">SUM(K7:K19)</f>
        <v>0</v>
      </c>
      <c r="L21" s="18" t="n">
        <f aca="false">SUM(L7:L19)</f>
        <v>0</v>
      </c>
      <c r="M21" s="18" t="n">
        <f aca="false">SUM(M7:M19)</f>
        <v>0</v>
      </c>
    </row>
    <row r="24" customFormat="false" ht="27.75" hidden="false" customHeight="true" outlineLevel="0" collapsed="false">
      <c r="B24" s="19" t="s">
        <v>172</v>
      </c>
      <c r="C24" s="19"/>
      <c r="D24" s="19"/>
      <c r="E24" s="19"/>
      <c r="F24" s="19"/>
      <c r="G24" s="19"/>
      <c r="H24" s="19"/>
    </row>
    <row r="25" customFormat="false" ht="31.5" hidden="false" customHeight="true" outlineLevel="0" collapsed="false">
      <c r="B25" s="9" t="s">
        <v>173</v>
      </c>
      <c r="C25" s="9" t="s">
        <v>174</v>
      </c>
      <c r="D25" s="9" t="s">
        <v>175</v>
      </c>
      <c r="E25" s="9" t="s">
        <v>176</v>
      </c>
      <c r="F25" s="9" t="s">
        <v>177</v>
      </c>
      <c r="G25" s="9" t="s">
        <v>178</v>
      </c>
      <c r="H25" s="9" t="s">
        <v>179</v>
      </c>
    </row>
    <row r="26" customFormat="false" ht="15" hidden="false" customHeight="true" outlineLevel="0" collapsed="false">
      <c r="B26" s="20" t="s">
        <v>180</v>
      </c>
      <c r="C26" s="15"/>
      <c r="D26" s="15" t="str">
        <f aca="false">IF(C26="","",C26*(1+H26))</f>
        <v/>
      </c>
      <c r="E26" s="15" t="str">
        <f aca="false">IF(C26="","",C26*(1+H26)^2)</f>
        <v/>
      </c>
      <c r="F26" s="15" t="str">
        <f aca="false">IF(C26="","",C26*(1+H26)^3)</f>
        <v/>
      </c>
      <c r="G26" s="15" t="str">
        <f aca="false">IF(C26="","",C26*(1+H26)^4)</f>
        <v/>
      </c>
      <c r="H26" s="21"/>
    </row>
    <row r="27" customFormat="false" ht="15" hidden="false" customHeight="true" outlineLevel="0" collapsed="false">
      <c r="B27" s="20" t="s">
        <v>181</v>
      </c>
      <c r="C27" s="15"/>
      <c r="D27" s="15" t="str">
        <f aca="false">IF(C27="","",C27*(1+H27))</f>
        <v/>
      </c>
      <c r="E27" s="15" t="str">
        <f aca="false">IF(C27="","",C27*(1+H27)^2)</f>
        <v/>
      </c>
      <c r="F27" s="15" t="str">
        <f aca="false">IF(C27="","",C27*(1+H27)^3)</f>
        <v/>
      </c>
      <c r="G27" s="15" t="str">
        <f aca="false">IF(C27="","",C27*(1+H27)^4)</f>
        <v/>
      </c>
      <c r="H27" s="21"/>
    </row>
    <row r="28" customFormat="false" ht="15" hidden="false" customHeight="true" outlineLevel="0" collapsed="false">
      <c r="B28" s="20" t="s">
        <v>182</v>
      </c>
      <c r="C28" s="15"/>
      <c r="D28" s="15" t="str">
        <f aca="false">IF(C28="","",C28*(1+H28))</f>
        <v/>
      </c>
      <c r="E28" s="15" t="str">
        <f aca="false">IF(C28="","",C28*(1+H28)^2)</f>
        <v/>
      </c>
      <c r="F28" s="15" t="str">
        <f aca="false">IF(C28="","",C28*(1+H28)^3)</f>
        <v/>
      </c>
      <c r="G28" s="15" t="str">
        <f aca="false">IF(C28="","",C28*(1+H28)^4)</f>
        <v/>
      </c>
      <c r="H28" s="21"/>
    </row>
    <row r="29" customFormat="false" ht="15" hidden="false" customHeight="true" outlineLevel="0" collapsed="false">
      <c r="B29" s="20" t="s">
        <v>183</v>
      </c>
      <c r="C29" s="15"/>
      <c r="D29" s="15" t="str">
        <f aca="false">IF(C29="","",C29*(1+H29))</f>
        <v/>
      </c>
      <c r="E29" s="15" t="str">
        <f aca="false">IF(C29="","",C29*(1+H29)^2)</f>
        <v/>
      </c>
      <c r="F29" s="15" t="str">
        <f aca="false">IF(C29="","",C29*(1+H29)^3)</f>
        <v/>
      </c>
      <c r="G29" s="15" t="str">
        <f aca="false">IF(C29="","",C29*(1+H29)^4)</f>
        <v/>
      </c>
      <c r="H29" s="21"/>
    </row>
    <row r="30" customFormat="false" ht="15" hidden="false" customHeight="true" outlineLevel="0" collapsed="false">
      <c r="B30" s="20" t="s">
        <v>184</v>
      </c>
      <c r="C30" s="15"/>
      <c r="D30" s="15" t="str">
        <f aca="false">IF(C30="","",C30*(1+H30))</f>
        <v/>
      </c>
      <c r="E30" s="15" t="str">
        <f aca="false">IF(C30="","",C30*(1+H30)^2)</f>
        <v/>
      </c>
      <c r="F30" s="15" t="str">
        <f aca="false">IF(C30="","",C30*(1+H30)^3)</f>
        <v/>
      </c>
      <c r="G30" s="15" t="str">
        <f aca="false">IF(C30="","",C30*(1+H30)^4)</f>
        <v/>
      </c>
      <c r="H30" s="21"/>
    </row>
    <row r="31" customFormat="false" ht="15" hidden="false" customHeight="true" outlineLevel="0" collapsed="false">
      <c r="B31" s="20" t="s">
        <v>185</v>
      </c>
      <c r="C31" s="15"/>
      <c r="D31" s="15" t="str">
        <f aca="false">IF(C31="","",C31*(1+H31))</f>
        <v/>
      </c>
      <c r="E31" s="15" t="str">
        <f aca="false">IF(C31="","",C31*(1+H31)^2)</f>
        <v/>
      </c>
      <c r="F31" s="15" t="str">
        <f aca="false">IF(C31="","",C31*(1+H31)^3)</f>
        <v/>
      </c>
      <c r="G31" s="15" t="str">
        <f aca="false">IF(C31="","",C31*(1+H31)^4)</f>
        <v/>
      </c>
      <c r="H31" s="21"/>
    </row>
    <row r="32" customFormat="false" ht="15" hidden="false" customHeight="true" outlineLevel="0" collapsed="false">
      <c r="B32" s="20" t="s">
        <v>186</v>
      </c>
      <c r="C32" s="15"/>
      <c r="D32" s="15" t="str">
        <f aca="false">IF(C32="","",C32*(1+H32))</f>
        <v/>
      </c>
      <c r="E32" s="15" t="str">
        <f aca="false">IF(C32="","",C32*(1+H32)^2)</f>
        <v/>
      </c>
      <c r="F32" s="15" t="str">
        <f aca="false">IF(C32="","",C32*(1+H32)^3)</f>
        <v/>
      </c>
      <c r="G32" s="15" t="str">
        <f aca="false">IF(C32="","",C32*(1+H32)^4)</f>
        <v/>
      </c>
      <c r="H32" s="21"/>
    </row>
    <row r="33" customFormat="false" ht="15" hidden="false" customHeight="true" outlineLevel="0" collapsed="false">
      <c r="B33" s="20" t="s">
        <v>187</v>
      </c>
      <c r="C33" s="15"/>
      <c r="D33" s="15" t="str">
        <f aca="false">IF(C33="","",C33*(1+H33))</f>
        <v/>
      </c>
      <c r="E33" s="15" t="str">
        <f aca="false">IF(C33="","",C33*(1+H33)^2)</f>
        <v/>
      </c>
      <c r="F33" s="15" t="str">
        <f aca="false">IF(C33="","",C33*(1+H33)^3)</f>
        <v/>
      </c>
      <c r="G33" s="15" t="str">
        <f aca="false">IF(C33="","",C33*(1+H33)^4)</f>
        <v/>
      </c>
      <c r="H33" s="21"/>
    </row>
    <row r="34" customFormat="false" ht="15" hidden="false" customHeight="true" outlineLevel="0" collapsed="false">
      <c r="B34" s="20" t="s">
        <v>188</v>
      </c>
      <c r="C34" s="15"/>
      <c r="D34" s="15" t="str">
        <f aca="false">IF(C34="","",C34*(1+H34))</f>
        <v/>
      </c>
      <c r="E34" s="15" t="str">
        <f aca="false">IF(C34="","",C34*(1+H34)^2)</f>
        <v/>
      </c>
      <c r="F34" s="15" t="str">
        <f aca="false">IF(C34="","",C34*(1+H34)^3)</f>
        <v/>
      </c>
      <c r="G34" s="15" t="str">
        <f aca="false">IF(C34="","",C34*(1+H34)^4)</f>
        <v/>
      </c>
      <c r="H34" s="21"/>
    </row>
    <row r="35" customFormat="false" ht="15" hidden="false" customHeight="true" outlineLevel="0" collapsed="false">
      <c r="B35" s="20" t="s">
        <v>189</v>
      </c>
      <c r="C35" s="15"/>
      <c r="D35" s="15" t="str">
        <f aca="false">IF(C35="","",C35*(1+H35))</f>
        <v/>
      </c>
      <c r="E35" s="15" t="str">
        <f aca="false">IF(C35="","",C35*(1+H35)^2)</f>
        <v/>
      </c>
      <c r="F35" s="15" t="str">
        <f aca="false">IF(C35="","",C35*(1+H35)^3)</f>
        <v/>
      </c>
      <c r="G35" s="15" t="str">
        <f aca="false">IF(C35="","",C35*(1+H35)^4)</f>
        <v/>
      </c>
      <c r="H35" s="21"/>
    </row>
    <row r="36" customFormat="false" ht="15" hidden="false" customHeight="true" outlineLevel="0" collapsed="false">
      <c r="B36" s="20" t="s">
        <v>190</v>
      </c>
      <c r="C36" s="15"/>
      <c r="D36" s="15" t="str">
        <f aca="false">IF(C36="","",C36*(1+H36))</f>
        <v/>
      </c>
      <c r="E36" s="15" t="str">
        <f aca="false">IF(C36="","",C36*(1+H36)^2)</f>
        <v/>
      </c>
      <c r="F36" s="15" t="str">
        <f aca="false">IF(C36="","",C36*(1+H36)^3)</f>
        <v/>
      </c>
      <c r="G36" s="15" t="str">
        <f aca="false">IF(C36="","",C36*(1+H36)^4)</f>
        <v/>
      </c>
      <c r="H36" s="21"/>
    </row>
    <row r="37" customFormat="false" ht="15" hidden="false" customHeight="true" outlineLevel="0" collapsed="false">
      <c r="B37" s="20" t="s">
        <v>191</v>
      </c>
      <c r="C37" s="15"/>
      <c r="D37" s="15" t="str">
        <f aca="false">IF(C37="","",C37*(1+H37))</f>
        <v/>
      </c>
      <c r="E37" s="15" t="str">
        <f aca="false">IF(C37="","",C37*(1+H37)^2)</f>
        <v/>
      </c>
      <c r="F37" s="15" t="str">
        <f aca="false">IF(C37="","",C37*(1+H37)^3)</f>
        <v/>
      </c>
      <c r="G37" s="15" t="str">
        <f aca="false">IF(C37="","",C37*(1+H37)^4)</f>
        <v/>
      </c>
      <c r="H37" s="21"/>
    </row>
    <row r="38" customFormat="false" ht="15" hidden="false" customHeight="true" outlineLevel="0" collapsed="false">
      <c r="B38" s="20" t="s">
        <v>192</v>
      </c>
      <c r="C38" s="15"/>
      <c r="D38" s="15" t="str">
        <f aca="false">IF(C38="","",C38*(1+H38))</f>
        <v/>
      </c>
      <c r="E38" s="15" t="str">
        <f aca="false">IF(C38="","",C38*(1+H38)^2)</f>
        <v/>
      </c>
      <c r="F38" s="15" t="str">
        <f aca="false">IF(C38="","",C38*(1+H38)^3)</f>
        <v/>
      </c>
      <c r="G38" s="15" t="str">
        <f aca="false">IF(C38="","",C38*(1+H38)^4)</f>
        <v/>
      </c>
      <c r="H38" s="21"/>
    </row>
    <row r="39" customFormat="false" ht="15" hidden="false" customHeight="true" outlineLevel="0" collapsed="false">
      <c r="B39" s="20" t="s">
        <v>193</v>
      </c>
      <c r="C39" s="15"/>
      <c r="D39" s="15" t="str">
        <f aca="false">IF(C39="","",C39*(1+H39))</f>
        <v/>
      </c>
      <c r="E39" s="15" t="str">
        <f aca="false">IF(C39="","",C39*(1+H39)^2)</f>
        <v/>
      </c>
      <c r="F39" s="15" t="str">
        <f aca="false">IF(C39="","",C39*(1+H39)^3)</f>
        <v/>
      </c>
      <c r="G39" s="15" t="str">
        <f aca="false">IF(C39="","",C39*(1+H39)^4)</f>
        <v/>
      </c>
      <c r="H39" s="21"/>
    </row>
    <row r="40" customFormat="false" ht="15" hidden="false" customHeight="true" outlineLevel="0" collapsed="false">
      <c r="B40" s="20" t="s">
        <v>194</v>
      </c>
      <c r="C40" s="15"/>
      <c r="D40" s="15" t="str">
        <f aca="false">IF(C40="","",C40*(1+H40))</f>
        <v/>
      </c>
      <c r="E40" s="15" t="str">
        <f aca="false">IF(C40="","",C40*(1+H40)^2)</f>
        <v/>
      </c>
      <c r="F40" s="15" t="str">
        <f aca="false">IF(C40="","",C40*(1+H40)^3)</f>
        <v/>
      </c>
      <c r="G40" s="15" t="str">
        <f aca="false">IF(C40="","",C40*(1+H40)^4)</f>
        <v/>
      </c>
      <c r="H40" s="21"/>
    </row>
    <row r="43" customFormat="false" ht="27.75" hidden="false" customHeight="true" outlineLevel="0" collapsed="false">
      <c r="B43" s="19" t="s">
        <v>195</v>
      </c>
      <c r="C43" s="19"/>
      <c r="D43" s="19"/>
      <c r="E43" s="19"/>
    </row>
    <row r="44" customFormat="false" ht="24" hidden="false" customHeight="true" outlineLevel="0" collapsed="false">
      <c r="B44" s="22" t="s">
        <v>196</v>
      </c>
      <c r="C44" s="23"/>
      <c r="D44" s="24" t="s">
        <v>197</v>
      </c>
    </row>
    <row r="45" customFormat="false" ht="24" hidden="false" customHeight="true" outlineLevel="0" collapsed="false">
      <c r="B45" s="22" t="s">
        <v>198</v>
      </c>
      <c r="C45" s="25"/>
      <c r="D45" s="24" t="s">
        <v>199</v>
      </c>
    </row>
    <row r="46" customFormat="false" ht="24" hidden="false" customHeight="true" outlineLevel="0" collapsed="false">
      <c r="B46" s="22" t="s">
        <v>200</v>
      </c>
      <c r="C46" s="25"/>
      <c r="D46" s="24" t="s">
        <v>201</v>
      </c>
    </row>
    <row r="47" customFormat="false" ht="24" hidden="false" customHeight="true" outlineLevel="0" collapsed="false">
      <c r="B47" s="22" t="s">
        <v>202</v>
      </c>
      <c r="C47" s="25"/>
      <c r="D47" s="24" t="s">
        <v>203</v>
      </c>
    </row>
    <row r="48" customFormat="false" ht="24" hidden="false" customHeight="true" outlineLevel="0" collapsed="false">
      <c r="B48" s="22" t="s">
        <v>204</v>
      </c>
      <c r="C48" s="25"/>
      <c r="D48" s="24" t="s">
        <v>205</v>
      </c>
    </row>
    <row r="49" customFormat="false" ht="24" hidden="false" customHeight="true" outlineLevel="0" collapsed="false">
      <c r="B49" s="22" t="s">
        <v>206</v>
      </c>
      <c r="C49" s="26" t="str">
        <f aca="false">IF(C44="","",C44*(1+C45)*(1+C46)*(1+C47)*(1+C48))</f>
        <v/>
      </c>
      <c r="D49" s="24" t="s">
        <v>207</v>
      </c>
    </row>
  </sheetData>
  <mergeCells count="6">
    <mergeCell ref="B2:L2"/>
    <mergeCell ref="B3:L3"/>
    <mergeCell ref="B4:L4"/>
    <mergeCell ref="B21:F21"/>
    <mergeCell ref="B24:H24"/>
    <mergeCell ref="B43:E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2026-03-23T14:50:51Z</dcterms:created>
  <dc:creator>openpyxl</dc:creator>
  <dc:description/>
  <dc:language>en-US</dc:language>
  <cp:lastModifiedBy/>
  <dcterms:modified xsi:type="dcterms:W3CDTF">2026-03-23T14:51:16Z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