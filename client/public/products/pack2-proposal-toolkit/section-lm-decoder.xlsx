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-M Decoder" sheetId="1" state="visible" r:id="rId1"/>
    <sheet xmlns:r="http://schemas.openxmlformats.org/officeDocument/2006/relationships" name="How to U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D1B2A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D1B2A"/>
      <sz val="14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01696F"/>
      <sz val="12"/>
    </font>
    <font>
      <b val="1"/>
      <color rgb="FFFFFFFF"/>
      <sz val="10"/>
    </font>
    <font>
      <b val="1"/>
      <color rgb="FF0D1B2A"/>
      <sz val="10"/>
    </font>
    <font>
      <b val="1"/>
      <sz val="11"/>
    </font>
    <font>
      <b val="1"/>
      <sz val="9"/>
    </font>
    <font>
      <i val="1"/>
      <color rgb="FF6B7280"/>
      <sz val="8"/>
    </font>
    <font>
      <b val="1"/>
      <color rgb="FF0D1B2A"/>
      <sz val="11"/>
    </font>
    <font>
      <i val="1"/>
      <color rgb="FF6B7280"/>
      <sz val="9"/>
    </font>
  </fonts>
  <fills count="5">
    <fill>
      <patternFill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0F2F3"/>
        <bgColor rgb="FFE0E0E0"/>
      </patternFill>
    </fill>
    <fill>
      <patternFill patternType="solid">
        <fgColor rgb="FF0D1B2A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/>
    </xf>
    <xf numFmtId="9" fontId="0" fillId="0" borderId="2" applyAlignment="1" applyProtection="1" pivotButton="0" quotePrefix="0" xfId="0">
      <alignment horizontal="center"/>
      <protection locked="0" hidden="0"/>
    </xf>
    <xf numFmtId="0" fontId="13" fillId="0" borderId="0" pivotButton="0" quotePrefix="0" xfId="0"/>
    <xf numFmtId="9" fontId="14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name val="Calibri"/>
        <charset val="1"/>
        <family val="0"/>
        <color rgb="FF666666"/>
        <sz val="11"/>
      </font>
      <fill>
        <patternFill>
          <bgColor rgb="FFE0E0E0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993366"/>
      <rgbColor rgb="FFFFFFCC"/>
      <rgbColor rgb="FFE0F2F3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M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6" min="1" max="1"/>
    <col width="10" customWidth="1" style="16" min="2" max="2"/>
    <col width="22" customWidth="1" style="16" min="3" max="3"/>
    <col width="16" customWidth="1" style="16" min="4" max="5"/>
    <col width="12" customWidth="1" style="16" min="6" max="6"/>
    <col width="35" customWidth="1" style="16" min="7" max="7"/>
    <col width="10" customWidth="1" style="16" min="8" max="8"/>
    <col width="30" customWidth="1" style="16" min="9" max="10"/>
    <col width="14" customWidth="1" style="16" min="11" max="12"/>
    <col width="16" customWidth="1" style="17" min="13" max="13"/>
  </cols>
  <sheetData>
    <row r="2" ht="19.7" customHeight="1" s="17">
      <c r="B2" s="18" t="inlineStr">
        <is>
          <t>SECTION L-M DECODER</t>
        </is>
      </c>
    </row>
    <row r="3" ht="15" customHeight="1" s="17">
      <c r="B3" s="19" t="inlineStr">
        <is>
          <t>Acqlerate — Defense Acquisitions Academy</t>
        </is>
      </c>
    </row>
    <row r="5" ht="36" customHeight="1" s="17">
      <c r="B5" s="20" t="inlineStr">
        <is>
          <t>M Factor #</t>
        </is>
      </c>
      <c r="C5" s="20" t="inlineStr">
        <is>
          <t>M Factor Title</t>
        </is>
      </c>
      <c r="D5" s="20" t="inlineStr">
        <is>
          <t>M Weight /
Sub-factor</t>
        </is>
      </c>
      <c r="E5" s="20" t="inlineStr">
        <is>
          <t>Rating Scale
Used</t>
        </is>
      </c>
      <c r="F5" s="20" t="inlineStr">
        <is>
          <t>L Section</t>
        </is>
      </c>
      <c r="G5" s="20" t="inlineStr">
        <is>
          <t>L Instruction Summary</t>
        </is>
      </c>
      <c r="H5" s="20" t="inlineStr">
        <is>
          <t>Page Limit</t>
        </is>
      </c>
      <c r="I5" s="20" t="inlineStr">
        <is>
          <t>Response Strategy Notes</t>
        </is>
      </c>
      <c r="J5" s="20" t="inlineStr">
        <is>
          <t>Discriminator Ideas</t>
        </is>
      </c>
      <c r="K5" s="20" t="inlineStr">
        <is>
          <t>Assigned Writer</t>
        </is>
      </c>
      <c r="L5" s="20" t="inlineStr">
        <is>
          <t>Draft Status</t>
        </is>
      </c>
      <c r="M5" s="31" t="inlineStr">
        <is>
          <t>Weight (numeric)</t>
        </is>
      </c>
    </row>
    <row r="6" ht="48" customHeight="1" s="17">
      <c r="B6" s="21" t="inlineStr">
        <is>
          <t>M-1</t>
        </is>
      </c>
      <c r="C6" s="22" t="inlineStr">
        <is>
          <t>TECHNICAL APPROACH</t>
        </is>
      </c>
      <c r="D6" s="23" t="inlineStr">
        <is>
          <t>40% (Total)</t>
        </is>
      </c>
      <c r="E6" s="23" t="n"/>
      <c r="F6" s="22" t="n"/>
      <c r="G6" s="22" t="inlineStr">
        <is>
          <t>(Parent factor — see sub-factors below)</t>
        </is>
      </c>
      <c r="H6" s="23" t="n"/>
      <c r="I6" s="22" t="n"/>
      <c r="J6" s="22" t="n"/>
      <c r="K6" s="23" t="n"/>
      <c r="L6" s="23" t="n"/>
      <c r="M6" s="32" t="n"/>
    </row>
    <row r="7" ht="48" customHeight="1" s="17">
      <c r="B7" s="24" t="inlineStr">
        <is>
          <t>M-1.1</t>
        </is>
      </c>
      <c r="C7" s="25" t="inlineStr">
        <is>
          <t>Innovation &amp; Emerging Technology</t>
        </is>
      </c>
      <c r="D7" s="26" t="inlineStr">
        <is>
          <t>15%</t>
        </is>
      </c>
      <c r="E7" s="26" t="inlineStr">
        <is>
          <t>Outstanding/Good/
Acceptable/Marginal/
Unacceptable</t>
        </is>
      </c>
      <c r="F7" s="25" t="inlineStr">
        <is>
          <t>L.5.2.2</t>
        </is>
      </c>
      <c r="G7" s="25" t="inlineStr">
        <is>
          <t>Describe innovative approaches and integration of emerging technologies to improve mission outcomes. Include TRL and implementation timeline.</t>
        </is>
      </c>
      <c r="H7" s="26" t="inlineStr">
        <is>
          <t>5</t>
        </is>
      </c>
      <c r="I7" s="25" t="inlineStr">
        <is>
          <t>Lead with proprietary tools or methods; quantify improvement over status quo</t>
        </is>
      </c>
      <c r="J7" s="25" t="inlineStr">
        <is>
          <t>Our AI-driven analytics platform (TRL 7) — no competitor has fielded equivalent</t>
        </is>
      </c>
      <c r="K7" s="26" t="n"/>
      <c r="L7" s="26" t="inlineStr">
        <is>
          <t>Not Started</t>
        </is>
      </c>
      <c r="M7" s="33" t="n">
        <v>0.15</v>
      </c>
    </row>
    <row r="8" ht="48" customHeight="1" s="17">
      <c r="B8" s="24" t="inlineStr">
        <is>
          <t>M-1.2</t>
        </is>
      </c>
      <c r="C8" s="25" t="inlineStr">
        <is>
          <t>Risk Mitigation</t>
        </is>
      </c>
      <c r="D8" s="26" t="inlineStr">
        <is>
          <t>15%</t>
        </is>
      </c>
      <c r="E8" s="26" t="inlineStr">
        <is>
          <t>Outstanding/Good/
Acceptable/Marginal/
Unacceptable</t>
        </is>
      </c>
      <c r="F8" s="25" t="inlineStr">
        <is>
          <t>L.5.2.3</t>
        </is>
      </c>
      <c r="G8" s="25" t="inlineStr">
        <is>
          <t>Identify top program risks, assess likelihood and impact, and describe mitigation strategies. Include a sample risk register.</t>
        </is>
      </c>
      <c r="H8" s="26" t="inlineStr">
        <is>
          <t>5</t>
        </is>
      </c>
      <c r="I8" s="25" t="inlineStr">
        <is>
          <t>Show proactive risk ID from Day 1; reference lessons learned from similar work</t>
        </is>
      </c>
      <c r="J8" s="25" t="inlineStr">
        <is>
          <t>Risk register from current contract showing 100% on-time mitigation — proof of process</t>
        </is>
      </c>
      <c r="K8" s="26" t="n"/>
      <c r="L8" s="26" t="inlineStr">
        <is>
          <t>Not Started</t>
        </is>
      </c>
      <c r="M8" s="33" t="n">
        <v>0.15</v>
      </c>
    </row>
    <row r="9" ht="48" customHeight="1" s="17">
      <c r="B9" s="24" t="inlineStr">
        <is>
          <t>M-1.3</t>
        </is>
      </c>
      <c r="C9" s="25" t="inlineStr">
        <is>
          <t>Schedule Realism</t>
        </is>
      </c>
      <c r="D9" s="26" t="inlineStr">
        <is>
          <t>10%</t>
        </is>
      </c>
      <c r="E9" s="26" t="inlineStr">
        <is>
          <t>Outstanding/Good/
Acceptable/Marginal/
Unacceptable</t>
        </is>
      </c>
      <c r="F9" s="25" t="inlineStr">
        <is>
          <t>L.5.2.4</t>
        </is>
      </c>
      <c r="G9" s="25" t="inlineStr">
        <is>
          <t>Provide an Integrated Master Schedule showing all tasks, milestones, dependencies, and critical path. Explain schedule risk areas.</t>
        </is>
      </c>
      <c r="H9" s="26" t="inlineStr">
        <is>
          <t>5</t>
        </is>
      </c>
      <c r="I9" s="25" t="inlineStr">
        <is>
          <t>Use MS Project IMS; show predecessors and float; highlight early delivery opportunities</t>
        </is>
      </c>
      <c r="J9" s="25" t="inlineStr">
        <is>
          <t>Demonstrate 40% faster onboarding via proven transition methodology</t>
        </is>
      </c>
      <c r="K9" s="26" t="n"/>
      <c r="L9" s="26" t="inlineStr">
        <is>
          <t>Not Started</t>
        </is>
      </c>
      <c r="M9" s="33" t="n">
        <v>0.1</v>
      </c>
    </row>
    <row r="10" ht="48" customHeight="1" s="17">
      <c r="B10" s="21" t="inlineStr">
        <is>
          <t>M-2</t>
        </is>
      </c>
      <c r="C10" s="22" t="inlineStr">
        <is>
          <t>MANAGEMENT APPROACH</t>
        </is>
      </c>
      <c r="D10" s="23" t="inlineStr">
        <is>
          <t>30% (Total)</t>
        </is>
      </c>
      <c r="E10" s="23" t="n"/>
      <c r="F10" s="22" t="n"/>
      <c r="G10" s="22" t="inlineStr">
        <is>
          <t>(Parent factor — see sub-factors below)</t>
        </is>
      </c>
      <c r="H10" s="23" t="n"/>
      <c r="I10" s="22" t="n"/>
      <c r="J10" s="22" t="n"/>
      <c r="K10" s="23" t="n"/>
      <c r="L10" s="23" t="n"/>
      <c r="M10" s="32" t="n"/>
    </row>
    <row r="11" ht="48" customHeight="1" s="17">
      <c r="B11" s="24" t="inlineStr">
        <is>
          <t>M-2.1</t>
        </is>
      </c>
      <c r="C11" s="25" t="inlineStr">
        <is>
          <t>Key Personnel</t>
        </is>
      </c>
      <c r="D11" s="26" t="inlineStr">
        <is>
          <t>15%</t>
        </is>
      </c>
      <c r="E11" s="26" t="inlineStr">
        <is>
          <t>Outstanding/Good/
Acceptable/Marginal/
Unacceptable</t>
        </is>
      </c>
      <c r="F11" s="25" t="inlineStr">
        <is>
          <t>L.5.3.2</t>
        </is>
      </c>
      <c r="G11" s="25" t="inlineStr">
        <is>
          <t>Provide resumes for all key personnel. Describe qualifications, relevant experience, and availability. Include letters of commitment.</t>
        </is>
      </c>
      <c r="H11" s="26" t="inlineStr">
        <is>
          <t>2/person</t>
        </is>
      </c>
      <c r="I11" s="25" t="inlineStr">
        <is>
          <t>Exceed minimum quals by 2+ levels; emphasize agency-specific experience</t>
        </is>
      </c>
      <c r="J11" s="25" t="inlineStr">
        <is>
          <t>PM has 15 yrs at this exact agency + TS/SCI; competitor PM has only 5 yrs general DoD</t>
        </is>
      </c>
      <c r="K11" s="26" t="n"/>
      <c r="L11" s="26" t="inlineStr">
        <is>
          <t>Not Started</t>
        </is>
      </c>
      <c r="M11" s="33" t="n">
        <v>0.15</v>
      </c>
    </row>
    <row r="12" ht="48" customHeight="1" s="17">
      <c r="B12" s="24" t="inlineStr">
        <is>
          <t>M-2.2</t>
        </is>
      </c>
      <c r="C12" s="25" t="inlineStr">
        <is>
          <t>Corporate Experience</t>
        </is>
      </c>
      <c r="D12" s="26" t="inlineStr">
        <is>
          <t>15%</t>
        </is>
      </c>
      <c r="E12" s="26" t="inlineStr">
        <is>
          <t>Outstanding/Good/
Acceptable/Marginal/
Unacceptable</t>
        </is>
      </c>
      <c r="F12" s="25" t="inlineStr">
        <is>
          <t>L.5.3.1,
L.5.3.4</t>
        </is>
      </c>
      <c r="G12" s="25" t="inlineStr">
        <is>
          <t>Describe corporate organizational structure, management controls, and subcontractor oversight. Include org chart.</t>
        </is>
      </c>
      <c r="H12" s="26" t="inlineStr">
        <is>
          <t>5</t>
        </is>
      </c>
      <c r="I12" s="25" t="inlineStr">
        <is>
          <t>Show corporate depth beyond this contract; highlight quality certifications</t>
        </is>
      </c>
      <c r="J12" s="25" t="inlineStr">
        <is>
          <t>ISO 27001 + CMMI ML3 certified — only bidder with both</t>
        </is>
      </c>
      <c r="K12" s="26" t="n"/>
      <c r="L12" s="26" t="inlineStr">
        <is>
          <t>Not Started</t>
        </is>
      </c>
      <c r="M12" s="33" t="n">
        <v>0.15</v>
      </c>
    </row>
    <row r="13" ht="48" customHeight="1" s="17">
      <c r="B13" s="21" t="inlineStr">
        <is>
          <t>M-3</t>
        </is>
      </c>
      <c r="C13" s="22" t="inlineStr">
        <is>
          <t>PAST PERFORMANCE</t>
        </is>
      </c>
      <c r="D13" s="23" t="inlineStr">
        <is>
          <t>20% (Total)</t>
        </is>
      </c>
      <c r="E13" s="23" t="n"/>
      <c r="F13" s="22" t="n"/>
      <c r="G13" s="22" t="inlineStr">
        <is>
          <t>(Parent factor — see sub-factors below)</t>
        </is>
      </c>
      <c r="H13" s="23" t="n"/>
      <c r="I13" s="22" t="n"/>
      <c r="J13" s="22" t="n"/>
      <c r="K13" s="23" t="n"/>
      <c r="L13" s="23" t="n"/>
      <c r="M13" s="33" t="n">
        <v>0.2</v>
      </c>
    </row>
    <row r="14" ht="48" customHeight="1" s="17">
      <c r="B14" s="24" t="inlineStr">
        <is>
          <t>M-3.1</t>
        </is>
      </c>
      <c r="C14" s="25" t="inlineStr">
        <is>
          <t>Relevance</t>
        </is>
      </c>
      <c r="D14" s="26" t="inlineStr">
        <is>
          <t>Evaluated but
not numerically
weighted</t>
        </is>
      </c>
      <c r="E14" s="26" t="inlineStr">
        <is>
          <t>High/Moderate/
Low Confidence</t>
        </is>
      </c>
      <c r="F14" s="25" t="inlineStr">
        <is>
          <t>L.5.4.1,
L.5.4.2</t>
        </is>
      </c>
      <c r="G14" s="25" t="inlineStr">
        <is>
          <t>Provide 3-5 past performance references of similar size, scope, and complexity performed within the last 5 years. Include PPQ forms.</t>
        </is>
      </c>
      <c r="H14" s="26" t="inlineStr">
        <is>
          <t>2/ref</t>
        </is>
      </c>
      <c r="I14" s="25" t="inlineStr">
        <is>
          <t>Select contracts closest in scope, size ($), and agency; incumbent work first</t>
        </is>
      </c>
      <c r="J14" s="25" t="inlineStr">
        <is>
          <t>3 of 5 references are with the same agency — unmatched relevance</t>
        </is>
      </c>
      <c r="K14" s="26" t="n"/>
      <c r="L14" s="26" t="inlineStr">
        <is>
          <t>Not Started</t>
        </is>
      </c>
      <c r="M14" s="32" t="n"/>
    </row>
    <row r="15" ht="48" customHeight="1" s="17">
      <c r="B15" s="24" t="inlineStr">
        <is>
          <t>M-3.2</t>
        </is>
      </c>
      <c r="C15" s="25" t="inlineStr">
        <is>
          <t>Performance Rating</t>
        </is>
      </c>
      <c r="D15" s="26" t="inlineStr">
        <is>
          <t>Evaluated but
not numerically
weighted</t>
        </is>
      </c>
      <c r="E15" s="26" t="inlineStr">
        <is>
          <t>High/Moderate/
Low Confidence</t>
        </is>
      </c>
      <c r="F15" s="25" t="inlineStr">
        <is>
          <t>L.5.4.3</t>
        </is>
      </c>
      <c r="G15" s="25" t="inlineStr">
        <is>
          <t>CPARS ratings and narratives will be reviewed. Provide printouts or authorize Government access.</t>
        </is>
      </c>
      <c r="H15" s="26" t="inlineStr">
        <is>
          <t>N/A</t>
        </is>
      </c>
      <c r="I15" s="25" t="inlineStr">
        <is>
          <t>If ratings are mixed, provide context and corrective actions taken</t>
        </is>
      </c>
      <c r="J15" s="25" t="inlineStr">
        <is>
          <t>All 5 references have Exceptional/Very Good CPARS — consistent excellence</t>
        </is>
      </c>
      <c r="K15" s="26" t="n"/>
      <c r="L15" s="26" t="inlineStr">
        <is>
          <t>Not Started</t>
        </is>
      </c>
      <c r="M15" s="32" t="n"/>
    </row>
    <row r="16" ht="48" customHeight="1" s="17">
      <c r="B16" s="24" t="inlineStr">
        <is>
          <t>M-4</t>
        </is>
      </c>
      <c r="C16" s="25" t="inlineStr">
        <is>
          <t>PRICE/COST</t>
        </is>
      </c>
      <c r="D16" s="26" t="inlineStr">
        <is>
          <t>10%
(LPTA within
technical
acceptability)</t>
        </is>
      </c>
      <c r="E16" s="26" t="inlineStr">
        <is>
          <t>Price Realism
Analysis
(if cost-type)</t>
        </is>
      </c>
      <c r="F16" s="25" t="inlineStr">
        <is>
          <t>L.5.5.1,
L.5.5.2,
L.5.5.3</t>
        </is>
      </c>
      <c r="G16" s="25" t="inlineStr">
        <is>
          <t>Complete the Government-provided pricing template. Provide BOE narrative. Include rate documentation (FPRA/FPRR or provisional rates).</t>
        </is>
      </c>
      <c r="H16" s="26" t="inlineStr">
        <is>
          <t>10 + template</t>
        </is>
      </c>
      <c r="I16" s="25" t="inlineStr">
        <is>
          <t>Do NOT underprice to win — realism analysis will flag it. Document every assumption.</t>
        </is>
      </c>
      <c r="J16" s="25" t="inlineStr">
        <is>
          <t>DCAA-approved rates give confidence; subcontractor rates pre-negotiated</t>
        </is>
      </c>
      <c r="K16" s="26" t="n"/>
      <c r="L16" s="26" t="inlineStr">
        <is>
          <t>Not Started</t>
        </is>
      </c>
      <c r="M16" s="33" t="n">
        <v>0.1</v>
      </c>
    </row>
    <row r="18">
      <c r="L18" s="34" t="inlineStr">
        <is>
          <t>WEIGHT TOTAL</t>
        </is>
      </c>
      <c r="M18" s="35">
        <f>SUM(M7:M16)</f>
        <v/>
      </c>
    </row>
    <row r="19" ht="27.75" customHeight="1" s="17">
      <c r="B19" s="27" t="inlineStr">
        <is>
          <t>COMMON EVALUATION CRITERIA PATTERNS BY ACQUISITION TYPE</t>
        </is>
      </c>
      <c r="M19" s="36">
        <f>IF(ROUND(M18,4)=1,"Totals 100%","CHECK — does not total 100%")</f>
        <v/>
      </c>
    </row>
    <row r="20" ht="31.5" customHeight="1" s="17">
      <c r="B20" s="20" t="inlineStr">
        <is>
          <t>Acquisition Type</t>
        </is>
      </c>
      <c r="C20" s="20" t="inlineStr">
        <is>
          <t>Technical Approach</t>
        </is>
      </c>
      <c r="D20" s="20" t="inlineStr">
        <is>
          <t>Management Approach</t>
        </is>
      </c>
      <c r="E20" s="20" t="inlineStr">
        <is>
          <t>Past Performance</t>
        </is>
      </c>
      <c r="F20" s="20" t="inlineStr">
        <is>
          <t>Price/Cost</t>
        </is>
      </c>
      <c r="G20" s="20" t="inlineStr">
        <is>
          <t>Evaluation Method</t>
        </is>
      </c>
      <c r="H20" s="20" t="inlineStr">
        <is>
          <t>Typical Contract Type</t>
        </is>
      </c>
      <c r="I20" s="20" t="inlineStr">
        <is>
          <t>Notes</t>
        </is>
      </c>
      <c r="L20" s="37" t="inlineStr">
        <is>
          <t>Past Performance carries its weight at the parent row (M-3) because its sub-factors are confidence-rated, not numerically weighted. Enter weights where Section M assigns them, then confirm the total reads 100%.</t>
        </is>
      </c>
    </row>
    <row r="21" ht="36" customHeight="1" s="17">
      <c r="B21" s="28" t="inlineStr">
        <is>
          <t>Professional Services (IDIQ)</t>
        </is>
      </c>
      <c r="C21" s="26" t="inlineStr">
        <is>
          <t>30-40%</t>
        </is>
      </c>
      <c r="D21" s="26" t="inlineStr">
        <is>
          <t>20-30%</t>
        </is>
      </c>
      <c r="E21" s="26" t="inlineStr">
        <is>
          <t>20-25%</t>
        </is>
      </c>
      <c r="F21" s="26" t="inlineStr">
        <is>
          <t>10-20%</t>
        </is>
      </c>
      <c r="G21" s="26" t="inlineStr">
        <is>
          <t>Best Value Trade-off</t>
        </is>
      </c>
      <c r="H21" s="26" t="inlineStr">
        <is>
          <t>T&amp;M / CPFF / FFP</t>
        </is>
      </c>
      <c r="I21" s="25" t="inlineStr">
        <is>
          <t>Technical &amp; management often weighted equally; past performance is tiebreaker</t>
        </is>
      </c>
    </row>
    <row r="22" ht="36" customHeight="1" s="17">
      <c r="B22" s="28" t="inlineStr">
        <is>
          <t>IT Services / Help Desk</t>
        </is>
      </c>
      <c r="C22" s="26" t="inlineStr">
        <is>
          <t>25-35%</t>
        </is>
      </c>
      <c r="D22" s="26" t="inlineStr">
        <is>
          <t>25-30%</t>
        </is>
      </c>
      <c r="E22" s="26" t="inlineStr">
        <is>
          <t>15-20%</t>
        </is>
      </c>
      <c r="F22" s="26" t="inlineStr">
        <is>
          <t>20-30%</t>
        </is>
      </c>
      <c r="G22" s="26" t="inlineStr">
        <is>
          <t>Best Value / LPTA</t>
        </is>
      </c>
      <c r="H22" s="26" t="inlineStr">
        <is>
          <t>FFP / T&amp;M</t>
        </is>
      </c>
      <c r="I22" s="25" t="inlineStr">
        <is>
          <t>Price weight increases for commoditized services; LPTA common for help desk</t>
        </is>
      </c>
    </row>
    <row r="23" ht="36" customHeight="1" s="17">
      <c r="B23" s="28" t="inlineStr">
        <is>
          <t>Systems Development</t>
        </is>
      </c>
      <c r="C23" s="26" t="inlineStr">
        <is>
          <t>40-50%</t>
        </is>
      </c>
      <c r="D23" s="26" t="inlineStr">
        <is>
          <t>15-20%</t>
        </is>
      </c>
      <c r="E23" s="26" t="inlineStr">
        <is>
          <t>15-20%</t>
        </is>
      </c>
      <c r="F23" s="26" t="inlineStr">
        <is>
          <t>10-15%</t>
        </is>
      </c>
      <c r="G23" s="26" t="inlineStr">
        <is>
          <t>Best Value Trade-off</t>
        </is>
      </c>
      <c r="H23" s="26" t="inlineStr">
        <is>
          <t>CPFF / CPIF</t>
        </is>
      </c>
      <c r="I23" s="25" t="inlineStr">
        <is>
          <t>Heavy technical weight; innovation and risk scored closely; cost realism critical</t>
        </is>
      </c>
    </row>
    <row r="24" ht="36" customHeight="1" s="17">
      <c r="B24" s="28" t="inlineStr">
        <is>
          <t>R&amp;D / SBIR / STTR</t>
        </is>
      </c>
      <c r="C24" s="26" t="inlineStr">
        <is>
          <t>50-60%</t>
        </is>
      </c>
      <c r="D24" s="26" t="inlineStr">
        <is>
          <t>10-15%</t>
        </is>
      </c>
      <c r="E24" s="26" t="inlineStr">
        <is>
          <t>10-15%</t>
        </is>
      </c>
      <c r="F24" s="26" t="inlineStr">
        <is>
          <t>10-20%</t>
        </is>
      </c>
      <c r="G24" s="26" t="inlineStr">
        <is>
          <t>Best Value / BAA</t>
        </is>
      </c>
      <c r="H24" s="26" t="inlineStr">
        <is>
          <t>CPFF / Cost-share</t>
        </is>
      </c>
      <c r="I24" s="25" t="inlineStr">
        <is>
          <t>Technical merit dominates; commercialization potential may be separate factor</t>
        </is>
      </c>
    </row>
    <row r="25" ht="36" customHeight="1" s="17">
      <c r="B25" s="28" t="inlineStr">
        <is>
          <t>Construction / Facility</t>
        </is>
      </c>
      <c r="C25" s="26" t="inlineStr">
        <is>
          <t>30-35%</t>
        </is>
      </c>
      <c r="D25" s="26" t="inlineStr">
        <is>
          <t>20-25%</t>
        </is>
      </c>
      <c r="E25" s="26" t="inlineStr">
        <is>
          <t>25-30%</t>
        </is>
      </c>
      <c r="F25" s="26" t="inlineStr">
        <is>
          <t>15-20%</t>
        </is>
      </c>
      <c r="G25" s="26" t="inlineStr">
        <is>
          <t>Best Value Trade-off</t>
        </is>
      </c>
      <c r="H25" s="26" t="inlineStr">
        <is>
          <t>FFP</t>
        </is>
      </c>
      <c r="I25" s="25" t="inlineStr">
        <is>
          <t>Past performance &amp; safety record weighted heavily; bonding requirements apply</t>
        </is>
      </c>
    </row>
    <row r="26" ht="36" customHeight="1" s="17">
      <c r="B26" s="28" t="inlineStr">
        <is>
          <t>Logistics / Supply Chain</t>
        </is>
      </c>
      <c r="C26" s="26" t="inlineStr">
        <is>
          <t>25-30%</t>
        </is>
      </c>
      <c r="D26" s="26" t="inlineStr">
        <is>
          <t>20-25%</t>
        </is>
      </c>
      <c r="E26" s="26" t="inlineStr">
        <is>
          <t>20-25%</t>
        </is>
      </c>
      <c r="F26" s="26" t="inlineStr">
        <is>
          <t>20-30%</t>
        </is>
      </c>
      <c r="G26" s="26" t="inlineStr">
        <is>
          <t>Best Value / LPTA</t>
        </is>
      </c>
      <c r="H26" s="26" t="inlineStr">
        <is>
          <t>FFP / IDIQ</t>
        </is>
      </c>
      <c r="I26" s="25" t="inlineStr">
        <is>
          <t>Price is significant; delivery schedule and quality metrics matter</t>
        </is>
      </c>
    </row>
    <row r="27" ht="36" customHeight="1" s="17">
      <c r="B27" s="28" t="inlineStr">
        <is>
          <t>8(a) Sole Source</t>
        </is>
      </c>
      <c r="C27" s="26" t="inlineStr">
        <is>
          <t>N/A</t>
        </is>
      </c>
      <c r="D27" s="26" t="inlineStr">
        <is>
          <t>N/A</t>
        </is>
      </c>
      <c r="E27" s="26" t="inlineStr">
        <is>
          <t>Evaluated</t>
        </is>
      </c>
      <c r="F27" s="26" t="inlineStr">
        <is>
          <t>Evaluated</t>
        </is>
      </c>
      <c r="G27" s="26" t="inlineStr">
        <is>
          <t>Fair &amp; Reasonable</t>
        </is>
      </c>
      <c r="H27" s="26" t="inlineStr">
        <is>
          <t>Various</t>
        </is>
      </c>
      <c r="I27" s="25" t="inlineStr">
        <is>
          <t>No competition; focus on technical capability and price reasonableness</t>
        </is>
      </c>
    </row>
  </sheetData>
  <mergeCells count="3">
    <mergeCell ref="B2:L2"/>
    <mergeCell ref="B19:L19"/>
    <mergeCell ref="B3:L3"/>
  </mergeCells>
  <conditionalFormatting sqref="L6:L16">
    <cfRule type="cellIs" rank="0" priority="2" equalAverage="0" operator="equal" aboveAverage="0" dxfId="0" text="" percent="0" bottom="0">
      <formula>"Final"</formula>
    </cfRule>
    <cfRule type="cellIs" rank="0" priority="3" equalAverage="0" operator="equal" aboveAverage="0" dxfId="1" text="" percent="0" bottom="0">
      <formula>"Review"</formula>
    </cfRule>
    <cfRule type="cellIs" rank="0" priority="4" equalAverage="0" operator="equal" aboveAverage="0" dxfId="2" text="" percent="0" bottom="0">
      <formula>"Not Started"</formula>
    </cfRule>
  </conditionalFormatting>
  <conditionalFormatting sqref="M19">
    <cfRule type="expression" priority="4" dxfId="3">
      <formula>LEFT(M19,5)="CHECK"</formula>
    </cfRule>
  </conditionalFormatting>
  <dataValidations count="2">
    <dataValidation sqref="L6:L16" showDropDown="0" showInputMessage="0" showErrorMessage="0" allowBlank="1" type="list" errorStyle="stop" operator="between">
      <formula1>"Not Started,Outline,First Draft,Review,Final"</formula1>
      <formula2>0</formula2>
    </dataValidation>
    <dataValidation sqref="E6:E16" showDropDown="0" showInputMessage="0" showErrorMessage="0" allowBlank="1" type="list" errorStyle="stop" operator="between">
      <formula1>"Outstanding/Good/Acceptable/Marginal/Unacceptable,Excellent/Acceptable/Marginal/Unacceptable,Acceptable/Unacceptable (Pass/Fail),High/Moderate/Low Confidence,Blue/Purple/Green/Yellow/Red"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D1B2A"/>
    <outlinePr summaryBelow="1" summaryRight="1"/>
    <pageSetUpPr fitToPage="0"/>
  </sheetPr>
  <dimension ref="B2:B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6" min="1" max="1"/>
    <col width="90" customWidth="1" style="16" min="2" max="2"/>
  </cols>
  <sheetData>
    <row r="2" ht="19.7" customHeight="1" s="17">
      <c r="B2" s="18" t="inlineStr">
        <is>
          <t>SECTION L-M DECODER — HOW TO USE</t>
        </is>
      </c>
    </row>
    <row r="3" ht="15" customHeight="1" s="17">
      <c r="B3" s="19" t="inlineStr">
        <is>
          <t>Acqlerate — Defense Acquisitions Academy</t>
        </is>
      </c>
    </row>
    <row r="6" ht="21.75" customHeight="1" s="17">
      <c r="B6" s="29" t="inlineStr">
        <is>
          <t>PURPOSE</t>
        </is>
      </c>
    </row>
    <row r="7" ht="63.75" customHeight="1" s="17">
      <c r="B7" s="30" t="inlineStr">
        <is>
          <t>The Section L-M Decoder bridges the gap between what the Government ASKS for (Section L) and how they SCORE it (Section M). Most proposal losses come from a disconnect between the two. This tool forces your team to map every evaluation factor to its corresponding submission instruction — and to develop a winning strategy for each.</t>
        </is>
      </c>
    </row>
    <row r="9" ht="21.75" customHeight="1" s="17">
      <c r="B9" s="29" t="inlineStr">
        <is>
          <t>STEP-BY-STEP GUIDE</t>
        </is>
      </c>
    </row>
    <row r="10" ht="31.5" customHeight="1" s="17">
      <c r="B10" s="30" t="inlineStr">
        <is>
          <t>Step 1: Start with Section M. List every evaluation factor, sub-factor, and the stated weights or relative importance. Enter these in the M Factor columns.</t>
        </is>
      </c>
    </row>
    <row r="11" ht="48" customHeight="1" s="17">
      <c r="B11" s="30" t="inlineStr">
        <is>
          <t>Step 2: Identify the rating scale. Look for adjectival ratings (Outstanding/Good/Acceptable/Marginal/Unacceptable), color ratings (Blue/Purple/Green/Yellow/Red), or confidence ratings (High/Moderate/Low). This tells you how granular the scoring will be.</t>
        </is>
      </c>
    </row>
    <row r="12" ht="48" customHeight="1" s="17">
      <c r="B12" s="30" t="inlineStr">
        <is>
          <t>Step 3: Map each M factor to its Section L instruction. Find the paragraph in L that tells you what to submit for that factor. Enter the L section reference and summarize the instruction.</t>
        </is>
      </c>
    </row>
    <row r="13" ht="31.5" customHeight="1" s="17">
      <c r="B13" s="30" t="inlineStr">
        <is>
          <t>Step 4: Note page limits. These constrain your strategy — a 5-page limit on Technical Approach means every sentence must count.</t>
        </is>
      </c>
    </row>
    <row r="14" ht="31.5" customHeight="1" s="17">
      <c r="B14" s="30" t="inlineStr">
        <is>
          <t>Step 5: Develop Response Strategy Notes. This is where proposal strategy happens. For each factor, write down HOW you plan to score highest.</t>
        </is>
      </c>
    </row>
    <row r="15" ht="31.5" customHeight="1" s="17">
      <c r="B15" s="30" t="inlineStr">
        <is>
          <t>Step 6: Identify Discriminator Ideas. These are elements that differentiate you from competitors.</t>
        </is>
      </c>
    </row>
    <row r="17" ht="21.75" customHeight="1" s="17">
      <c r="B17" s="29" t="inlineStr">
        <is>
          <t>WHAT ARE DISCRIMINATING ELEMENTS?</t>
        </is>
      </c>
    </row>
    <row r="18" ht="48" customHeight="1" s="17">
      <c r="B18" s="30" t="inlineStr">
        <is>
          <t>A discriminator is any feature, capability, experience, or approach that separates your proposal from competitors in the eyes of the evaluator. Discriminators are not features — they are advantages that the evaluator will recognize as superior.</t>
        </is>
      </c>
    </row>
    <row r="20" ht="18" customHeight="1" s="17">
      <c r="B20" s="30" t="inlineStr">
        <is>
          <t>Types of Discriminators:</t>
        </is>
      </c>
    </row>
    <row r="21" ht="31.5" customHeight="1" s="17">
      <c r="B21" s="30" t="inlineStr">
        <is>
          <t>• Proof Points: Quantified results from past work ('Reduced processing time by 47% on DISA contract FA8756-20-C-0012')</t>
        </is>
      </c>
    </row>
    <row r="22" ht="31.5" customHeight="1" s="17">
      <c r="B22" s="30" t="inlineStr">
        <is>
          <t>• Unique Capabilities: Tools, certifications, or cleared personnel that competitors cannot match</t>
        </is>
      </c>
    </row>
    <row r="23" ht="31.5" customHeight="1" s="17">
      <c r="B23" s="30" t="inlineStr">
        <is>
          <t>• Risk Reduction: Approaches that demonstrably lower schedule, cost, or technical risk</t>
        </is>
      </c>
    </row>
    <row r="24" ht="31.5" customHeight="1" s="17">
      <c r="B24" s="30" t="inlineStr">
        <is>
          <t>• Innovation: Novel methods or technologies that improve mission outcomes beyond the SOW minimum</t>
        </is>
      </c>
    </row>
    <row r="25" ht="31.5" customHeight="1" s="17">
      <c r="B25" s="30" t="inlineStr">
        <is>
          <t>• Relationships: Existing agency knowledge, cleared facility proximity, incumbent advantage</t>
        </is>
      </c>
    </row>
    <row r="27" ht="31.5" customHeight="1" s="17">
      <c r="B27" s="30" t="inlineStr">
        <is>
          <t>Test each discriminator: Can a competitor say the same thing? If yes, it is not a discriminator.</t>
        </is>
      </c>
    </row>
    <row r="29" ht="21.75" customHeight="1" s="17">
      <c r="B29" s="29" t="inlineStr">
        <is>
          <t>READING WEIGHT SIGNALS</t>
        </is>
      </c>
    </row>
    <row r="30" ht="31.5" customHeight="1" s="17">
      <c r="B30" s="30" t="inlineStr">
        <is>
          <t>• Numerical weights (e.g., 40%) are explicit — allocate proposal pages and effort proportionally.</t>
        </is>
      </c>
    </row>
    <row r="31" ht="18" customHeight="1" s="17">
      <c r="B31" s="30" t="inlineStr">
        <is>
          <t>• 'Significantly more important than' = at least 2x the weight of the lesser factor.</t>
        </is>
      </c>
    </row>
    <row r="32" ht="18" customHeight="1" s="17">
      <c r="B32" s="30" t="inlineStr">
        <is>
          <t>• 'Approximately equal' = within 5% of each other.</t>
        </is>
      </c>
    </row>
    <row r="33" ht="31.5" customHeight="1" s="17">
      <c r="B33" s="30" t="inlineStr">
        <is>
          <t>• 'Descending order of importance' = first factor listed is heaviest; exact weights unknown.</t>
        </is>
      </c>
    </row>
    <row r="34" ht="31.5" customHeight="1" s="17">
      <c r="B34" s="30" t="inlineStr">
        <is>
          <t>• When price is LPTA (Lowest Price Technically Acceptable), technical score is pass/fail — invest effort in price competitiveness, not gold-plating technical.</t>
        </is>
      </c>
    </row>
    <row r="36" ht="21.75" customHeight="1" s="17">
      <c r="B36" s="29" t="inlineStr">
        <is>
          <t>COMMON MISTAKES</t>
        </is>
      </c>
    </row>
    <row r="37" ht="31.5" customHeight="1" s="17">
      <c r="B37" s="30" t="inlineStr">
        <is>
          <t>• Ignoring sub-factors: A 40% technical factor with three sub-factors means each sub-factor is scored independently. Address each.</t>
        </is>
      </c>
    </row>
    <row r="38" ht="31.5" customHeight="1" s="17">
      <c r="B38" s="30" t="inlineStr">
        <is>
          <t>• Treating all factors equally: If Technical is 40% and Management is 30%, your technical volume should get proportionally more attention and your best writers.</t>
        </is>
      </c>
    </row>
    <row r="39" ht="48" customHeight="1" s="17">
      <c r="B39" s="30" t="inlineStr">
        <is>
          <t>• Missing 'unstated' evaluation criteria: The Government often evaluates understanding of the problem. Show that you GET their mission, not just that you can perform the tasks.</t>
        </is>
      </c>
    </row>
    <row r="40" ht="48" customHeight="1" s="17">
      <c r="B40" s="30" t="inlineStr">
        <is>
          <t>• Not tracking L-M mismatches: Sometimes an L instruction exists with no corresponding M factor (administrative compliance) or an M factor lacks a clear L instruction (ask a question during the Q&amp;A period).</t>
        </is>
      </c>
    </row>
    <row r="42" ht="18" customHeight="1" s="17">
      <c r="B42" s="30" t="inlineStr">
        <is>
          <t>© Acqlerate — Defense Acquisitions Academy. For training use only.</t>
        </is>
      </c>
    </row>
    <row r="44">
      <c r="B44" s="38" t="inlineStr">
        <is>
          <t>License &amp; Use</t>
        </is>
      </c>
    </row>
    <row r="45">
      <c r="B45" s="39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2026-03-23T14:50:51Z</dcterms:created>
  <dcterms:modified xmlns:dcterms="http://purl.org/dc/terms/" xmlns:xsi="http://www.w3.org/2001/XMLSchema-instance" xsi:type="dcterms:W3CDTF">2026-09-14T16:03:27Z</dcterms:modified>
  <cp:revision>0</cp:revision>
</cp:coreProperties>
</file>