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3.xml.rels" ContentType="application/vnd.openxmlformats-package.relationships+xml"/>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_rels/workbook.xml.rels" ContentType="application/vnd.openxmlformats-package.relationships+xml"/>
  <Override PartName="/xl/media/image1.png" ContentType="image/p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Wrap Rate Calculator" sheetId="1" state="visible" r:id="rId3"/>
    <sheet name="Rate Comparison" sheetId="2" state="visible" r:id="rId4"/>
    <sheet name="Instructions" sheetId="3" state="visible" r:id="rId5"/>
  </sheets>
  <definedNames>
    <definedName function="false" hidden="false" localSheetId="2" name="_xlnm.Print_Area" vbProcedure="false">Instructions!$A$1:$D$65</definedName>
    <definedName function="false" hidden="false" localSheetId="1" name="_xlnm.Print_Area" vbProcedure="false">'Rate Comparison'!$A$1:$H$21</definedName>
    <definedName function="false" hidden="false" localSheetId="0" name="_xlnm.Print_Area" vbProcedure="false">'Wrap Rate Calculator'!$A$1:$F$30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<sst xmlns="http://schemas.openxmlformats.org/spreadsheetml/2006/main" count="160" uniqueCount="152">
  <si>
    <t xml:space="preserve">Wrap Rate Calculator</t>
  </si>
  <si>
    <t xml:space="preserve">Defense contractor rate build-up: from base pay to the hourly rate the government pays</t>
  </si>
  <si>
    <t xml:space="preserve">INPUT ASSUMPTIONS</t>
  </si>
  <si>
    <t xml:space="preserve">Input</t>
  </si>
  <si>
    <t xml:space="preserve">Value</t>
  </si>
  <si>
    <t xml:space="preserve">Description</t>
  </si>
  <si>
    <t xml:space="preserve">Base Hourly Rate</t>
  </si>
  <si>
    <t xml:space="preserve">Direct labor hourly rate: what the employee is paid per hour</t>
  </si>
  <si>
    <t xml:space="preserve">Fringe Benefit Rate %</t>
  </si>
  <si>
    <t xml:space="preserve">FICA, health insurance, 401k, PTO, workers comp</t>
  </si>
  <si>
    <t xml:space="preserve">Overhead Rate %</t>
  </si>
  <si>
    <t xml:space="preserve">Indirect costs: mgmt, facilities, IT, HR (applied to DL + Fringe)</t>
  </si>
  <si>
    <t xml:space="preserve">G&amp;A Rate %</t>
  </si>
  <si>
    <t xml:space="preserve">General &amp; Administrative: exec, legal, finance (applied to Total Cost Input)</t>
  </si>
  <si>
    <t xml:space="preserve">Fee / Profit %</t>
  </si>
  <si>
    <t xml:space="preserve">Contractor profit margin (negotiated; varies by contract type)</t>
  </si>
  <si>
    <t xml:space="preserve">RATE BUILD-UP (all formulas: change the inputs above to recalculate)</t>
  </si>
  <si>
    <t xml:space="preserve">Component</t>
  </si>
  <si>
    <t xml:space="preserve">Amount</t>
  </si>
  <si>
    <t xml:space="preserve">Formula</t>
  </si>
  <si>
    <t xml:space="preserve">Running Total</t>
  </si>
  <si>
    <t xml:space="preserve">Direct Labor (DL)</t>
  </si>
  <si>
    <t xml:space="preserve">+ Fringe Benefits</t>
  </si>
  <si>
    <t xml:space="preserve">→ Fringe-Burdened Rate</t>
  </si>
  <si>
    <t xml:space="preserve">+ Overhead</t>
  </si>
  <si>
    <t xml:space="preserve">→ Total Cost Input (TCI)</t>
  </si>
  <si>
    <t xml:space="preserve">+ G&amp;A</t>
  </si>
  <si>
    <t xml:space="preserve">→ Total Cost</t>
  </si>
  <si>
    <t xml:space="preserve">+ Fee / Profit</t>
  </si>
  <si>
    <t xml:space="preserve">FINAL RESULTS</t>
  </si>
  <si>
    <t xml:space="preserve">Fully Loaded Billing Rate</t>
  </si>
  <si>
    <t xml:space="preserve">Total Cost + Fee = what the government pays per hour</t>
  </si>
  <si>
    <t xml:space="preserve">Wrap Rate Multiplier</t>
  </si>
  <si>
    <t xml:space="preserve">Fully loaded rate ÷ base rate: how many times base pay the government pays</t>
  </si>
  <si>
    <t xml:space="preserve">★ Convention: Blue text = hardcoded inputs (change these)  |  Black text = formulas (auto-calculated)  |  Yellow background = input cells  |  Green = subtotals</t>
  </si>
  <si>
    <t xml:space="preserve">Acqlerate Finance Cheat Sheets  ·  acqlerate.com  ·  September 2026 Edition  ·  Free to share unaltered. Educational reference, not official DoD guidance.</t>
  </si>
  <si>
    <t xml:space="preserve">Wrap Rate Comparison by Contractor Type</t>
  </si>
  <si>
    <t xml:space="preserve">Typical ranges by type of business unit, built in the calculator's order so any row can be typed into the Wrap Rate Calculator tab</t>
  </si>
  <si>
    <t xml:space="preserve">Contractor Type</t>
  </si>
  <si>
    <t xml:space="preserve">Typical Fringe</t>
  </si>
  <si>
    <t xml:space="preserve">Typical OH</t>
  </si>
  <si>
    <t xml:space="preserve">Typical G&amp;A</t>
  </si>
  <si>
    <t xml:space="preserve">Typical Fee</t>
  </si>
  <si>
    <t xml:space="preserve">Typical
Wrap Rate</t>
  </si>
  <si>
    <t xml:space="preserve">Notes</t>
  </si>
  <si>
    <t xml:space="preserve">Large Prime: services business unit
(mission support, often on government sites)</t>
  </si>
  <si>
    <t xml:space="preserve">28–34%</t>
  </si>
  <si>
    <t xml:space="preserve">10–30%</t>
  </si>
  <si>
    <t xml:space="preserve">8–12%</t>
  </si>
  <si>
    <t xml:space="preserve">6–9%</t>
  </si>
  <si>
    <t xml:space="preserve">1.6x – 2.1x</t>
  </si>
  <si>
    <t xml:space="preserve">Staff often sit on government sites, so overhead is light. The same parent company can run a systems division at nearly double this multiplier.</t>
  </si>
  <si>
    <t xml:space="preserve">Large Prime: engineering or systems unit
(development, integration, C2, sensors)</t>
  </si>
  <si>
    <t xml:space="preserve">30–38%</t>
  </si>
  <si>
    <t xml:space="preserve">50–80%</t>
  </si>
  <si>
    <t xml:space="preserve">10–14%</t>
  </si>
  <si>
    <t xml:space="preserve">8–10%</t>
  </si>
  <si>
    <t xml:space="preserve">2.3x – 3.1x</t>
  </si>
  <si>
    <t xml:space="preserve">Engineering overhead carries labs, facilities, tools and IRAD at contractor sites. Each business unit negotiates its own forward pricing rates.</t>
  </si>
  <si>
    <t xml:space="preserve">Services Integrator
(large professional services firms)</t>
  </si>
  <si>
    <t xml:space="preserve">28–35%</t>
  </si>
  <si>
    <t xml:space="preserve">20–40%</t>
  </si>
  <si>
    <t xml:space="preserve">1.8x – 2.3x</t>
  </si>
  <si>
    <t xml:space="preserve">Scale spreads indirect costs thinly. Most quote separate on-site and off-site rates; on-site is lower.</t>
  </si>
  <si>
    <t xml:space="preserve">Mid-Tier Contractor
($100M to $1B, often grown out of set-asides)</t>
  </si>
  <si>
    <t xml:space="preserve">26–34%</t>
  </si>
  <si>
    <t xml:space="preserve">25–45%</t>
  </si>
  <si>
    <t xml:space="preserve">10–15%</t>
  </si>
  <si>
    <t xml:space="preserve">7–10%</t>
  </si>
  <si>
    <t xml:space="preserve">1.9x – 2.5x</t>
  </si>
  <si>
    <t xml:space="preserve">Less scale than an integrator, so G&amp;A runs higher. The squeeze point when a firm outgrows small-business status.</t>
  </si>
  <si>
    <t xml:space="preserve">Small Business
(8(a), SDVOSB, HUBZone, WOSB)</t>
  </si>
  <si>
    <t xml:space="preserve">20–30%</t>
  </si>
  <si>
    <t xml:space="preserve">15–40%</t>
  </si>
  <si>
    <t xml:space="preserve">8–18%</t>
  </si>
  <si>
    <t xml:space="preserve">7–12%</t>
  </si>
  <si>
    <t xml:space="preserve">1.6x – 2.4x</t>
  </si>
  <si>
    <t xml:space="preserve">Lean overhead, but a small base can push G&amp;A up. Many use one combined indirect rate. May lack DCAA-reviewed rates at first.</t>
  </si>
  <si>
    <t xml:space="preserve">Cleared Specialty
(cyber, SIGINT, cleared engineers)</t>
  </si>
  <si>
    <t xml:space="preserve">30–55%</t>
  </si>
  <si>
    <t xml:space="preserve">2.0x – 2.7x</t>
  </si>
  <si>
    <t xml:space="preserve">The talent premium shows up mostly in the base salary, not the multiplier. Clearance processing, SCIF space and retention sit in overhead.</t>
  </si>
  <si>
    <t xml:space="preserve">OCONUS / Deployed
(overseas support)</t>
  </si>
  <si>
    <t xml:space="preserve">35–45%</t>
  </si>
  <si>
    <t xml:space="preserve">55–80%</t>
  </si>
  <si>
    <t xml:space="preserve">12–18%</t>
  </si>
  <si>
    <t xml:space="preserve">2.5x – 3.4x</t>
  </si>
  <si>
    <t xml:space="preserve">Hazard, danger and post pay, housing, security and R&amp;R travel. Much of it is priced as separate direct costs, so compare total cost per person.</t>
  </si>
  <si>
    <t xml:space="preserve">FFRDC / UARC
(nonprofit research centers)</t>
  </si>
  <si>
    <t xml:space="preserve">30–40%</t>
  </si>
  <si>
    <t xml:space="preserve">50–75%</t>
  </si>
  <si>
    <t xml:space="preserve">10–16%</t>
  </si>
  <si>
    <t xml:space="preserve">0–3% (need-based)</t>
  </si>
  <si>
    <t xml:space="preserve">2.1x – 2.9x</t>
  </si>
  <si>
    <t xml:space="preserve">Nonprofit, so fee is small and based on need (DFARS 215.404-75). High overhead covers labs and research infrastructure.</t>
  </si>
  <si>
    <t xml:space="preserve">HOW TO READ THIS TABLE</t>
  </si>
  <si>
    <t xml:space="preserve">Rates build up in the calculator's order: fringe on direct labor, overhead on labor plus fringe, G&amp;A on total cost input, fee on total cost. The wrap rate column multiplies the four ranges together at their low and high ends (rounded), and includes fee. Many companies quote a wrap without fee, fold fringe into overhead, or use one combined indirect rate, so compare structures before comparing numbers.</t>
  </si>
  <si>
    <t xml:space="preserve">ONE COMPANY, MANY WRAP RATES</t>
  </si>
  <si>
    <t xml:space="preserve">A large prime is not one rate. Each business unit and site has its own overhead pools and its own forward pricing rate agreement, and corporate G&amp;A is allocated to each (CAS 403, CAS 410). At one large prime, a services business unit ran about 1.7x while a C2 systems division under the same parent ran about 2.9x. Always ask which business unit and which site a rate comes from.</t>
  </si>
  <si>
    <t xml:space="preserve">ON-SITE VS OFF-SITE</t>
  </si>
  <si>
    <t xml:space="preserve">Work on a government site usually carries a lower overhead rate, because the government supplies the desk, the building and the utilities. Expect a services contractor to price both. Factory-floor production labor usually wraps higher still, because manufacturing overhead carries the plant and equipment.</t>
  </si>
  <si>
    <t xml:space="preserve">VERIFY</t>
  </si>
  <si>
    <t xml:space="preserve">These are typical ranges, not any company's rates. DCAA advises against comparing indirect rates between organizations at the rate level. For a real proposal, check the contractor's current FPRA or FPRR.</t>
  </si>
  <si>
    <t xml:space="preserve">Understanding Wrap Rates in Defense Contracting</t>
  </si>
  <si>
    <t xml:space="preserve">What the multiplier means, how the government checks it, and how to read it in a source selection</t>
  </si>
  <si>
    <t xml:space="preserve">WHAT WRAP RATES ARE &amp; WHY THEY MATTER</t>
  </si>
  <si>
    <t xml:space="preserve">A wrap rate (or burden rate/multiplier) is the total cost the government pays per hour of labor divided by the employee's base hourly wage. It captures all indirect costs, overhead, and profit layered on top of direct labor.</t>
  </si>
  <si>
    <t xml:space="preserve">Why it matters to acquisition professionals:</t>
  </si>
  <si>
    <t xml:space="preserve">  ▸ It determines the true cost of every labor hour on your contract</t>
  </si>
  <si>
    <t xml:space="preserve">  ▸ A $65/hr engineer may cost the government anywhere from about $105 to $200/hr fully loaded, depending on the business unit and work site</t>
  </si>
  <si>
    <t xml:space="preserve">  ▸ Understanding wrap rates is essential for cost realism analysis in source selection</t>
  </si>
  <si>
    <t xml:space="preserve">  ▸ Wrap rate differences between competitors explain most of the price spread in professional services</t>
  </si>
  <si>
    <t xml:space="preserve">  ▸ Unrealistically low wrap rates signal an unrealistic proposal (buying in)</t>
  </si>
  <si>
    <t xml:space="preserve">HOW THE GOVERNMENT CHECKS RATES</t>
  </si>
  <si>
    <t xml:space="preserve">DCAA audits contractor rates and DCMA's administrative contracting officer (ACO) negotiates them. The main mechanisms:</t>
  </si>
  <si>
    <t xml:space="preserve">  ▸ FPRA (Forward Pricing Rate Agreement): a written agreement between the contractor and the ACO on the indirect rates to use in pricing proposals for a future period. The gold standard.</t>
  </si>
  <si>
    <t xml:space="preserve">  ▸ FPRR (Forward Pricing Rate Recommendation): when there is no FPRA, the ACO recommends rates for negotiators to use, informed by DCAA's audit. Less binding than an FPRA.</t>
  </si>
  <si>
    <t xml:space="preserve">  ▸ Incurred cost audits: DCAA compares each year's actual indirect rates with the provisional billing rates. The result sets final rates and any adjustments.</t>
  </si>
  <si>
    <t xml:space="preserve">  ▸ CAS compliance: the Cost Accounting Standards (CAS 401 to 420) require consistency in how costs are estimated, accumulated and reported.</t>
  </si>
  <si>
    <t xml:space="preserve">Key point: if a contractor has no audited rate structure, ask for its rate build-up with supporting documentation. Provisional rates may apply.</t>
  </si>
  <si>
    <t xml:space="preserve">WHAT 'UNCOMPETITIVE WRAP RATES' MEANS IN SOURCE SELECTION</t>
  </si>
  <si>
    <t xml:space="preserve">During source selection, evaluators performing cost realism analysis should examine wrap rates to ensure:</t>
  </si>
  <si>
    <t xml:space="preserve">  ▸ Rates are consistent with the contractor's FPRA/FPRR (if available)</t>
  </si>
  <si>
    <t xml:space="preserve">  ▸ Rates are within norms for the same kind of business unit and the same work site (on-site or off-site), not just the same company size</t>
  </si>
  <si>
    <t xml:space="preserve">  ▸ Rates adequately cover the contractor's real cost of doing business</t>
  </si>
  <si>
    <t xml:space="preserve">  ▸ Unusually LOW rates may indicate buy-in pricing (contractor plans to raise rates later)</t>
  </si>
  <si>
    <t xml:space="preserve">  ▸ Unusually HIGH rates may indicate over-staffing or inefficiency</t>
  </si>
  <si>
    <t xml:space="preserve">Red flags in wrap rate analysis:</t>
  </si>
  <si>
    <t xml:space="preserve">  ▸ A wrap rate below about 1.5x on off-site work, fee included (hard to sustain)</t>
  </si>
  <si>
    <t xml:space="preserve">  ▸ Overhead rate falling year over year with no explanation</t>
  </si>
  <si>
    <t xml:space="preserve">  ▸ Fringe far below the company's own history (benefit cuts can mean turnover)</t>
  </si>
  <si>
    <t xml:space="preserve">  ▸ G&amp;A above 20% (worth a question about the cost structure)</t>
  </si>
  <si>
    <t xml:space="preserve">HOW TO CHECK IF A COMPETITOR'S PRICING IS OVER-LEVELED</t>
  </si>
  <si>
    <t xml:space="preserve">Over-leveling is proposing senior labor for work junior staff could do. It is a common pricing tactic:</t>
  </si>
  <si>
    <t xml:space="preserve">  ▸ Compare proposed labor categories against the PWS/SOW task complexity</t>
  </si>
  <si>
    <t xml:space="preserve">  ▸ Check if the proposed labor mix matches industry norms for similar work</t>
  </si>
  <si>
    <t xml:space="preserve">  ▸ Verify years of experience claims are realistic for proposed categories</t>
  </si>
  <si>
    <t xml:space="preserve">  ▸ Compare against GSA Schedule rates for equivalent labor categories</t>
  </si>
  <si>
    <t xml:space="preserve">  ▸ Calculate effective hourly rates and compare against BLS data for the region</t>
  </si>
  <si>
    <t xml:space="preserve">Tip: Request detailed labor category descriptions with minimum qualifications. Map each category to specific PWS tasks. If Level IV engineers are proposed for Level II work, that's over-leveling.</t>
  </si>
  <si>
    <t xml:space="preserve">KEY REGULATORY REFERENCES</t>
  </si>
  <si>
    <t xml:space="preserve">  ▸ FAR 31.201: composition of total cost</t>
  </si>
  <si>
    <t xml:space="preserve">  ▸ FAR 31.203: indirect costs and how to allocate them</t>
  </si>
  <si>
    <t xml:space="preserve">  ▸ FAR 31.205: selected costs, allowable and unallowable</t>
  </si>
  <si>
    <t xml:space="preserve">  ▸ FAR 15.404-1(d): cost realism analysis</t>
  </si>
  <si>
    <t xml:space="preserve">  ▸ CAS 401: consistency in estimating, accumulating and reporting costs</t>
  </si>
  <si>
    <t xml:space="preserve">  ▸ CAS 402: consistency in allocating costs incurred for the same purpose</t>
  </si>
  <si>
    <t xml:space="preserve">  ▸ CAS 403: allocating home office (corporate) expenses to business units</t>
  </si>
  <si>
    <t xml:space="preserve">  ▸ CAS 410: allocating business unit G&amp;A</t>
  </si>
  <si>
    <t xml:space="preserve">  ▸ CAS 418: allocating direct and indirect costs</t>
  </si>
  <si>
    <t xml:space="preserve">  ▸ DFARS 215.404-71: weighted guidelines for profit and fee</t>
  </si>
  <si>
    <t xml:space="preserve">  ▸ DCAA Contract Audit Manual: chapter 6 (incurred costs), chapter 9 (cost estimates and price proposals)</t>
  </si>
</sst>
</file>

<file path=xl/styles.xml><?xml version="1.0" encoding="utf-8"?>
<styleSheet xmlns="http://schemas.openxmlformats.org/spreadsheetml/2006/main">
  <numFmts count="4">
    <numFmt numFmtId="164" formatCode="General"/>
    <numFmt numFmtId="165" formatCode="\$#,##0.00"/>
    <numFmt numFmtId="166" formatCode="0.0%"/>
    <numFmt numFmtId="167" formatCode="0.00\x"/>
  </numFmts>
  <fonts count="22">
    <font>
      <sz val="11"/>
      <color theme="1"/>
      <name val="Calibri"/>
      <family val="2"/>
      <charset val="1"/>
    </font>
    <font>
      <sz val="10"/>
      <name val="Arial"/>
      <family val="0"/>
    </font>
    <font>
      <sz val="10"/>
      <name val="Arial"/>
      <family val="0"/>
    </font>
    <font>
      <sz val="10"/>
      <name val="Arial"/>
      <family val="0"/>
    </font>
    <font>
      <b val="true"/>
      <sz val="16"/>
      <color rgb="FF0F172A"/>
      <name val="Calibri"/>
      <family val="0"/>
      <charset val="1"/>
    </font>
    <font>
      <sz val="10"/>
      <color rgb="FF475569"/>
      <name val="Calibri"/>
      <family val="0"/>
      <charset val="1"/>
    </font>
    <font>
      <b val="true"/>
      <sz val="11"/>
      <color rgb="FFFFFFFF"/>
      <name val="Calibri"/>
      <family val="0"/>
      <charset val="1"/>
    </font>
    <font>
      <b val="true"/>
      <sz val="9"/>
      <color rgb="FF01696F"/>
      <name val="Calibri"/>
      <family val="0"/>
      <charset val="1"/>
    </font>
    <font>
      <sz val="10"/>
      <color rgb="FF333333"/>
      <name val="Calibri"/>
      <family val="0"/>
      <charset val="1"/>
    </font>
    <font>
      <b val="true"/>
      <sz val="11"/>
      <color rgb="FF0000FF"/>
      <name val="Calibri"/>
      <family val="0"/>
      <charset val="1"/>
    </font>
    <font>
      <i val="true"/>
      <sz val="8"/>
      <color rgb="FF666666"/>
      <name val="Calibri"/>
      <family val="0"/>
      <charset val="1"/>
    </font>
    <font>
      <sz val="11"/>
      <color rgb="FF333333"/>
      <name val="Calibri"/>
      <family val="0"/>
      <charset val="1"/>
    </font>
    <font>
      <b val="true"/>
      <sz val="10"/>
      <color rgb="FF333333"/>
      <name val="Calibri"/>
      <family val="0"/>
      <charset val="1"/>
    </font>
    <font>
      <b val="true"/>
      <sz val="11"/>
      <color rgb="FF333333"/>
      <name val="Calibri"/>
      <family val="0"/>
      <charset val="1"/>
    </font>
    <font>
      <b val="true"/>
      <sz val="10"/>
      <color rgb="FF01696F"/>
      <name val="Calibri"/>
      <family val="0"/>
      <charset val="1"/>
    </font>
    <font>
      <b val="true"/>
      <sz val="13"/>
      <color rgb="FF01696F"/>
      <name val="Calibri"/>
      <family val="0"/>
      <charset val="1"/>
    </font>
    <font>
      <i val="true"/>
      <sz val="7"/>
      <color rgb="FF666666"/>
      <name val="Calibri"/>
      <family val="0"/>
      <charset val="1"/>
    </font>
    <font>
      <b val="true"/>
      <sz val="9"/>
      <color rgb="FFFFFFFF"/>
      <name val="Calibri"/>
      <family val="0"/>
      <charset val="1"/>
    </font>
    <font>
      <sz val="9"/>
      <color rgb="FF333333"/>
      <name val="Calibri"/>
      <family val="0"/>
      <charset val="1"/>
    </font>
    <font>
      <sz val="8"/>
      <color rgb="FF666666"/>
      <name val="Calibri"/>
      <family val="0"/>
      <charset val="1"/>
    </font>
    <font>
      <b val="true"/>
      <sz val="8"/>
      <color rgb="FF01696F"/>
      <name val="Calibri"/>
      <family val="0"/>
      <charset val="1"/>
    </font>
    <font>
      <sz val="8"/>
      <color rgb="FF333333"/>
      <name val="Calibri"/>
      <family val="0"/>
      <charset val="1"/>
    </font>
  </fonts>
  <fills count="8">
    <fill>
      <patternFill patternType="none"/>
    </fill>
    <fill>
      <patternFill patternType="gray125"/>
    </fill>
    <fill>
      <patternFill patternType="solid">
        <fgColor rgb="FF01696F"/>
        <bgColor rgb="FF008080"/>
      </patternFill>
    </fill>
    <fill>
      <patternFill patternType="solid">
        <fgColor rgb="FFFFFFF0"/>
        <bgColor rgb="FFFFFFFF"/>
      </patternFill>
    </fill>
    <fill>
      <patternFill patternType="solid">
        <fgColor rgb="FF0D1B2A"/>
        <bgColor rgb="FF0F172A"/>
      </patternFill>
    </fill>
    <fill>
      <patternFill patternType="solid">
        <fgColor rgb="FFFFFFFF"/>
        <bgColor rgb="FFFFFFF0"/>
      </patternFill>
    </fill>
    <fill>
      <patternFill patternType="solid">
        <fgColor rgb="FFE8F5E9"/>
        <bgColor rgb="FFE0F2F3"/>
      </patternFill>
    </fill>
    <fill>
      <patternFill patternType="solid">
        <fgColor rgb="FFE0F2F3"/>
        <bgColor rgb="FFE8F5E9"/>
      </patternFill>
    </fill>
  </fills>
  <borders count="6">
    <border diagonalUp="false" diagonalDown="false">
      <left/>
      <right/>
      <top/>
      <bottom/>
      <diagonal/>
    </border>
    <border diagonalUp="false" diagonalDown="false">
      <left/>
      <right/>
      <top/>
      <bottom style="thin">
        <color rgb="FFC0C0C0"/>
      </bottom>
      <diagonal/>
    </border>
    <border diagonalUp="false" diagonalDown="false">
      <left style="thin">
        <color rgb="FF0000FF"/>
      </left>
      <right style="thin">
        <color rgb="FF0000FF"/>
      </right>
      <top style="thin">
        <color rgb="FF0000FF"/>
      </top>
      <bottom style="thin">
        <color rgb="FF0000FF"/>
      </bottom>
      <diagonal/>
    </border>
    <border diagonalUp="false" diagonalDown="false">
      <left/>
      <right/>
      <top style="thin">
        <color rgb="FFC0C0C0"/>
      </top>
      <bottom style="thin">
        <color rgb="FFC0C0C0"/>
      </bottom>
      <diagonal/>
    </border>
    <border diagonalUp="false" diagonalDown="false">
      <left style="medium">
        <color rgb="FF01696F"/>
      </left>
      <right style="medium">
        <color rgb="FF01696F"/>
      </right>
      <top style="medium">
        <color rgb="FF01696F"/>
      </top>
      <bottom style="medium">
        <color rgb="FF01696F"/>
      </bottom>
      <diagonal/>
    </border>
    <border diagonalUp="false" diagonalDown="false">
      <left style="thin">
        <color rgb="FFC0C0C0"/>
      </left>
      <right style="thin">
        <color rgb="FFC0C0C0"/>
      </right>
      <top style="thin">
        <color rgb="FFC0C0C0"/>
      </top>
      <bottom style="thin">
        <color rgb="FFC0C0C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left" vertical="center" textRotation="0" wrapText="false" indent="0" shrinkToFit="false"/>
      <protection locked="true" hidden="false"/>
    </xf>
    <xf numFmtId="164" fontId="5" fillId="0" borderId="0" xfId="0" applyFont="true" applyBorder="true" applyAlignment="true" applyProtection="false">
      <alignment horizontal="left" vertical="center"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6" fillId="2" borderId="0"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8" fillId="0" borderId="0" xfId="0" applyFont="true" applyBorder="false" applyAlignment="true" applyProtection="false">
      <alignment horizontal="left" vertical="center" textRotation="0" wrapText="true" indent="1" shrinkToFit="false"/>
      <protection locked="true" hidden="false"/>
    </xf>
    <xf numFmtId="165" fontId="9" fillId="3" borderId="2" xfId="0" applyFont="true" applyBorder="true" applyAlignment="true" applyProtection="false">
      <alignment horizontal="center" vertical="center" textRotation="0" wrapText="true" indent="0" shrinkToFit="false"/>
      <protection locked="true" hidden="false"/>
    </xf>
    <xf numFmtId="164" fontId="10" fillId="0" borderId="0" xfId="0" applyFont="true" applyBorder="false" applyAlignment="true" applyProtection="false">
      <alignment horizontal="left" vertical="center" textRotation="0" wrapText="true" indent="0" shrinkToFit="false"/>
      <protection locked="true" hidden="false"/>
    </xf>
    <xf numFmtId="166" fontId="9" fillId="3" borderId="2" xfId="0" applyFont="true" applyBorder="true" applyAlignment="true" applyProtection="false">
      <alignment horizontal="center" vertical="center" textRotation="0" wrapText="true" indent="0" shrinkToFit="false"/>
      <protection locked="true" hidden="false"/>
    </xf>
    <xf numFmtId="164" fontId="6" fillId="4" borderId="0" xfId="0" applyFont="true" applyBorder="true" applyAlignment="true" applyProtection="false">
      <alignment horizontal="center" vertical="center" textRotation="0" wrapText="true" indent="0" shrinkToFit="false"/>
      <protection locked="true" hidden="false"/>
    </xf>
    <xf numFmtId="165" fontId="11" fillId="5" borderId="0" xfId="0" applyFont="true" applyBorder="false" applyAlignment="true" applyProtection="false">
      <alignment horizontal="center" vertical="center" textRotation="0" wrapText="true" indent="0" shrinkToFit="false"/>
      <protection locked="true" hidden="false"/>
    </xf>
    <xf numFmtId="164" fontId="12" fillId="0" borderId="3" xfId="0" applyFont="true" applyBorder="true" applyAlignment="true" applyProtection="false">
      <alignment horizontal="left" vertical="center" textRotation="0" wrapText="true" indent="1" shrinkToFit="false"/>
      <protection locked="true" hidden="false"/>
    </xf>
    <xf numFmtId="165" fontId="13" fillId="6" borderId="3" xfId="0" applyFont="true" applyBorder="true" applyAlignment="true" applyProtection="false">
      <alignment horizontal="center" vertical="center" textRotation="0" wrapText="true" indent="0" shrinkToFit="false"/>
      <protection locked="true" hidden="false"/>
    </xf>
    <xf numFmtId="164" fontId="10" fillId="0" borderId="3" xfId="0" applyFont="true" applyBorder="true" applyAlignment="true" applyProtection="false">
      <alignment horizontal="left" vertical="center" textRotation="0" wrapText="true" indent="0" shrinkToFit="false"/>
      <protection locked="true" hidden="false"/>
    </xf>
    <xf numFmtId="164" fontId="14" fillId="0" borderId="0" xfId="0" applyFont="true" applyBorder="false" applyAlignment="true" applyProtection="false">
      <alignment horizontal="left" vertical="center" textRotation="0" wrapText="true" indent="1" shrinkToFit="false"/>
      <protection locked="true" hidden="false"/>
    </xf>
    <xf numFmtId="165" fontId="15" fillId="7" borderId="4" xfId="0" applyFont="true" applyBorder="true" applyAlignment="true" applyProtection="false">
      <alignment horizontal="center" vertical="center" textRotation="0" wrapText="true" indent="0" shrinkToFit="false"/>
      <protection locked="true" hidden="false"/>
    </xf>
    <xf numFmtId="164" fontId="10" fillId="0" borderId="0" xfId="0" applyFont="true" applyBorder="true" applyAlignment="true" applyProtection="false">
      <alignment horizontal="left" vertical="center" textRotation="0" wrapText="true" indent="0" shrinkToFit="false"/>
      <protection locked="true" hidden="false"/>
    </xf>
    <xf numFmtId="167" fontId="15" fillId="7" borderId="4" xfId="0" applyFont="true" applyBorder="true" applyAlignment="true" applyProtection="false">
      <alignment horizontal="center" vertical="center" textRotation="0" wrapText="true" indent="0" shrinkToFit="false"/>
      <protection locked="true" hidden="false"/>
    </xf>
    <xf numFmtId="164" fontId="16" fillId="0" borderId="0" xfId="0" applyFont="true" applyBorder="true" applyAlignment="true" applyProtection="false">
      <alignment horizontal="center" vertical="center" textRotation="0" wrapText="true" indent="0" shrinkToFit="false"/>
      <protection locked="true" hidden="false"/>
    </xf>
    <xf numFmtId="164" fontId="17" fillId="2" borderId="5" xfId="0" applyFont="true" applyBorder="true" applyAlignment="true" applyProtection="false">
      <alignment horizontal="center" vertical="center" textRotation="0" wrapText="true" indent="0" shrinkToFit="false"/>
      <protection locked="true" hidden="false"/>
    </xf>
    <xf numFmtId="164" fontId="12" fillId="7" borderId="5" xfId="0" applyFont="true" applyBorder="true" applyAlignment="true" applyProtection="false">
      <alignment horizontal="left" vertical="center" textRotation="0" wrapText="true" indent="1" shrinkToFit="false"/>
      <protection locked="true" hidden="false"/>
    </xf>
    <xf numFmtId="164" fontId="18" fillId="7" borderId="5" xfId="0" applyFont="true" applyBorder="true" applyAlignment="true" applyProtection="false">
      <alignment horizontal="center" vertical="center" textRotation="0" wrapText="true" indent="0" shrinkToFit="false"/>
      <protection locked="true" hidden="false"/>
    </xf>
    <xf numFmtId="164" fontId="19" fillId="7" borderId="5" xfId="0" applyFont="true" applyBorder="true" applyAlignment="true" applyProtection="false">
      <alignment horizontal="left" vertical="top" textRotation="0" wrapText="true" indent="0" shrinkToFit="false"/>
      <protection locked="true" hidden="false"/>
    </xf>
    <xf numFmtId="164" fontId="12" fillId="5" borderId="5" xfId="0" applyFont="true" applyBorder="true" applyAlignment="true" applyProtection="false">
      <alignment horizontal="left" vertical="center" textRotation="0" wrapText="true" indent="1" shrinkToFit="false"/>
      <protection locked="true" hidden="false"/>
    </xf>
    <xf numFmtId="164" fontId="18" fillId="5" borderId="5" xfId="0" applyFont="true" applyBorder="true" applyAlignment="true" applyProtection="false">
      <alignment horizontal="center" vertical="center" textRotation="0" wrapText="true" indent="0" shrinkToFit="false"/>
      <protection locked="true" hidden="false"/>
    </xf>
    <xf numFmtId="164" fontId="19" fillId="5" borderId="5" xfId="0" applyFont="true" applyBorder="true" applyAlignment="true" applyProtection="false">
      <alignment horizontal="left" vertical="top" textRotation="0" wrapText="true" indent="0" shrinkToFit="false"/>
      <protection locked="true" hidden="false"/>
    </xf>
    <xf numFmtId="164" fontId="20" fillId="0" borderId="0" xfId="0" applyFont="true" applyBorder="false" applyAlignment="true" applyProtection="false">
      <alignment horizontal="left" vertical="top" textRotation="0" wrapText="true" indent="0" shrinkToFit="false"/>
      <protection locked="true" hidden="false"/>
    </xf>
    <xf numFmtId="164" fontId="21" fillId="0" borderId="0" xfId="0" applyFont="true" applyBorder="true" applyAlignment="true" applyProtection="false">
      <alignment horizontal="left" vertical="top" textRotation="0" wrapText="true" indent="0" shrinkToFit="false"/>
      <protection locked="true" hidden="false"/>
    </xf>
    <xf numFmtId="164" fontId="8" fillId="0" borderId="0" xfId="0" applyFont="true" applyBorder="true" applyAlignment="true" applyProtection="false">
      <alignment horizontal="left" vertical="top" textRotation="0" wrapText="true" indent="0" shrinkToFit="false"/>
      <protection locked="true" hidden="false"/>
    </xf>
    <xf numFmtId="164" fontId="0" fillId="0" borderId="0" xfId="0" applyFont="false" applyBorder="true" applyAlignment="false" applyProtection="false">
      <alignment horizontal="general" vertical="bottom" textRotation="0" wrapText="false" indent="0" shrinkToFit="false"/>
      <protection locked="true" hidden="false"/>
    </xf>
    <xf numFmtId="164" fontId="12" fillId="0" borderId="0"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1696F"/>
      <rgbColor rgb="FFC0C0C0"/>
      <rgbColor rgb="FF808080"/>
      <rgbColor rgb="FF9999FF"/>
      <rgbColor rgb="FF993366"/>
      <rgbColor rgb="FFFFFFF0"/>
      <rgbColor rgb="FFE0F2F3"/>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8F5E9"/>
      <rgbColor rgb="FFCCFFCC"/>
      <rgbColor rgb="FFFFFF99"/>
      <rgbColor rgb="FF99CCFF"/>
      <rgbColor rgb="FFFF99CC"/>
      <rgbColor rgb="FFCC99FF"/>
      <rgbColor rgb="FFFFCC99"/>
      <rgbColor rgb="FF3366FF"/>
      <rgbColor rgb="FF33CCCC"/>
      <rgbColor rgb="FF99CC00"/>
      <rgbColor rgb="FFFFCC00"/>
      <rgbColor rgb="FFFF9900"/>
      <rgbColor rgb="FFFF6600"/>
      <rgbColor rgb="FF666666"/>
      <rgbColor rgb="FF969696"/>
      <rgbColor rgb="FF0F172A"/>
      <rgbColor rgb="FF339966"/>
      <rgbColor rgb="FF0D1B2A"/>
      <rgbColor rgb="FF333300"/>
      <rgbColor rgb="FF993300"/>
      <rgbColor rgb="FF993366"/>
      <rgbColor rgb="FF47556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_rels/drawing2.xml.rels><?xml version="1.0" encoding="UTF-8"?>
<Relationships xmlns="http://schemas.openxmlformats.org/package/2006/relationships"><Relationship Id="rId1" Type="http://schemas.openxmlformats.org/officeDocument/2006/relationships/image" Target="../media/image1.png"/>
</Relationships>
</file>

<file path=xl/drawings/_rels/drawing3.xml.rels><?xml version="1.0" encoding="UTF-8"?>
<Relationships xmlns="http://schemas.openxmlformats.org/package/2006/relationships"><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0</xdr:row>
      <xdr:rowOff>0</xdr:rowOff>
    </xdr:from>
    <xdr:to>
      <xdr:col>1</xdr:col>
      <xdr:colOff>1037880</xdr:colOff>
      <xdr:row>0</xdr:row>
      <xdr:rowOff>247320</xdr:rowOff>
    </xdr:to>
    <xdr:pic>
      <xdr:nvPicPr>
        <xdr:cNvPr id="0" name="Image 1" descr="Picture"/>
        <xdr:cNvPicPr/>
      </xdr:nvPicPr>
      <xdr:blipFill>
        <a:blip r:embed="rId1"/>
        <a:stretch/>
      </xdr:blipFill>
      <xdr:spPr>
        <a:xfrm>
          <a:off x="141120" y="0"/>
          <a:ext cx="1037880" cy="24732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0</xdr:row>
      <xdr:rowOff>0</xdr:rowOff>
    </xdr:from>
    <xdr:to>
      <xdr:col>1</xdr:col>
      <xdr:colOff>1037880</xdr:colOff>
      <xdr:row>0</xdr:row>
      <xdr:rowOff>247320</xdr:rowOff>
    </xdr:to>
    <xdr:pic>
      <xdr:nvPicPr>
        <xdr:cNvPr id="1" name="Image 1" descr="Picture"/>
        <xdr:cNvPicPr/>
      </xdr:nvPicPr>
      <xdr:blipFill>
        <a:blip r:embed="rId1"/>
        <a:stretch/>
      </xdr:blipFill>
      <xdr:spPr>
        <a:xfrm>
          <a:off x="141120" y="0"/>
          <a:ext cx="1037880" cy="247320"/>
        </a:xfrm>
        <a:prstGeom prst="rect">
          <a:avLst/>
        </a:prstGeom>
        <a:ln w="0">
          <a:noFill/>
        </a:ln>
      </xdr:spPr>
    </xdr:pic>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0</xdr:row>
      <xdr:rowOff>0</xdr:rowOff>
    </xdr:from>
    <xdr:to>
      <xdr:col>2</xdr:col>
      <xdr:colOff>756000</xdr:colOff>
      <xdr:row>0</xdr:row>
      <xdr:rowOff>247320</xdr:rowOff>
    </xdr:to>
    <xdr:pic>
      <xdr:nvPicPr>
        <xdr:cNvPr id="2" name="Image 1" descr="Picture"/>
        <xdr:cNvPicPr/>
      </xdr:nvPicPr>
      <xdr:blipFill>
        <a:blip r:embed="rId1"/>
        <a:stretch/>
      </xdr:blipFill>
      <xdr:spPr>
        <a:xfrm>
          <a:off x="141120" y="0"/>
          <a:ext cx="1037880" cy="247320"/>
        </a:xfrm>
        <a:prstGeom prst="rect">
          <a:avLst/>
        </a:prstGeom>
        <a:ln w="0">
          <a:noFill/>
        </a:ln>
      </xdr:spPr>
    </xdr:pic>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E3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32"/>
    <col collapsed="false" customWidth="true" hidden="false" outlineLevel="0" max="3" min="3" style="0" width="16"/>
    <col collapsed="false" customWidth="true" hidden="false" outlineLevel="0" max="4" min="4" style="0" width="28"/>
    <col collapsed="false" customWidth="true" hidden="false" outlineLevel="0" max="5" min="5" style="0" width="16"/>
    <col collapsed="false" customWidth="true" hidden="false" outlineLevel="0" max="6" min="6" style="0" width="3"/>
  </cols>
  <sheetData>
    <row r="1" customFormat="false" ht="24" hidden="false" customHeight="true" outlineLevel="0" collapsed="false"/>
    <row r="2" customFormat="false" ht="25.5" hidden="false" customHeight="true" outlineLevel="0" collapsed="false">
      <c r="B2" s="1" t="s">
        <v>0</v>
      </c>
      <c r="C2" s="1"/>
      <c r="D2" s="1"/>
      <c r="E2" s="1"/>
    </row>
    <row r="3" customFormat="false" ht="15.75" hidden="false" customHeight="true" outlineLevel="0" collapsed="false">
      <c r="B3" s="2" t="s">
        <v>1</v>
      </c>
      <c r="C3" s="2"/>
      <c r="D3" s="2"/>
      <c r="E3" s="2"/>
    </row>
    <row r="4" customFormat="false" ht="3" hidden="false" customHeight="true" outlineLevel="0" collapsed="false">
      <c r="B4" s="3"/>
      <c r="C4" s="3"/>
      <c r="D4" s="3"/>
      <c r="E4" s="3"/>
    </row>
    <row r="5" customFormat="false" ht="7.5" hidden="false" customHeight="true" outlineLevel="0" collapsed="false"/>
    <row r="6" customFormat="false" ht="21.75" hidden="false" customHeight="true" outlineLevel="0" collapsed="false">
      <c r="B6" s="4" t="s">
        <v>2</v>
      </c>
      <c r="C6" s="4"/>
      <c r="D6" s="4"/>
      <c r="E6" s="4"/>
    </row>
    <row r="7" customFormat="false" ht="18" hidden="false" customHeight="true" outlineLevel="0" collapsed="false">
      <c r="B7" s="5" t="s">
        <v>3</v>
      </c>
      <c r="C7" s="5" t="s">
        <v>4</v>
      </c>
      <c r="D7" s="5" t="s">
        <v>5</v>
      </c>
    </row>
    <row r="8" customFormat="false" ht="21.75" hidden="false" customHeight="true" outlineLevel="0" collapsed="false">
      <c r="B8" s="6" t="s">
        <v>6</v>
      </c>
      <c r="C8" s="7" t="n">
        <v>65</v>
      </c>
      <c r="D8" s="8" t="s">
        <v>7</v>
      </c>
    </row>
    <row r="9" customFormat="false" ht="21.75" hidden="false" customHeight="true" outlineLevel="0" collapsed="false">
      <c r="B9" s="6" t="s">
        <v>8</v>
      </c>
      <c r="C9" s="9" t="n">
        <v>0.3</v>
      </c>
      <c r="D9" s="8" t="s">
        <v>9</v>
      </c>
    </row>
    <row r="10" customFormat="false" ht="21.75" hidden="false" customHeight="true" outlineLevel="0" collapsed="false">
      <c r="B10" s="6" t="s">
        <v>10</v>
      </c>
      <c r="C10" s="9" t="n">
        <v>0.45</v>
      </c>
      <c r="D10" s="8" t="s">
        <v>11</v>
      </c>
    </row>
    <row r="11" customFormat="false" ht="21.75" hidden="false" customHeight="true" outlineLevel="0" collapsed="false">
      <c r="B11" s="6" t="s">
        <v>12</v>
      </c>
      <c r="C11" s="9" t="n">
        <v>0.12</v>
      </c>
      <c r="D11" s="8" t="s">
        <v>13</v>
      </c>
    </row>
    <row r="12" customFormat="false" ht="21.75" hidden="false" customHeight="true" outlineLevel="0" collapsed="false">
      <c r="B12" s="6" t="s">
        <v>14</v>
      </c>
      <c r="C12" s="9" t="n">
        <v>0.08</v>
      </c>
      <c r="D12" s="8" t="s">
        <v>15</v>
      </c>
    </row>
    <row r="14" customFormat="false" ht="21.75" hidden="false" customHeight="true" outlineLevel="0" collapsed="false">
      <c r="B14" s="10" t="s">
        <v>16</v>
      </c>
      <c r="C14" s="10"/>
      <c r="D14" s="10"/>
      <c r="E14" s="10"/>
    </row>
    <row r="15" customFormat="false" ht="18" hidden="false" customHeight="true" outlineLevel="0" collapsed="false">
      <c r="B15" s="5" t="s">
        <v>17</v>
      </c>
      <c r="C15" s="5" t="s">
        <v>18</v>
      </c>
      <c r="D15" s="5" t="s">
        <v>19</v>
      </c>
      <c r="E15" s="5" t="s">
        <v>20</v>
      </c>
    </row>
    <row r="16" customFormat="false" ht="21.75" hidden="false" customHeight="true" outlineLevel="0" collapsed="false">
      <c r="B16" s="6" t="s">
        <v>21</v>
      </c>
      <c r="C16" s="11" t="n">
        <f aca="false">C8</f>
        <v>65</v>
      </c>
      <c r="D16" s="8" t="str">
        <f aca="false">"$"&amp;TEXT(C8,"#,##0.00")&amp;"/hr (base rate)"</f>
        <v>$65.00/hr (base rate)</v>
      </c>
      <c r="E16" s="11" t="n">
        <f aca="false">C8</f>
        <v>65</v>
      </c>
    </row>
    <row r="17" customFormat="false" ht="21.75" hidden="false" customHeight="true" outlineLevel="0" collapsed="false">
      <c r="B17" s="6" t="s">
        <v>22</v>
      </c>
      <c r="C17" s="11" t="n">
        <f aca="false">C8*C9</f>
        <v>19.5</v>
      </c>
      <c r="D17" s="8" t="str">
        <f aca="false">"DL × "&amp;TEXT(C9,"0.0%")</f>
        <v>DL × 30.0%</v>
      </c>
      <c r="E17" s="11" t="n">
        <f aca="false">C8+C8*C9</f>
        <v>84.5</v>
      </c>
    </row>
    <row r="18" customFormat="false" ht="21.75" hidden="false" customHeight="true" outlineLevel="0" collapsed="false">
      <c r="B18" s="12" t="s">
        <v>23</v>
      </c>
      <c r="C18" s="13" t="n">
        <f aca="false">C8*(1+C9)</f>
        <v>84.5</v>
      </c>
      <c r="D18" s="14" t="str">
        <f aca="false">"DL + Fringe"</f>
        <v>DL + Fringe</v>
      </c>
      <c r="E18" s="13" t="n">
        <f aca="false">C8*(1+C9)</f>
        <v>84.5</v>
      </c>
    </row>
    <row r="19" customFormat="false" ht="21.75" hidden="false" customHeight="true" outlineLevel="0" collapsed="false">
      <c r="B19" s="6" t="s">
        <v>24</v>
      </c>
      <c r="C19" s="11" t="n">
        <f aca="false">C8*(1+C9)*C10</f>
        <v>38.025</v>
      </c>
      <c r="D19" s="8" t="str">
        <f aca="false">"Fringe-Burdened × "&amp;TEXT(C10,"0.0%")</f>
        <v>Fringe-Burdened × 45.0%</v>
      </c>
      <c r="E19" s="11" t="n">
        <f aca="false">C8*(1+C9)*(1+C10)</f>
        <v>122.525</v>
      </c>
    </row>
    <row r="20" customFormat="false" ht="21.75" hidden="false" customHeight="true" outlineLevel="0" collapsed="false">
      <c r="B20" s="12" t="s">
        <v>25</v>
      </c>
      <c r="C20" s="13" t="n">
        <f aca="false">C8*(1+C9)*(1+C10)</f>
        <v>122.525</v>
      </c>
      <c r="D20" s="14" t="str">
        <f aca="false">"DL + Fringe + Overhead"</f>
        <v>DL + Fringe + Overhead</v>
      </c>
      <c r="E20" s="13" t="n">
        <f aca="false">C8*(1+C9)*(1+C10)</f>
        <v>122.525</v>
      </c>
    </row>
    <row r="21" customFormat="false" ht="21.75" hidden="false" customHeight="true" outlineLevel="0" collapsed="false">
      <c r="B21" s="6" t="s">
        <v>26</v>
      </c>
      <c r="C21" s="11" t="n">
        <f aca="false">C8*(1+C9)*(1+C10)*C11</f>
        <v>14.703</v>
      </c>
      <c r="D21" s="8" t="str">
        <f aca="false">"TCI × "&amp;TEXT(C11,"0.0%")</f>
        <v>TCI × 12.0%</v>
      </c>
      <c r="E21" s="11" t="n">
        <f aca="false">C8*(1+C9)*(1+C10)*(1+C11)</f>
        <v>137.228</v>
      </c>
    </row>
    <row r="22" customFormat="false" ht="21.75" hidden="false" customHeight="true" outlineLevel="0" collapsed="false">
      <c r="B22" s="12" t="s">
        <v>27</v>
      </c>
      <c r="C22" s="13" t="n">
        <f aca="false">C8*(1+C9)*(1+C10)*(1+C11)</f>
        <v>137.228</v>
      </c>
      <c r="D22" s="14" t="str">
        <f aca="false">"TCI + G&amp;A"</f>
        <v>TCI + G&amp;A</v>
      </c>
      <c r="E22" s="13" t="n">
        <f aca="false">C8*(1+C9)*(1+C10)*(1+C11)</f>
        <v>137.228</v>
      </c>
    </row>
    <row r="23" customFormat="false" ht="21.75" hidden="false" customHeight="true" outlineLevel="0" collapsed="false">
      <c r="B23" s="6" t="s">
        <v>28</v>
      </c>
      <c r="C23" s="11" t="n">
        <f aca="false">C8*(1+C9)*(1+C10)*(1+C11)*C12</f>
        <v>10.97824</v>
      </c>
      <c r="D23" s="8" t="str">
        <f aca="false">"Total Cost × "&amp;TEXT(C12,"0.0%")</f>
        <v>Total Cost × 8.0%</v>
      </c>
      <c r="E23" s="11" t="n">
        <f aca="false">C8*(1+C9)*(1+C10)*(1+C11)*(1+C12)</f>
        <v>148.20624</v>
      </c>
    </row>
    <row r="25" customFormat="false" ht="21.75" hidden="false" customHeight="true" outlineLevel="0" collapsed="false">
      <c r="B25" s="4" t="s">
        <v>29</v>
      </c>
      <c r="C25" s="4"/>
      <c r="D25" s="4"/>
      <c r="E25" s="4"/>
    </row>
    <row r="26" customFormat="false" ht="27.75" hidden="false" customHeight="true" outlineLevel="0" collapsed="false">
      <c r="B26" s="15" t="s">
        <v>30</v>
      </c>
      <c r="C26" s="16" t="n">
        <f aca="false">C8*(1+C9)*(1+C10)*(1+C11)*(1+C12)</f>
        <v>148.20624</v>
      </c>
      <c r="D26" s="17" t="s">
        <v>31</v>
      </c>
      <c r="E26" s="17"/>
    </row>
    <row r="27" customFormat="false" ht="27.75" hidden="false" customHeight="true" outlineLevel="0" collapsed="false">
      <c r="B27" s="15" t="s">
        <v>32</v>
      </c>
      <c r="C27" s="18" t="n">
        <f aca="false">(1+C9)*(1+C10)*(1+C11)*(1+C12)</f>
        <v>2.280096</v>
      </c>
      <c r="D27" s="17" t="s">
        <v>33</v>
      </c>
      <c r="E27" s="17"/>
    </row>
    <row r="29" customFormat="false" ht="15.75" hidden="false" customHeight="true" outlineLevel="0" collapsed="false">
      <c r="B29" s="17" t="s">
        <v>34</v>
      </c>
      <c r="C29" s="17"/>
      <c r="D29" s="17"/>
      <c r="E29" s="17"/>
    </row>
    <row r="30" customFormat="false" ht="15" hidden="false" customHeight="true" outlineLevel="0" collapsed="false">
      <c r="B30" s="19" t="s">
        <v>35</v>
      </c>
      <c r="C30" s="19"/>
      <c r="D30" s="19"/>
      <c r="E30" s="19"/>
    </row>
  </sheetData>
  <mergeCells count="9">
    <mergeCell ref="B2:E2"/>
    <mergeCell ref="B3:E3"/>
    <mergeCell ref="B6:E6"/>
    <mergeCell ref="B14:E14"/>
    <mergeCell ref="B25:E25"/>
    <mergeCell ref="D26:E26"/>
    <mergeCell ref="D27:E27"/>
    <mergeCell ref="B29:E29"/>
    <mergeCell ref="B30:E30"/>
  </mergeCells>
  <printOptions headings="false" gridLines="false" gridLinesSet="true" horizontalCentered="false" verticalCentered="false"/>
  <pageMargins left="0.5" right="0.5" top="0.4" bottom="0.4"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H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34"/>
    <col collapsed="false" customWidth="true" hidden="false" outlineLevel="0" max="5" min="3" style="0" width="11"/>
    <col collapsed="false" customWidth="true" hidden="false" outlineLevel="0" max="6" min="6" style="0" width="12"/>
    <col collapsed="false" customWidth="true" hidden="false" outlineLevel="0" max="7" min="7" style="0" width="13"/>
    <col collapsed="false" customWidth="true" hidden="false" outlineLevel="0" max="8" min="8" style="0" width="46"/>
  </cols>
  <sheetData>
    <row r="1" customFormat="false" ht="24" hidden="false" customHeight="true" outlineLevel="0" collapsed="false"/>
    <row r="2" customFormat="false" ht="25.5" hidden="false" customHeight="true" outlineLevel="0" collapsed="false">
      <c r="B2" s="1" t="s">
        <v>36</v>
      </c>
      <c r="C2" s="1"/>
      <c r="D2" s="1"/>
      <c r="E2" s="1"/>
      <c r="F2" s="1"/>
      <c r="G2" s="1"/>
      <c r="H2" s="1"/>
    </row>
    <row r="3" customFormat="false" ht="15.75" hidden="false" customHeight="true" outlineLevel="0" collapsed="false">
      <c r="B3" s="2" t="s">
        <v>37</v>
      </c>
      <c r="C3" s="2"/>
      <c r="D3" s="2"/>
      <c r="E3" s="2"/>
      <c r="F3" s="2"/>
      <c r="G3" s="2"/>
      <c r="H3" s="2"/>
    </row>
    <row r="4" customFormat="false" ht="3" hidden="false" customHeight="true" outlineLevel="0" collapsed="false">
      <c r="B4" s="3"/>
      <c r="C4" s="3"/>
      <c r="D4" s="3"/>
      <c r="E4" s="3"/>
      <c r="F4" s="3"/>
      <c r="G4" s="3"/>
      <c r="H4" s="3"/>
    </row>
    <row r="5" customFormat="false" ht="7.5" hidden="false" customHeight="true" outlineLevel="0" collapsed="false"/>
    <row r="6" customFormat="false" ht="27.75" hidden="false" customHeight="true" outlineLevel="0" collapsed="false">
      <c r="B6" s="20" t="s">
        <v>38</v>
      </c>
      <c r="C6" s="20" t="s">
        <v>39</v>
      </c>
      <c r="D6" s="20" t="s">
        <v>40</v>
      </c>
      <c r="E6" s="20" t="s">
        <v>41</v>
      </c>
      <c r="F6" s="20" t="s">
        <v>42</v>
      </c>
      <c r="G6" s="20" t="s">
        <v>43</v>
      </c>
      <c r="H6" s="20" t="s">
        <v>44</v>
      </c>
    </row>
    <row r="7" customFormat="false" ht="42" hidden="false" customHeight="true" outlineLevel="0" collapsed="false">
      <c r="B7" s="21" t="s">
        <v>45</v>
      </c>
      <c r="C7" s="22" t="s">
        <v>46</v>
      </c>
      <c r="D7" s="22" t="s">
        <v>47</v>
      </c>
      <c r="E7" s="22" t="s">
        <v>48</v>
      </c>
      <c r="F7" s="22" t="s">
        <v>49</v>
      </c>
      <c r="G7" s="22" t="s">
        <v>50</v>
      </c>
      <c r="H7" s="23" t="s">
        <v>51</v>
      </c>
    </row>
    <row r="8" customFormat="false" ht="42" hidden="false" customHeight="true" outlineLevel="0" collapsed="false">
      <c r="B8" s="24" t="s">
        <v>52</v>
      </c>
      <c r="C8" s="25" t="s">
        <v>53</v>
      </c>
      <c r="D8" s="25" t="s">
        <v>54</v>
      </c>
      <c r="E8" s="25" t="s">
        <v>55</v>
      </c>
      <c r="F8" s="25" t="s">
        <v>56</v>
      </c>
      <c r="G8" s="25" t="s">
        <v>57</v>
      </c>
      <c r="H8" s="26" t="s">
        <v>58</v>
      </c>
    </row>
    <row r="9" customFormat="false" ht="42" hidden="false" customHeight="true" outlineLevel="0" collapsed="false">
      <c r="B9" s="21" t="s">
        <v>59</v>
      </c>
      <c r="C9" s="22" t="s">
        <v>60</v>
      </c>
      <c r="D9" s="22" t="s">
        <v>61</v>
      </c>
      <c r="E9" s="22" t="s">
        <v>48</v>
      </c>
      <c r="F9" s="22" t="s">
        <v>49</v>
      </c>
      <c r="G9" s="22" t="s">
        <v>62</v>
      </c>
      <c r="H9" s="23" t="s">
        <v>63</v>
      </c>
    </row>
    <row r="10" customFormat="false" ht="42" hidden="false" customHeight="true" outlineLevel="0" collapsed="false">
      <c r="B10" s="24" t="s">
        <v>64</v>
      </c>
      <c r="C10" s="25" t="s">
        <v>65</v>
      </c>
      <c r="D10" s="25" t="s">
        <v>66</v>
      </c>
      <c r="E10" s="25" t="s">
        <v>67</v>
      </c>
      <c r="F10" s="25" t="s">
        <v>68</v>
      </c>
      <c r="G10" s="25" t="s">
        <v>69</v>
      </c>
      <c r="H10" s="26" t="s">
        <v>70</v>
      </c>
    </row>
    <row r="11" customFormat="false" ht="42" hidden="false" customHeight="true" outlineLevel="0" collapsed="false">
      <c r="B11" s="21" t="s">
        <v>71</v>
      </c>
      <c r="C11" s="22" t="s">
        <v>72</v>
      </c>
      <c r="D11" s="22" t="s">
        <v>73</v>
      </c>
      <c r="E11" s="22" t="s">
        <v>74</v>
      </c>
      <c r="F11" s="22" t="s">
        <v>75</v>
      </c>
      <c r="G11" s="22" t="s">
        <v>76</v>
      </c>
      <c r="H11" s="23" t="s">
        <v>77</v>
      </c>
    </row>
    <row r="12" customFormat="false" ht="42" hidden="false" customHeight="true" outlineLevel="0" collapsed="false">
      <c r="B12" s="24" t="s">
        <v>78</v>
      </c>
      <c r="C12" s="25" t="s">
        <v>53</v>
      </c>
      <c r="D12" s="25" t="s">
        <v>79</v>
      </c>
      <c r="E12" s="25" t="s">
        <v>55</v>
      </c>
      <c r="F12" s="25" t="s">
        <v>48</v>
      </c>
      <c r="G12" s="25" t="s">
        <v>80</v>
      </c>
      <c r="H12" s="26" t="s">
        <v>81</v>
      </c>
    </row>
    <row r="13" customFormat="false" ht="42" hidden="false" customHeight="true" outlineLevel="0" collapsed="false">
      <c r="B13" s="21" t="s">
        <v>82</v>
      </c>
      <c r="C13" s="22" t="s">
        <v>83</v>
      </c>
      <c r="D13" s="22" t="s">
        <v>84</v>
      </c>
      <c r="E13" s="22" t="s">
        <v>85</v>
      </c>
      <c r="F13" s="22" t="s">
        <v>48</v>
      </c>
      <c r="G13" s="22" t="s">
        <v>86</v>
      </c>
      <c r="H13" s="23" t="s">
        <v>87</v>
      </c>
    </row>
    <row r="14" customFormat="false" ht="42" hidden="false" customHeight="true" outlineLevel="0" collapsed="false">
      <c r="B14" s="24" t="s">
        <v>88</v>
      </c>
      <c r="C14" s="25" t="s">
        <v>89</v>
      </c>
      <c r="D14" s="25" t="s">
        <v>90</v>
      </c>
      <c r="E14" s="25" t="s">
        <v>91</v>
      </c>
      <c r="F14" s="25" t="s">
        <v>92</v>
      </c>
      <c r="G14" s="25" t="s">
        <v>93</v>
      </c>
      <c r="H14" s="26" t="s">
        <v>94</v>
      </c>
    </row>
    <row r="16" customFormat="false" ht="33.75" hidden="false" customHeight="true" outlineLevel="0" collapsed="false">
      <c r="B16" s="27" t="s">
        <v>95</v>
      </c>
      <c r="C16" s="28" t="s">
        <v>96</v>
      </c>
      <c r="D16" s="28"/>
      <c r="E16" s="28"/>
      <c r="F16" s="28"/>
      <c r="G16" s="28"/>
      <c r="H16" s="28"/>
    </row>
    <row r="17" customFormat="false" ht="33.75" hidden="false" customHeight="true" outlineLevel="0" collapsed="false">
      <c r="B17" s="27" t="s">
        <v>97</v>
      </c>
      <c r="C17" s="28" t="s">
        <v>98</v>
      </c>
      <c r="D17" s="28"/>
      <c r="E17" s="28"/>
      <c r="F17" s="28"/>
      <c r="G17" s="28"/>
      <c r="H17" s="28"/>
    </row>
    <row r="18" customFormat="false" ht="33.75" hidden="false" customHeight="true" outlineLevel="0" collapsed="false">
      <c r="B18" s="27" t="s">
        <v>99</v>
      </c>
      <c r="C18" s="28" t="s">
        <v>100</v>
      </c>
      <c r="D18" s="28"/>
      <c r="E18" s="28"/>
      <c r="F18" s="28"/>
      <c r="G18" s="28"/>
      <c r="H18" s="28"/>
    </row>
    <row r="19" customFormat="false" ht="33.75" hidden="false" customHeight="true" outlineLevel="0" collapsed="false">
      <c r="B19" s="27" t="s">
        <v>101</v>
      </c>
      <c r="C19" s="28" t="s">
        <v>102</v>
      </c>
      <c r="D19" s="28"/>
      <c r="E19" s="28"/>
      <c r="F19" s="28"/>
      <c r="G19" s="28"/>
      <c r="H19" s="28"/>
    </row>
    <row r="21" customFormat="false" ht="15" hidden="false" customHeight="true" outlineLevel="0" collapsed="false">
      <c r="B21" s="19" t="s">
        <v>35</v>
      </c>
      <c r="C21" s="19"/>
      <c r="D21" s="19"/>
      <c r="E21" s="19"/>
      <c r="F21" s="19"/>
      <c r="G21" s="19"/>
      <c r="H21" s="19"/>
    </row>
  </sheetData>
  <mergeCells count="7">
    <mergeCell ref="B2:H2"/>
    <mergeCell ref="B3:H3"/>
    <mergeCell ref="C16:H16"/>
    <mergeCell ref="C17:H17"/>
    <mergeCell ref="C18:H18"/>
    <mergeCell ref="C19:H19"/>
    <mergeCell ref="B21:H21"/>
  </mergeCells>
  <printOptions headings="false" gridLines="false" gridLinesSet="true" horizontalCentered="false" verticalCentered="false"/>
  <pageMargins left="0.4" right="0.4" top="0.4" bottom="0.4"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C6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4"/>
    <col collapsed="false" customWidth="true" hidden="false" outlineLevel="0" max="3" min="3" style="0" width="80"/>
    <col collapsed="false" customWidth="true" hidden="false" outlineLevel="0" max="4" min="4" style="0" width="2"/>
  </cols>
  <sheetData>
    <row r="1" customFormat="false" ht="24" hidden="false" customHeight="true" outlineLevel="0" collapsed="false"/>
    <row r="2" customFormat="false" ht="25.5" hidden="false" customHeight="true" outlineLevel="0" collapsed="false">
      <c r="B2" s="1" t="s">
        <v>103</v>
      </c>
      <c r="C2" s="1"/>
    </row>
    <row r="3" customFormat="false" ht="15.75" hidden="false" customHeight="true" outlineLevel="0" collapsed="false">
      <c r="B3" s="2" t="s">
        <v>104</v>
      </c>
      <c r="C3" s="2"/>
    </row>
    <row r="4" customFormat="false" ht="3" hidden="false" customHeight="true" outlineLevel="0" collapsed="false">
      <c r="B4" s="3"/>
      <c r="C4" s="3"/>
    </row>
    <row r="5" customFormat="false" ht="7.5" hidden="false" customHeight="true" outlineLevel="0" collapsed="false"/>
    <row r="6" customFormat="false" ht="21.75" hidden="false" customHeight="true" outlineLevel="0" collapsed="false">
      <c r="B6" s="4" t="s">
        <v>105</v>
      </c>
      <c r="C6" s="4"/>
    </row>
    <row r="7" customFormat="false" ht="43.5" hidden="false" customHeight="true" outlineLevel="0" collapsed="false">
      <c r="B7" s="29" t="s">
        <v>106</v>
      </c>
      <c r="C7" s="29"/>
    </row>
    <row r="8" customFormat="false" ht="6" hidden="false" customHeight="true" outlineLevel="0" collapsed="false">
      <c r="B8" s="30"/>
      <c r="C8" s="30"/>
    </row>
    <row r="9" customFormat="false" ht="16.5" hidden="false" customHeight="true" outlineLevel="0" collapsed="false">
      <c r="B9" s="31" t="s">
        <v>107</v>
      </c>
      <c r="C9" s="31"/>
    </row>
    <row r="10" customFormat="false" ht="15.75" hidden="false" customHeight="true" outlineLevel="0" collapsed="false">
      <c r="B10" s="29" t="s">
        <v>108</v>
      </c>
      <c r="C10" s="29"/>
    </row>
    <row r="11" customFormat="false" ht="30" hidden="false" customHeight="true" outlineLevel="0" collapsed="false">
      <c r="B11" s="29" t="s">
        <v>109</v>
      </c>
      <c r="C11" s="29"/>
    </row>
    <row r="12" customFormat="false" ht="15.75" hidden="false" customHeight="true" outlineLevel="0" collapsed="false">
      <c r="B12" s="29" t="s">
        <v>110</v>
      </c>
      <c r="C12" s="29"/>
    </row>
    <row r="13" customFormat="false" ht="30" hidden="false" customHeight="true" outlineLevel="0" collapsed="false">
      <c r="B13" s="29" t="s">
        <v>111</v>
      </c>
      <c r="C13" s="29"/>
    </row>
    <row r="14" customFormat="false" ht="15.75" hidden="false" customHeight="true" outlineLevel="0" collapsed="false">
      <c r="B14" s="29" t="s">
        <v>112</v>
      </c>
      <c r="C14" s="29"/>
    </row>
    <row r="16" customFormat="false" ht="21.75" hidden="false" customHeight="true" outlineLevel="0" collapsed="false">
      <c r="B16" s="4" t="s">
        <v>113</v>
      </c>
      <c r="C16" s="4"/>
    </row>
    <row r="17" customFormat="false" ht="30.75" hidden="false" customHeight="true" outlineLevel="0" collapsed="false">
      <c r="B17" s="31" t="s">
        <v>114</v>
      </c>
      <c r="C17" s="31"/>
    </row>
    <row r="18" customFormat="false" ht="6" hidden="false" customHeight="true" outlineLevel="0" collapsed="false">
      <c r="B18" s="30"/>
      <c r="C18" s="30"/>
    </row>
    <row r="19" customFormat="false" ht="43.5" hidden="false" customHeight="true" outlineLevel="0" collapsed="false">
      <c r="B19" s="29" t="s">
        <v>115</v>
      </c>
      <c r="C19" s="29"/>
    </row>
    <row r="20" customFormat="false" ht="30" hidden="false" customHeight="true" outlineLevel="0" collapsed="false">
      <c r="B20" s="29" t="s">
        <v>116</v>
      </c>
      <c r="C20" s="29"/>
    </row>
    <row r="21" customFormat="false" ht="30" hidden="false" customHeight="true" outlineLevel="0" collapsed="false">
      <c r="B21" s="29" t="s">
        <v>117</v>
      </c>
      <c r="C21" s="29"/>
    </row>
    <row r="22" customFormat="false" ht="30" hidden="false" customHeight="true" outlineLevel="0" collapsed="false">
      <c r="B22" s="29" t="s">
        <v>118</v>
      </c>
      <c r="C22" s="29"/>
    </row>
    <row r="23" customFormat="false" ht="6" hidden="false" customHeight="true" outlineLevel="0" collapsed="false">
      <c r="B23" s="30"/>
      <c r="C23" s="30"/>
    </row>
    <row r="24" customFormat="false" ht="30" hidden="false" customHeight="true" outlineLevel="0" collapsed="false">
      <c r="B24" s="29" t="s">
        <v>119</v>
      </c>
      <c r="C24" s="29"/>
    </row>
    <row r="26" customFormat="false" ht="21.75" hidden="false" customHeight="true" outlineLevel="0" collapsed="false">
      <c r="B26" s="4" t="s">
        <v>120</v>
      </c>
      <c r="C26" s="4"/>
    </row>
    <row r="27" customFormat="false" ht="30.75" hidden="false" customHeight="true" outlineLevel="0" collapsed="false">
      <c r="B27" s="31" t="s">
        <v>121</v>
      </c>
      <c r="C27" s="31"/>
    </row>
    <row r="28" customFormat="false" ht="6" hidden="false" customHeight="true" outlineLevel="0" collapsed="false">
      <c r="B28" s="30"/>
      <c r="C28" s="30"/>
    </row>
    <row r="29" customFormat="false" ht="15.75" hidden="false" customHeight="true" outlineLevel="0" collapsed="false">
      <c r="B29" s="29" t="s">
        <v>122</v>
      </c>
      <c r="C29" s="29"/>
    </row>
    <row r="30" customFormat="false" ht="30" hidden="false" customHeight="true" outlineLevel="0" collapsed="false">
      <c r="B30" s="29" t="s">
        <v>123</v>
      </c>
      <c r="C30" s="29"/>
    </row>
    <row r="31" customFormat="false" ht="15.75" hidden="false" customHeight="true" outlineLevel="0" collapsed="false">
      <c r="B31" s="29" t="s">
        <v>124</v>
      </c>
      <c r="C31" s="29"/>
    </row>
    <row r="32" customFormat="false" ht="30" hidden="false" customHeight="true" outlineLevel="0" collapsed="false">
      <c r="B32" s="29" t="s">
        <v>125</v>
      </c>
      <c r="C32" s="29"/>
    </row>
    <row r="33" customFormat="false" ht="15.75" hidden="false" customHeight="true" outlineLevel="0" collapsed="false">
      <c r="B33" s="29" t="s">
        <v>126</v>
      </c>
      <c r="C33" s="29"/>
    </row>
    <row r="34" customFormat="false" ht="6" hidden="false" customHeight="true" outlineLevel="0" collapsed="false">
      <c r="B34" s="30"/>
      <c r="C34" s="30"/>
    </row>
    <row r="35" customFormat="false" ht="16.5" hidden="false" customHeight="true" outlineLevel="0" collapsed="false">
      <c r="B35" s="31" t="s">
        <v>127</v>
      </c>
      <c r="C35" s="31"/>
    </row>
    <row r="36" customFormat="false" ht="15.75" hidden="false" customHeight="true" outlineLevel="0" collapsed="false">
      <c r="B36" s="29" t="s">
        <v>128</v>
      </c>
      <c r="C36" s="29"/>
    </row>
    <row r="37" customFormat="false" ht="15.75" hidden="false" customHeight="true" outlineLevel="0" collapsed="false">
      <c r="B37" s="29" t="s">
        <v>129</v>
      </c>
      <c r="C37" s="29"/>
    </row>
    <row r="38" customFormat="false" ht="15.75" hidden="false" customHeight="true" outlineLevel="0" collapsed="false">
      <c r="B38" s="29" t="s">
        <v>130</v>
      </c>
      <c r="C38" s="29"/>
    </row>
    <row r="39" customFormat="false" ht="15.75" hidden="false" customHeight="true" outlineLevel="0" collapsed="false">
      <c r="B39" s="29" t="s">
        <v>131</v>
      </c>
      <c r="C39" s="29"/>
    </row>
    <row r="41" customFormat="false" ht="21.75" hidden="false" customHeight="true" outlineLevel="0" collapsed="false">
      <c r="B41" s="4" t="s">
        <v>132</v>
      </c>
      <c r="C41" s="4"/>
    </row>
    <row r="42" customFormat="false" ht="30.75" hidden="false" customHeight="true" outlineLevel="0" collapsed="false">
      <c r="B42" s="31" t="s">
        <v>133</v>
      </c>
      <c r="C42" s="31"/>
    </row>
    <row r="43" customFormat="false" ht="6" hidden="false" customHeight="true" outlineLevel="0" collapsed="false">
      <c r="B43" s="30"/>
      <c r="C43" s="30"/>
    </row>
    <row r="44" customFormat="false" ht="15.75" hidden="false" customHeight="true" outlineLevel="0" collapsed="false">
      <c r="B44" s="29" t="s">
        <v>134</v>
      </c>
      <c r="C44" s="29"/>
    </row>
    <row r="45" customFormat="false" ht="15.75" hidden="false" customHeight="true" outlineLevel="0" collapsed="false">
      <c r="B45" s="29" t="s">
        <v>135</v>
      </c>
      <c r="C45" s="29"/>
    </row>
    <row r="46" customFormat="false" ht="15.75" hidden="false" customHeight="true" outlineLevel="0" collapsed="false">
      <c r="B46" s="29" t="s">
        <v>136</v>
      </c>
      <c r="C46" s="29"/>
    </row>
    <row r="47" customFormat="false" ht="15.75" hidden="false" customHeight="true" outlineLevel="0" collapsed="false">
      <c r="B47" s="29" t="s">
        <v>137</v>
      </c>
      <c r="C47" s="29"/>
    </row>
    <row r="48" customFormat="false" ht="15.75" hidden="false" customHeight="true" outlineLevel="0" collapsed="false">
      <c r="B48" s="29" t="s">
        <v>138</v>
      </c>
      <c r="C48" s="29"/>
    </row>
    <row r="49" customFormat="false" ht="6" hidden="false" customHeight="true" outlineLevel="0" collapsed="false">
      <c r="B49" s="30"/>
      <c r="C49" s="30"/>
    </row>
    <row r="50" customFormat="false" ht="43.5" hidden="false" customHeight="true" outlineLevel="0" collapsed="false">
      <c r="B50" s="29" t="s">
        <v>139</v>
      </c>
      <c r="C50" s="29"/>
    </row>
    <row r="52" customFormat="false" ht="21.75" hidden="false" customHeight="true" outlineLevel="0" collapsed="false">
      <c r="B52" s="4" t="s">
        <v>140</v>
      </c>
      <c r="C52" s="4"/>
    </row>
    <row r="53" customFormat="false" ht="15.75" hidden="false" customHeight="true" outlineLevel="0" collapsed="false">
      <c r="B53" s="29" t="s">
        <v>141</v>
      </c>
      <c r="C53" s="29"/>
    </row>
    <row r="54" customFormat="false" ht="15.75" hidden="false" customHeight="true" outlineLevel="0" collapsed="false">
      <c r="B54" s="29" t="s">
        <v>142</v>
      </c>
      <c r="C54" s="29"/>
    </row>
    <row r="55" customFormat="false" ht="15.75" hidden="false" customHeight="true" outlineLevel="0" collapsed="false">
      <c r="B55" s="29" t="s">
        <v>143</v>
      </c>
      <c r="C55" s="29"/>
    </row>
    <row r="56" customFormat="false" ht="15.75" hidden="false" customHeight="true" outlineLevel="0" collapsed="false">
      <c r="B56" s="29" t="s">
        <v>144</v>
      </c>
      <c r="C56" s="29"/>
    </row>
    <row r="57" customFormat="false" ht="15.75" hidden="false" customHeight="true" outlineLevel="0" collapsed="false">
      <c r="B57" s="29" t="s">
        <v>145</v>
      </c>
      <c r="C57" s="29"/>
    </row>
    <row r="58" customFormat="false" ht="15.75" hidden="false" customHeight="true" outlineLevel="0" collapsed="false">
      <c r="B58" s="29" t="s">
        <v>146</v>
      </c>
      <c r="C58" s="29"/>
    </row>
    <row r="59" customFormat="false" ht="15.75" hidden="false" customHeight="true" outlineLevel="0" collapsed="false">
      <c r="B59" s="29" t="s">
        <v>147</v>
      </c>
      <c r="C59" s="29"/>
    </row>
    <row r="60" customFormat="false" ht="15.75" hidden="false" customHeight="true" outlineLevel="0" collapsed="false">
      <c r="B60" s="29" t="s">
        <v>148</v>
      </c>
      <c r="C60" s="29"/>
    </row>
    <row r="61" customFormat="false" ht="15.75" hidden="false" customHeight="true" outlineLevel="0" collapsed="false">
      <c r="B61" s="29" t="s">
        <v>149</v>
      </c>
      <c r="C61" s="29"/>
    </row>
    <row r="62" customFormat="false" ht="15.75" hidden="false" customHeight="true" outlineLevel="0" collapsed="false">
      <c r="B62" s="29" t="s">
        <v>150</v>
      </c>
      <c r="C62" s="29"/>
    </row>
    <row r="63" customFormat="false" ht="30" hidden="false" customHeight="true" outlineLevel="0" collapsed="false">
      <c r="B63" s="29" t="s">
        <v>151</v>
      </c>
      <c r="C63" s="29"/>
    </row>
    <row r="65" customFormat="false" ht="15" hidden="false" customHeight="true" outlineLevel="0" collapsed="false">
      <c r="B65" s="19" t="s">
        <v>35</v>
      </c>
      <c r="C65" s="19"/>
    </row>
  </sheetData>
  <mergeCells count="57">
    <mergeCell ref="B2:C2"/>
    <mergeCell ref="B3:C3"/>
    <mergeCell ref="B6:C6"/>
    <mergeCell ref="B7:C7"/>
    <mergeCell ref="B8:C8"/>
    <mergeCell ref="B9:C9"/>
    <mergeCell ref="B10:C10"/>
    <mergeCell ref="B11:C11"/>
    <mergeCell ref="B12:C12"/>
    <mergeCell ref="B13:C13"/>
    <mergeCell ref="B14:C14"/>
    <mergeCell ref="B16:C16"/>
    <mergeCell ref="B17:C17"/>
    <mergeCell ref="B18:C18"/>
    <mergeCell ref="B19:C19"/>
    <mergeCell ref="B20:C20"/>
    <mergeCell ref="B21:C21"/>
    <mergeCell ref="B22:C22"/>
    <mergeCell ref="B23:C23"/>
    <mergeCell ref="B24:C24"/>
    <mergeCell ref="B26:C26"/>
    <mergeCell ref="B27:C27"/>
    <mergeCell ref="B28:C28"/>
    <mergeCell ref="B29:C29"/>
    <mergeCell ref="B30:C30"/>
    <mergeCell ref="B31:C31"/>
    <mergeCell ref="B32:C32"/>
    <mergeCell ref="B33:C33"/>
    <mergeCell ref="B34:C34"/>
    <mergeCell ref="B35:C35"/>
    <mergeCell ref="B36:C36"/>
    <mergeCell ref="B37:C37"/>
    <mergeCell ref="B38:C38"/>
    <mergeCell ref="B39:C39"/>
    <mergeCell ref="B41:C41"/>
    <mergeCell ref="B42:C42"/>
    <mergeCell ref="B43:C43"/>
    <mergeCell ref="B44:C44"/>
    <mergeCell ref="B45:C45"/>
    <mergeCell ref="B46:C46"/>
    <mergeCell ref="B47:C47"/>
    <mergeCell ref="B48:C48"/>
    <mergeCell ref="B49:C49"/>
    <mergeCell ref="B50:C50"/>
    <mergeCell ref="B52:C52"/>
    <mergeCell ref="B53:C53"/>
    <mergeCell ref="B54:C54"/>
    <mergeCell ref="B55:C55"/>
    <mergeCell ref="B56:C56"/>
    <mergeCell ref="B57:C57"/>
    <mergeCell ref="B58:C58"/>
    <mergeCell ref="B59:C59"/>
    <mergeCell ref="B60:C60"/>
    <mergeCell ref="B61:C61"/>
    <mergeCell ref="B62:C62"/>
    <mergeCell ref="B63:C63"/>
    <mergeCell ref="B65:C6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2026-09-23T07:48:02Z</dcterms:created>
  <dc:creator>openpyxl</dc:creator>
  <dc:description/>
  <dc:language>en-US</dc:language>
  <cp:lastModifiedBy/>
  <dcterms:modified xsi:type="dcterms:W3CDTF">2026-09-23T07:48:02Z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