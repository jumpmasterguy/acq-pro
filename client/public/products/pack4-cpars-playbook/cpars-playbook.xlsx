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ating Decoder" sheetId="2" state="visible" r:id="rId2"/>
    <sheet xmlns:r="http://schemas.openxmlformats.org/officeDocument/2006/relationships" name="Evidence Log" sheetId="3" state="visible" r:id="rId3"/>
    <sheet xmlns:r="http://schemas.openxmlformats.org/officeDocument/2006/relationships" name="Self-Assessment" sheetId="4" state="visible" r:id="rId4"/>
    <sheet xmlns:r="http://schemas.openxmlformats.org/officeDocument/2006/relationships" name="Interim Check-In" sheetId="5" state="visible" r:id="rId5"/>
    <sheet xmlns:r="http://schemas.openxmlformats.org/officeDocument/2006/relationships" name="Rebuttal Builder" sheetId="6" state="visible" r:id="rId6"/>
  </sheets>
  <definedNames>
    <definedName name="_xlnm._FilterDatabase" localSheetId="1" hidden="1">'Rating Decoder'!$B$5:$F$35</definedName>
  </definedNames>
  <calcPr calcId="124519" fullCalcOnLoad="1"/>
</workbook>
</file>

<file path=xl/styles.xml><?xml version="1.0" encoding="utf-8"?>
<styleSheet xmlns="http://schemas.openxmlformats.org/spreadsheetml/2006/main">
  <numFmts count="1">
    <numFmt numFmtId="164" formatCode="mm/dd/yyyy"/>
  </numFmts>
  <fonts count="15">
    <font>
      <name val="Calibri"/>
      <family val="2"/>
      <color theme="1"/>
      <sz val="11"/>
      <scheme val="minor"/>
    </font>
    <font>
      <b val="1"/>
      <color rgb="FF0D1B2A"/>
      <sz val="15"/>
    </font>
    <font>
      <color rgb="00333333"/>
      <sz val="10"/>
    </font>
    <font>
      <b val="1"/>
      <color rgb="FF0D1B2A"/>
      <sz val="12"/>
    </font>
    <font>
      <b val="1"/>
      <color rgb="FF0D1B2A"/>
      <sz val="14"/>
    </font>
    <font>
      <i val="1"/>
      <color rgb="FF6B7280"/>
      <sz val="10"/>
    </font>
    <font>
      <b val="1"/>
      <color rgb="FFFFFFFF"/>
      <sz val="10"/>
    </font>
    <font>
      <b val="1"/>
      <color rgb="0001696F"/>
      <sz val="10"/>
    </font>
    <font>
      <b val="1"/>
      <sz val="10"/>
    </font>
    <font>
      <sz val="10"/>
    </font>
    <font>
      <i val="1"/>
      <color rgb="FF6B7280"/>
      <sz val="8"/>
    </font>
    <font>
      <b val="1"/>
      <color rgb="FF0D1B2A"/>
      <sz val="11"/>
    </font>
    <font>
      <i val="1"/>
      <color rgb="FF6B7280"/>
      <sz val="9"/>
    </font>
    <font>
      <b val="1"/>
      <color rgb="FF0D1B2A"/>
      <sz val="10"/>
    </font>
    <font>
      <color rgb="00333333"/>
      <sz val="9"/>
    </font>
  </fonts>
  <fills count="7">
    <fill>
      <patternFill/>
    </fill>
    <fill>
      <patternFill patternType="gray125"/>
    </fill>
    <fill>
      <patternFill patternType="solid">
        <fgColor rgb="FF0D1B2A"/>
      </patternFill>
    </fill>
    <fill>
      <patternFill patternType="solid">
        <fgColor rgb="FFC6EFCE"/>
      </patternFill>
    </fill>
    <fill>
      <patternFill patternType="solid">
        <fgColor rgb="FFFFEB9C"/>
      </patternFill>
    </fill>
    <fill>
      <patternFill patternType="solid">
        <fgColor rgb="FFFFC7CE"/>
      </patternFill>
    </fill>
    <fill>
      <patternFill patternType="solid">
        <fgColor rgb="FFFFFBEB"/>
      </patternFill>
    </fill>
  </fills>
  <borders count="2">
    <border>
      <left/>
      <right/>
      <top/>
      <bottom/>
      <diagonal/>
    </border>
    <border>
      <left style="thin">
        <color rgb="FFE5E7EB"/>
      </left>
      <right style="thin">
        <color rgb="FFE5E7EB"/>
      </right>
      <top style="thin">
        <color rgb="FFE5E7EB"/>
      </top>
      <bottom style="thin">
        <color rgb="FFE5E7EB"/>
      </bottom>
    </border>
  </borders>
  <cellStyleXfs count="1">
    <xf numFmtId="0" fontId="0" fillId="0" borderId="0"/>
  </cellStyleXfs>
  <cellXfs count="2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wrapText="1"/>
    </xf>
    <xf numFmtId="0" fontId="6" fillId="2" borderId="1" applyAlignment="1" pivotButton="0" quotePrefix="0" xfId="0">
      <alignment vertical="center" wrapText="1"/>
    </xf>
    <xf numFmtId="0" fontId="7" fillId="0" borderId="1" applyAlignment="1" pivotButton="0" quotePrefix="0" xfId="0">
      <alignment vertical="top" wrapText="1"/>
    </xf>
    <xf numFmtId="0" fontId="8" fillId="3" borderId="1" applyAlignment="1" pivotButton="0" quotePrefix="0" xfId="0">
      <alignment horizontal="center" vertical="top" wrapText="1"/>
    </xf>
    <xf numFmtId="0" fontId="9" fillId="0" borderId="1" applyAlignment="1" pivotButton="0" quotePrefix="0" xfId="0">
      <alignment vertical="top" wrapText="1"/>
    </xf>
    <xf numFmtId="0" fontId="8" fillId="4" borderId="1" applyAlignment="1" pivotButton="0" quotePrefix="0" xfId="0">
      <alignment horizontal="center" vertical="top" wrapText="1"/>
    </xf>
    <xf numFmtId="0" fontId="8" fillId="5" borderId="1" applyAlignment="1" pivotButton="0" quotePrefix="0" xfId="0">
      <alignment horizontal="center" vertical="top" wrapText="1"/>
    </xf>
    <xf numFmtId="0" fontId="10" fillId="0" borderId="0" pivotButton="0" quotePrefix="0" xfId="0"/>
    <xf numFmtId="164" fontId="9" fillId="0" borderId="1" applyAlignment="1" applyProtection="1" pivotButton="0" quotePrefix="0" xfId="0">
      <alignment vertical="top" wrapText="1"/>
      <protection locked="0" hidden="0"/>
    </xf>
    <xf numFmtId="0" fontId="9" fillId="0" borderId="1" applyAlignment="1" applyProtection="1" pivotButton="0" quotePrefix="0" xfId="0">
      <alignment vertical="top" wrapText="1"/>
      <protection locked="0" hidden="0"/>
    </xf>
    <xf numFmtId="0" fontId="9" fillId="0" borderId="1" applyAlignment="1" applyProtection="1" pivotButton="0" quotePrefix="0" xfId="0">
      <alignment horizontal="center" vertical="top" wrapText="1"/>
      <protection locked="0" hidden="0"/>
    </xf>
    <xf numFmtId="0" fontId="11" fillId="0" borderId="0" pivotButton="0" quotePrefix="0" xfId="0"/>
    <xf numFmtId="0" fontId="8" fillId="0" borderId="1" applyAlignment="1" pivotButton="0" quotePrefix="0" xfId="0">
      <alignment vertical="top" wrapText="1"/>
    </xf>
    <xf numFmtId="0" fontId="9" fillId="0" borderId="1" applyAlignment="1" pivotButton="0" quotePrefix="0" xfId="0">
      <alignment horizontal="center" vertical="top" wrapText="1"/>
    </xf>
    <xf numFmtId="0" fontId="12" fillId="0" borderId="0" pivotButton="0" quotePrefix="0" xfId="0"/>
    <xf numFmtId="0" fontId="8" fillId="0" borderId="1" applyAlignment="1" pivotButton="0" quotePrefix="0" xfId="0">
      <alignment horizontal="center" vertical="top" wrapText="1"/>
    </xf>
    <xf numFmtId="0" fontId="12" fillId="0" borderId="0" applyAlignment="1" pivotButton="0" quotePrefix="0" xfId="0">
      <alignment wrapText="1"/>
    </xf>
    <xf numFmtId="0" fontId="8" fillId="0" borderId="0" pivotButton="0" quotePrefix="0" xfId="0"/>
    <xf numFmtId="164" fontId="0" fillId="6" borderId="1" applyProtection="1" pivotButton="0" quotePrefix="0" xfId="0">
      <protection locked="0" hidden="0"/>
    </xf>
    <xf numFmtId="0" fontId="13" fillId="0" borderId="0" applyAlignment="1" pivotButton="0" quotePrefix="0" xfId="0">
      <alignment wrapText="1"/>
    </xf>
    <xf numFmtId="0" fontId="14" fillId="0" borderId="0" applyAlignment="1" pivotButton="0" quotePrefix="0" xfId="0">
      <alignment wrapText="1"/>
    </xf>
    <xf numFmtId="164" fontId="9" fillId="0" borderId="1" applyAlignment="1" applyProtection="1" pivotButton="0" quotePrefix="0" xfId="0">
      <alignment vertical="top" wrapText="1"/>
      <protection locked="0" hidden="0"/>
    </xf>
    <xf numFmtId="164" fontId="0" fillId="6" borderId="1" applyProtection="1" pivotButton="0" quotePrefix="0" xfId="0">
      <protection locked="0" hidden="0"/>
    </xf>
  </cellXfs>
  <cellStyles count="1">
    <cellStyle name="Normal" xfId="0" builtinId="0" hidden="0"/>
  </cellStyles>
  <dxfs count="6">
    <dxf>
      <font>
        <b val="1"/>
        <color rgb="FF006100"/>
      </font>
      <fill>
        <patternFill patternType="solid">
          <fgColor rgb="FFC6EFCE"/>
        </patternFill>
      </fill>
    </dxf>
    <dxf>
      <font>
        <b val="1"/>
        <color rgb="FF9C0006"/>
      </font>
      <fill>
        <patternFill patternType="solid">
          <fgColor rgb="FFFFC7CE"/>
        </patternFill>
      </fill>
    </dxf>
    <dxf>
      <font>
        <b val="1"/>
        <color rgb="FF9C5700"/>
      </font>
      <fill>
        <patternFill patternType="solid">
          <fgColor rgb="FFFFEB9C"/>
        </patternFill>
      </fill>
    </dxf>
    <dxf>
      <fill>
        <patternFill patternType="solid">
          <fgColor rgb="FFC6EFCE"/>
        </patternFill>
      </fill>
    </dxf>
    <dxf>
      <fill>
        <patternFill patternType="solid">
          <fgColor rgb="FFFFEB9C"/>
        </patternFill>
      </fill>
    </dxf>
    <dxf>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workbookViewId="0">
      <selection activeCell="A1" sqref="A1"/>
    </sheetView>
  </sheetViews>
  <sheetFormatPr baseColWidth="8" defaultRowHeight="15"/>
  <cols>
    <col width="2.5" customWidth="1" min="1" max="1"/>
    <col width="110" customWidth="1" min="2" max="2"/>
  </cols>
  <sheetData>
    <row r="2">
      <c r="B2" s="1" t="inlineStr">
        <is>
          <t>CPARS Playbook: How Ratings Get Decided, and How to Earn the One You Want</t>
        </is>
      </c>
    </row>
    <row r="3">
      <c r="B3" s="2" t="inlineStr">
        <is>
          <t>For contractors. The rating you get at the end of the period is decided by what is on file during the period. This workbook is how you build that file.</t>
        </is>
      </c>
    </row>
    <row r="4">
      <c r="B4" s="2" t="inlineStr"/>
    </row>
    <row r="5">
      <c r="B5" s="3" t="inlineStr">
        <is>
          <t>How CPARS actually works</t>
        </is>
      </c>
    </row>
    <row r="6">
      <c r="B6" s="2" t="inlineStr">
        <is>
          <t>Your Contracting Officer’s Representative or Assessing Official drafts a rating in each evaluation area, on a five-point scale defined in FAR 42.1503: Exceptional, Very Good, Satisfactory, Marginal, Unsatisfactory. The Contracting Officer reviews it. You are notified and have 14 calendar days to comment. If you disagree, you may request review by a Government official one level above the Contracting Officer. The final rating stays in the system for three years and is visible to every source selection you bid on.</t>
        </is>
      </c>
    </row>
    <row r="7">
      <c r="B7" s="2" t="inlineStr">
        <is>
          <t>The part most contractors get wrong: Satisfactory means you met the contract. Very Good and Exceptional require documented performance that exceeded requirements to the Government’s benefit, and the Assessing Official has to be able to write down what that was. If you did not give them the words and the evidence during the period, you will get Satisfactory, and Satisfactory loses recompetes.</t>
        </is>
      </c>
    </row>
    <row r="8">
      <c r="B8" s="2" t="inlineStr"/>
    </row>
    <row r="9">
      <c r="B9" s="3" t="inlineStr">
        <is>
          <t>The tabs</t>
        </is>
      </c>
    </row>
    <row r="10">
      <c r="B10" s="2" t="inlineStr">
        <is>
          <t>1. Rating Decoder: what each rating means in each area, what the Assessing Official needs to see to justify it, and why contractors who deserved Very Good got Satisfactory.</t>
        </is>
      </c>
    </row>
    <row r="11">
      <c r="B11" s="2" t="inlineStr">
        <is>
          <t>2. Evidence Log: a dated record of performance events, positive and negative, by area. This is the file. Keep it monthly.</t>
        </is>
      </c>
    </row>
    <row r="12">
      <c r="B12" s="2" t="inlineStr">
        <is>
          <t>3. Self-Assessment: rate yourself by area against the definitions, with evidence counts pulled from the log. Predicts your rating before the draft arrives.</t>
        </is>
      </c>
    </row>
    <row r="13">
      <c r="B13" s="2" t="inlineStr">
        <is>
          <t>4. Interim Check-In: the questions to ask your COR at the mid-point so the final rating is not a surprise, and a place to record the answers.</t>
        </is>
      </c>
    </row>
    <row r="14">
      <c r="B14" s="2" t="inlineStr">
        <is>
          <t>5. Rebuttal Builder: if the draft is wrong, a structured 14-day response: the requirement, the evidence, the rating sought, and the language. What to argue and what not to.</t>
        </is>
      </c>
    </row>
    <row r="15">
      <c r="B15" s="2" t="inlineStr"/>
    </row>
    <row r="16">
      <c r="B16" s="3" t="inlineStr">
        <is>
          <t>Where this is taught</t>
        </is>
      </c>
    </row>
    <row r="17">
      <c r="B17" s="2" t="inlineStr">
        <is>
          <t>Module 6: Operations &amp; Leadership, Lesson 4 (contractor performance) and Module 5: Capture &amp; BD, Lesson 7 (past performance as a discriminator). acqlerate.com/app</t>
        </is>
      </c>
    </row>
    <row r="18">
      <c r="B18" s="2" t="inlineStr"/>
    </row>
    <row r="19">
      <c r="B19" s="3" t="inlineStr">
        <is>
          <t>Sources</t>
        </is>
      </c>
    </row>
    <row r="20">
      <c r="B20" s="2" t="inlineStr">
        <is>
          <t>FAR 42.15 (Contractor Performance Information), FAR 42.1503 (procedures, rating definitions, comment period, review), FAR 42.1502 (applicability above the Simplified Acquisition Threshold, $350,000 under FAC 2025-06). Verify current text at acquisition.gov; this edition reflects the regulation as of September 2026.</t>
        </is>
      </c>
    </row>
    <row r="21">
      <c r="B21" s="2" t="inlineStr"/>
    </row>
    <row r="22">
      <c r="B22" s="3" t="inlineStr">
        <is>
          <t>License &amp; Use</t>
        </is>
      </c>
    </row>
    <row r="23">
      <c r="B23" s="2" t="inlineStr">
        <is>
          <t>Licensed for one contract or one organization. Customize freely. Company-wide deployment or resale requires an Acqlerate Team License (acqlerate.com/team).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F37"/>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2" customWidth="1" min="2" max="2"/>
    <col width="16" customWidth="1" min="3" max="3"/>
    <col width="46" customWidth="1" min="4" max="4"/>
    <col width="46" customWidth="1" min="5" max="5"/>
    <col width="46" customWidth="1" min="6" max="6"/>
  </cols>
  <sheetData>
    <row r="2">
      <c r="B2" s="4" t="inlineStr">
        <is>
          <t>Rating Decoder: What Each Rating Requires, by Area</t>
        </is>
      </c>
    </row>
    <row r="3">
      <c r="B3" s="5" t="inlineStr">
        <is>
          <t>The FAR definition is one column. What the Assessing Official actually has to be able to write down is the other. The gap between them is where Very Good becomes Satisfactory.</t>
        </is>
      </c>
    </row>
    <row r="5">
      <c r="B5" s="6" t="inlineStr">
        <is>
          <t>Area</t>
        </is>
      </c>
      <c r="C5" s="6" t="inlineStr">
        <is>
          <t>Rating</t>
        </is>
      </c>
      <c r="D5" s="6" t="inlineStr">
        <is>
          <t>What FAR 42.1503 says</t>
        </is>
      </c>
      <c r="E5" s="6" t="inlineStr">
        <is>
          <t>What the AO has to be able to write down</t>
        </is>
      </c>
      <c r="F5" s="6" t="inlineStr">
        <is>
          <t>Why deserving contractors get the rating below</t>
        </is>
      </c>
    </row>
    <row r="6" ht="64" customHeight="1">
      <c r="B6" s="7" t="inlineStr">
        <is>
          <t>Quality</t>
        </is>
      </c>
      <c r="C6" s="8" t="inlineStr">
        <is>
          <t>Exceptional</t>
        </is>
      </c>
      <c r="D6" s="9" t="inlineStr">
        <is>
          <t>Performance meets contractual requirements and exceeds many to the Government’s benefit. No significant weaknesses.</t>
        </is>
      </c>
      <c r="E6" s="9" t="inlineStr">
        <is>
          <t>Specific deliverables or outcomes that exceeded the spec, with a measured benefit: defect rates below the requirement by a stated margin, rework avoided, customer time saved. Several instances, not one.</t>
        </is>
      </c>
      <c r="F6" s="9" t="inlineStr">
        <is>
          <t>The AO agrees you were excellent but cannot cite the specific instances, because you never wrote them down and sent them. Exceptional needs a list.</t>
        </is>
      </c>
    </row>
    <row r="7" ht="64" customHeight="1">
      <c r="B7" s="7" t="inlineStr">
        <is>
          <t>Quality</t>
        </is>
      </c>
      <c r="C7" s="8" t="inlineStr">
        <is>
          <t>Very Good</t>
        </is>
      </c>
      <c r="D7" s="9" t="inlineStr">
        <is>
          <t>Performance meets contractual requirements and exceeds some to the Government’s benefit. No significant weaknesses.</t>
        </is>
      </c>
      <c r="E7" s="9" t="inlineStr">
        <is>
          <t>At least a few named instances where quality exceeded the requirement, with a benefit the AO can describe in a sentence. Zero significant quality findings.</t>
        </is>
      </c>
      <c r="F7" s="9" t="inlineStr">
        <is>
          <t>You exceeded requirements but nobody told the COR at the time. Six months later it reads as "did the job." Very Good needs contemporaneous evidence.</t>
        </is>
      </c>
    </row>
    <row r="8" ht="64" customHeight="1">
      <c r="B8" s="7" t="inlineStr">
        <is>
          <t>Quality</t>
        </is>
      </c>
      <c r="C8" s="10" t="inlineStr">
        <is>
          <t>Satisfactory</t>
        </is>
      </c>
      <c r="D8" s="9" t="inlineStr">
        <is>
          <t>Performance meets contractual requirements. Minor problems, if any, and corrective actions were effective.</t>
        </is>
      </c>
      <c r="E8" s="9" t="inlineStr">
        <is>
          <t>Deliverables accepted. Any rejections were corrected promptly. No pattern.</t>
        </is>
      </c>
      <c r="F8" s="9" t="inlineStr">
        <is>
          <t>You met the contract. This is the rating for meeting the contract. It is not a criticism; it is also not a discriminator on the next bid.</t>
        </is>
      </c>
    </row>
    <row r="9" ht="64" customHeight="1">
      <c r="B9" s="7" t="inlineStr">
        <is>
          <t>Quality</t>
        </is>
      </c>
      <c r="C9" s="11" t="inlineStr">
        <is>
          <t>Marginal</t>
        </is>
      </c>
      <c r="D9" s="9" t="inlineStr">
        <is>
          <t>Performance does not meet some contractual requirements. A significant weakness that corrective action has not yet fixed.</t>
        </is>
      </c>
      <c r="E9" s="9" t="inlineStr">
        <is>
          <t>A rejected deliverable or quality finding that was not fully corrected in the period.</t>
        </is>
      </c>
      <c r="F9" s="9" t="inlineStr">
        <is>
          <t>A single significant problem that you fixed, but the fix landed after the rating period closed. Timing matters.</t>
        </is>
      </c>
    </row>
    <row r="10" ht="64" customHeight="1">
      <c r="B10" s="7" t="inlineStr">
        <is>
          <t>Quality</t>
        </is>
      </c>
      <c r="C10" s="11" t="inlineStr">
        <is>
          <t>Unsatisfactory</t>
        </is>
      </c>
      <c r="D10" s="9" t="inlineStr">
        <is>
          <t>Performance does not meet most contractual requirements. Serious problems; corrective actions ineffective.</t>
        </is>
      </c>
      <c r="E10" s="9" t="inlineStr">
        <is>
          <t>Repeated rejections; a corrective action plan that did not work.</t>
        </is>
      </c>
      <c r="F10" s="9" t="inlineStr">
        <is>
          <t>Usually not a surprise. If it is, the interim check-in was skipped.</t>
        </is>
      </c>
    </row>
    <row r="11" ht="64" customHeight="1">
      <c r="B11" s="7" t="inlineStr">
        <is>
          <t>Schedule</t>
        </is>
      </c>
      <c r="C11" s="8" t="inlineStr">
        <is>
          <t>Exceptional</t>
        </is>
      </c>
      <c r="D11" s="9" t="inlineStr">
        <is>
          <t>Performance meets contractual requirements and exceeds many to the Government’s benefit. No significant weaknesses.</t>
        </is>
      </c>
      <c r="E11" s="9" t="inlineStr">
        <is>
          <t>Milestones delivered early with a stated benefit to the Government (earlier fielding, freed resources). Proactive schedule risk management the AO witnessed.</t>
        </is>
      </c>
      <c r="F11" s="9" t="inlineStr">
        <is>
          <t>The AO agrees you were excellent but cannot cite the specific instances, because you never wrote them down and sent them. Exceptional needs a list.</t>
        </is>
      </c>
    </row>
    <row r="12" ht="64" customHeight="1">
      <c r="B12" s="7" t="inlineStr">
        <is>
          <t>Schedule</t>
        </is>
      </c>
      <c r="C12" s="8" t="inlineStr">
        <is>
          <t>Very Good</t>
        </is>
      </c>
      <c r="D12" s="9" t="inlineStr">
        <is>
          <t>Performance meets contractual requirements and exceeds some to the Government’s benefit. No significant weaknesses.</t>
        </is>
      </c>
      <c r="E12" s="9" t="inlineStr">
        <is>
          <t>All milestones on time, some early. Schedule risks identified by you before the Government saw them.</t>
        </is>
      </c>
      <c r="F12" s="9" t="inlineStr">
        <is>
          <t>You exceeded requirements but nobody told the COR at the time. Six months later it reads as "did the job." Very Good needs contemporaneous evidence.</t>
        </is>
      </c>
    </row>
    <row r="13" ht="64" customHeight="1">
      <c r="B13" s="7" t="inlineStr">
        <is>
          <t>Schedule</t>
        </is>
      </c>
      <c r="C13" s="10" t="inlineStr">
        <is>
          <t>Satisfactory</t>
        </is>
      </c>
      <c r="D13" s="9" t="inlineStr">
        <is>
          <t>Performance meets contractual requirements. Minor problems, if any, and corrective actions were effective.</t>
        </is>
      </c>
      <c r="E13" s="9" t="inlineStr">
        <is>
          <t>Milestones met. Any slip was recovered and did not affect the Government.</t>
        </is>
      </c>
      <c r="F13" s="9" t="inlineStr">
        <is>
          <t>You met the contract. This is the rating for meeting the contract. It is not a criticism; it is also not a discriminator on the next bid.</t>
        </is>
      </c>
    </row>
    <row r="14" ht="64" customHeight="1">
      <c r="B14" s="7" t="inlineStr">
        <is>
          <t>Schedule</t>
        </is>
      </c>
      <c r="C14" s="11" t="inlineStr">
        <is>
          <t>Marginal</t>
        </is>
      </c>
      <c r="D14" s="9" t="inlineStr">
        <is>
          <t>Performance does not meet some contractual requirements. A significant weakness that corrective action has not yet fixed.</t>
        </is>
      </c>
      <c r="E14" s="9" t="inlineStr">
        <is>
          <t>A missed milestone that affected the Government, with recovery still in progress.</t>
        </is>
      </c>
      <c r="F14" s="9" t="inlineStr">
        <is>
          <t>A single significant problem that you fixed, but the fix landed after the rating period closed. Timing matters.</t>
        </is>
      </c>
    </row>
    <row r="15" ht="64" customHeight="1">
      <c r="B15" s="7" t="inlineStr">
        <is>
          <t>Schedule</t>
        </is>
      </c>
      <c r="C15" s="11" t="inlineStr">
        <is>
          <t>Unsatisfactory</t>
        </is>
      </c>
      <c r="D15" s="9" t="inlineStr">
        <is>
          <t>Performance does not meet most contractual requirements. Serious problems; corrective actions ineffective.</t>
        </is>
      </c>
      <c r="E15" s="9" t="inlineStr">
        <is>
          <t>Multiple missed milestones; Government mission affected.</t>
        </is>
      </c>
      <c r="F15" s="9" t="inlineStr">
        <is>
          <t>Usually not a surprise. If it is, the interim check-in was skipped.</t>
        </is>
      </c>
    </row>
    <row r="16" ht="64" customHeight="1">
      <c r="B16" s="7" t="inlineStr">
        <is>
          <t>Cost Control</t>
        </is>
      </c>
      <c r="C16" s="8" t="inlineStr">
        <is>
          <t>Exceptional</t>
        </is>
      </c>
      <c r="D16" s="9" t="inlineStr">
        <is>
          <t>Performance meets contractual requirements and exceeds many to the Government’s benefit. No significant weaknesses.</t>
        </is>
      </c>
      <c r="E16" s="9" t="inlineStr">
        <is>
          <t>Underran with documented savings returned or repurposed. Cost data timely and accurate every period. Cost-saving initiatives you proposed and the Government accepted.</t>
        </is>
      </c>
      <c r="F16" s="9" t="inlineStr">
        <is>
          <t>The AO agrees you were excellent but cannot cite the specific instances, because you never wrote them down and sent them. Exceptional needs a list.</t>
        </is>
      </c>
    </row>
    <row r="17" ht="64" customHeight="1">
      <c r="B17" s="7" t="inlineStr">
        <is>
          <t>Cost Control</t>
        </is>
      </c>
      <c r="C17" s="8" t="inlineStr">
        <is>
          <t>Very Good</t>
        </is>
      </c>
      <c r="D17" s="9" t="inlineStr">
        <is>
          <t>Performance meets contractual requirements and exceeds some to the Government’s benefit. No significant weaknesses.</t>
        </is>
      </c>
      <c r="E17" s="9" t="inlineStr">
        <is>
          <t>On budget with accurate forecasting. At least one instance where you flagged a cost risk early or found a saving.</t>
        </is>
      </c>
      <c r="F17" s="9" t="inlineStr">
        <is>
          <t>You exceeded requirements but nobody told the COR at the time. Six months later it reads as "did the job." Very Good needs contemporaneous evidence.</t>
        </is>
      </c>
    </row>
    <row r="18" ht="64" customHeight="1">
      <c r="B18" s="7" t="inlineStr">
        <is>
          <t>Cost Control</t>
        </is>
      </c>
      <c r="C18" s="10" t="inlineStr">
        <is>
          <t>Satisfactory</t>
        </is>
      </c>
      <c r="D18" s="9" t="inlineStr">
        <is>
          <t>Performance meets contractual requirements. Minor problems, if any, and corrective actions were effective.</t>
        </is>
      </c>
      <c r="E18" s="9" t="inlineStr">
        <is>
          <t>Within budget. Invoices and cost reports accurate and on time.</t>
        </is>
      </c>
      <c r="F18" s="9" t="inlineStr">
        <is>
          <t>You met the contract. This is the rating for meeting the contract. It is not a criticism; it is also not a discriminator on the next bid.</t>
        </is>
      </c>
    </row>
    <row r="19" ht="64" customHeight="1">
      <c r="B19" s="7" t="inlineStr">
        <is>
          <t>Cost Control</t>
        </is>
      </c>
      <c r="C19" s="11" t="inlineStr">
        <is>
          <t>Marginal</t>
        </is>
      </c>
      <c r="D19" s="9" t="inlineStr">
        <is>
          <t>Performance does not meet some contractual requirements. A significant weakness that corrective action has not yet fixed.</t>
        </is>
      </c>
      <c r="E19" s="9" t="inlineStr">
        <is>
          <t>An overrun or a cost reporting problem that required Government intervention.</t>
        </is>
      </c>
      <c r="F19" s="9" t="inlineStr">
        <is>
          <t>A single significant problem that you fixed, but the fix landed after the rating period closed. Timing matters.</t>
        </is>
      </c>
    </row>
    <row r="20" ht="64" customHeight="1">
      <c r="B20" s="7" t="inlineStr">
        <is>
          <t>Cost Control</t>
        </is>
      </c>
      <c r="C20" s="11" t="inlineStr">
        <is>
          <t>Unsatisfactory</t>
        </is>
      </c>
      <c r="D20" s="9" t="inlineStr">
        <is>
          <t>Performance does not meet most contractual requirements. Serious problems; corrective actions ineffective.</t>
        </is>
      </c>
      <c r="E20" s="9" t="inlineStr">
        <is>
          <t>Significant overrun; unreliable cost data.</t>
        </is>
      </c>
      <c r="F20" s="9" t="inlineStr">
        <is>
          <t>Usually not a surprise. If it is, the interim check-in was skipped.</t>
        </is>
      </c>
    </row>
    <row r="21" ht="64" customHeight="1">
      <c r="B21" s="7" t="inlineStr">
        <is>
          <t>Management</t>
        </is>
      </c>
      <c r="C21" s="8" t="inlineStr">
        <is>
          <t>Exceptional</t>
        </is>
      </c>
      <c r="D21" s="9" t="inlineStr">
        <is>
          <t>Performance meets contractual requirements and exceeds many to the Government’s benefit. No significant weaknesses.</t>
        </is>
      </c>
      <c r="E21" s="9" t="inlineStr">
        <is>
          <t>Key personnel stable all period. Problems solved before the Government had to act. Communication the AO would describe as a model.</t>
        </is>
      </c>
      <c r="F21" s="9" t="inlineStr">
        <is>
          <t>The AO agrees you were excellent but cannot cite the specific instances, because you never wrote them down and sent them. Exceptional needs a list.</t>
        </is>
      </c>
    </row>
    <row r="22" ht="64" customHeight="1">
      <c r="B22" s="7" t="inlineStr">
        <is>
          <t>Management</t>
        </is>
      </c>
      <c r="C22" s="8" t="inlineStr">
        <is>
          <t>Very Good</t>
        </is>
      </c>
      <c r="D22" s="9" t="inlineStr">
        <is>
          <t>Performance meets contractual requirements and exceeds some to the Government’s benefit. No significant weaknesses.</t>
        </is>
      </c>
      <c r="E22" s="9" t="inlineStr">
        <is>
          <t>Key personnel stable or replaced without gap. Proactive communication on issues. Subcontractors managed without Government involvement.</t>
        </is>
      </c>
      <c r="F22" s="9" t="inlineStr">
        <is>
          <t>You exceeded requirements but nobody told the COR at the time. Six months later it reads as "did the job." Very Good needs contemporaneous evidence.</t>
        </is>
      </c>
    </row>
    <row r="23" ht="64" customHeight="1">
      <c r="B23" s="7" t="inlineStr">
        <is>
          <t>Management</t>
        </is>
      </c>
      <c r="C23" s="10" t="inlineStr">
        <is>
          <t>Satisfactory</t>
        </is>
      </c>
      <c r="D23" s="9" t="inlineStr">
        <is>
          <t>Performance meets contractual requirements. Minor problems, if any, and corrective actions were effective.</t>
        </is>
      </c>
      <c r="E23" s="9" t="inlineStr">
        <is>
          <t>Staffed as proposed. Issues raised and resolved. Reports on time.</t>
        </is>
      </c>
      <c r="F23" s="9" t="inlineStr">
        <is>
          <t>You met the contract. This is the rating for meeting the contract. It is not a criticism; it is also not a discriminator on the next bid.</t>
        </is>
      </c>
    </row>
    <row r="24" ht="64" customHeight="1">
      <c r="B24" s="7" t="inlineStr">
        <is>
          <t>Management</t>
        </is>
      </c>
      <c r="C24" s="11" t="inlineStr">
        <is>
          <t>Marginal</t>
        </is>
      </c>
      <c r="D24" s="9" t="inlineStr">
        <is>
          <t>Performance does not meet some contractual requirements. A significant weakness that corrective action has not yet fixed.</t>
        </is>
      </c>
      <c r="E24" s="9" t="inlineStr">
        <is>
          <t>Key personnel gap, or an issue the Government had to escalate.</t>
        </is>
      </c>
      <c r="F24" s="9" t="inlineStr">
        <is>
          <t>A single significant problem that you fixed, but the fix landed after the rating period closed. Timing matters.</t>
        </is>
      </c>
    </row>
    <row r="25" ht="64" customHeight="1">
      <c r="B25" s="7" t="inlineStr">
        <is>
          <t>Management</t>
        </is>
      </c>
      <c r="C25" s="11" t="inlineStr">
        <is>
          <t>Unsatisfactory</t>
        </is>
      </c>
      <c r="D25" s="9" t="inlineStr">
        <is>
          <t>Performance does not meet most contractual requirements. Serious problems; corrective actions ineffective.</t>
        </is>
      </c>
      <c r="E25" s="9" t="inlineStr">
        <is>
          <t>Staffing failures affecting performance; unresponsive management.</t>
        </is>
      </c>
      <c r="F25" s="9" t="inlineStr">
        <is>
          <t>Usually not a surprise. If it is, the interim check-in was skipped.</t>
        </is>
      </c>
    </row>
    <row r="26" ht="64" customHeight="1">
      <c r="B26" s="7" t="inlineStr">
        <is>
          <t>Small Business Utilization</t>
        </is>
      </c>
      <c r="C26" s="8" t="inlineStr">
        <is>
          <t>Exceptional</t>
        </is>
      </c>
      <c r="D26" s="9" t="inlineStr">
        <is>
          <t>Performance meets contractual requirements and exceeds many to the Government’s benefit. No significant weaknesses.</t>
        </is>
      </c>
      <c r="E26" s="9" t="inlineStr">
        <is>
          <t>Exceeded subcontracting plan goals with documented outreach beyond the plan and mentoring or development of small business subs.</t>
        </is>
      </c>
      <c r="F26" s="9" t="inlineStr">
        <is>
          <t>The AO agrees you were excellent but cannot cite the specific instances, because you never wrote them down and sent them. Exceptional needs a list.</t>
        </is>
      </c>
    </row>
    <row r="27" ht="64" customHeight="1">
      <c r="B27" s="7" t="inlineStr">
        <is>
          <t>Small Business Utilization</t>
        </is>
      </c>
      <c r="C27" s="8" t="inlineStr">
        <is>
          <t>Very Good</t>
        </is>
      </c>
      <c r="D27" s="9" t="inlineStr">
        <is>
          <t>Performance meets contractual requirements and exceeds some to the Government’s benefit. No significant weaknesses.</t>
        </is>
      </c>
      <c r="E27" s="9" t="inlineStr">
        <is>
          <t>Met all plan goals; exceeded some. Reports (ISR/SSR) on time and accurate.</t>
        </is>
      </c>
      <c r="F27" s="9" t="inlineStr">
        <is>
          <t>You exceeded requirements but nobody told the COR at the time. Six months later it reads as "did the job." Very Good needs contemporaneous evidence.</t>
        </is>
      </c>
    </row>
    <row r="28" ht="64" customHeight="1">
      <c r="B28" s="7" t="inlineStr">
        <is>
          <t>Small Business Utilization</t>
        </is>
      </c>
      <c r="C28" s="10" t="inlineStr">
        <is>
          <t>Satisfactory</t>
        </is>
      </c>
      <c r="D28" s="9" t="inlineStr">
        <is>
          <t>Performance meets contractual requirements. Minor problems, if any, and corrective actions were effective.</t>
        </is>
      </c>
      <c r="E28" s="9" t="inlineStr">
        <is>
          <t>Met plan goals or good-faith effort documented. Reports on time.</t>
        </is>
      </c>
      <c r="F28" s="9" t="inlineStr">
        <is>
          <t>You met the contract. This is the rating for meeting the contract. It is not a criticism; it is also not a discriminator on the next bid.</t>
        </is>
      </c>
    </row>
    <row r="29" ht="64" customHeight="1">
      <c r="B29" s="7" t="inlineStr">
        <is>
          <t>Small Business Utilization</t>
        </is>
      </c>
      <c r="C29" s="11" t="inlineStr">
        <is>
          <t>Marginal</t>
        </is>
      </c>
      <c r="D29" s="9" t="inlineStr">
        <is>
          <t>Performance does not meet some contractual requirements. A significant weakness that corrective action has not yet fixed.</t>
        </is>
      </c>
      <c r="E29" s="9" t="inlineStr">
        <is>
          <t>Missed a goal without documented good-faith effort, or a late report.</t>
        </is>
      </c>
      <c r="F29" s="9" t="inlineStr">
        <is>
          <t>A single significant problem that you fixed, but the fix landed after the rating period closed. Timing matters.</t>
        </is>
      </c>
    </row>
    <row r="30" ht="64" customHeight="1">
      <c r="B30" s="7" t="inlineStr">
        <is>
          <t>Small Business Utilization</t>
        </is>
      </c>
      <c r="C30" s="11" t="inlineStr">
        <is>
          <t>Unsatisfactory</t>
        </is>
      </c>
      <c r="D30" s="9" t="inlineStr">
        <is>
          <t>Performance does not meet most contractual requirements. Serious problems; corrective actions ineffective.</t>
        </is>
      </c>
      <c r="E30" s="9" t="inlineStr">
        <is>
          <t>Failed the plan; no good-faith effort shown.</t>
        </is>
      </c>
      <c r="F30" s="9" t="inlineStr">
        <is>
          <t>Usually not a surprise. If it is, the interim check-in was skipped.</t>
        </is>
      </c>
    </row>
    <row r="31" ht="64" customHeight="1">
      <c r="B31" s="7" t="inlineStr">
        <is>
          <t>Regulatory Compliance</t>
        </is>
      </c>
      <c r="C31" s="8" t="inlineStr">
        <is>
          <t>Exceptional</t>
        </is>
      </c>
      <c r="D31" s="9" t="inlineStr">
        <is>
          <t>Performance meets contractual requirements and exceeds many to the Government’s benefit. No significant weaknesses.</t>
        </is>
      </c>
      <c r="E31" s="9" t="inlineStr">
        <is>
          <t>Full compliance plus proactive identification of compliance risks (CMMC, export control, safety) with mitigation before they became issues.</t>
        </is>
      </c>
      <c r="F31" s="9" t="inlineStr">
        <is>
          <t>The AO agrees you were excellent but cannot cite the specific instances, because you never wrote them down and sent them. Exceptional needs a list.</t>
        </is>
      </c>
    </row>
    <row r="32" ht="64" customHeight="1">
      <c r="B32" s="7" t="inlineStr">
        <is>
          <t>Regulatory Compliance</t>
        </is>
      </c>
      <c r="C32" s="8" t="inlineStr">
        <is>
          <t>Very Good</t>
        </is>
      </c>
      <c r="D32" s="9" t="inlineStr">
        <is>
          <t>Performance meets contractual requirements and exceeds some to the Government’s benefit. No significant weaknesses.</t>
        </is>
      </c>
      <c r="E32" s="9" t="inlineStr">
        <is>
          <t>Full compliance; at least one instance of raising a compliance matter before being asked.</t>
        </is>
      </c>
      <c r="F32" s="9" t="inlineStr">
        <is>
          <t>You exceeded requirements but nobody told the COR at the time. Six months later it reads as "did the job." Very Good needs contemporaneous evidence.</t>
        </is>
      </c>
    </row>
    <row r="33" ht="64" customHeight="1">
      <c r="B33" s="7" t="inlineStr">
        <is>
          <t>Regulatory Compliance</t>
        </is>
      </c>
      <c r="C33" s="10" t="inlineStr">
        <is>
          <t>Satisfactory</t>
        </is>
      </c>
      <c r="D33" s="9" t="inlineStr">
        <is>
          <t>Performance meets contractual requirements. Minor problems, if any, and corrective actions were effective.</t>
        </is>
      </c>
      <c r="E33" s="9" t="inlineStr">
        <is>
          <t>No compliance findings. Required certifications and reports current.</t>
        </is>
      </c>
      <c r="F33" s="9" t="inlineStr">
        <is>
          <t>You met the contract. This is the rating for meeting the contract. It is not a criticism; it is also not a discriminator on the next bid.</t>
        </is>
      </c>
    </row>
    <row r="34" ht="64" customHeight="1">
      <c r="B34" s="7" t="inlineStr">
        <is>
          <t>Regulatory Compliance</t>
        </is>
      </c>
      <c r="C34" s="11" t="inlineStr">
        <is>
          <t>Marginal</t>
        </is>
      </c>
      <c r="D34" s="9" t="inlineStr">
        <is>
          <t>Performance does not meet some contractual requirements. A significant weakness that corrective action has not yet fixed.</t>
        </is>
      </c>
      <c r="E34" s="9" t="inlineStr">
        <is>
          <t>A compliance finding corrected in the period.</t>
        </is>
      </c>
      <c r="F34" s="9" t="inlineStr">
        <is>
          <t>A single significant problem that you fixed, but the fix landed after the rating period closed. Timing matters.</t>
        </is>
      </c>
    </row>
    <row r="35" ht="64" customHeight="1">
      <c r="B35" s="7" t="inlineStr">
        <is>
          <t>Regulatory Compliance</t>
        </is>
      </c>
      <c r="C35" s="11" t="inlineStr">
        <is>
          <t>Unsatisfactory</t>
        </is>
      </c>
      <c r="D35" s="9" t="inlineStr">
        <is>
          <t>Performance does not meet most contractual requirements. Serious problems; corrective actions ineffective.</t>
        </is>
      </c>
      <c r="E35" s="9" t="inlineStr">
        <is>
          <t>Uncorrected compliance failure or a finding with contractual consequence.</t>
        </is>
      </c>
      <c r="F35" s="9" t="inlineStr">
        <is>
          <t>Usually not a surprise. If it is, the interim check-in was skipped.</t>
        </is>
      </c>
    </row>
    <row r="37">
      <c r="B37" s="12" t="inlineStr">
        <is>
          <t>Acqlerate CPARS Playbook · acqlerate.com · September 2026 Edition</t>
        </is>
      </c>
    </row>
  </sheetData>
  <sheetProtection selectLockedCells="0" selectUnlockedCells="0" sheet="1" objects="0" insertRows="1" insertHyperlinks="1" autoFilter="1" scenarios="0" formatColumns="1" deleteColumns="1" insertColumns="1" pivotTables="1" deleteRows="1" formatCells="1" formatRows="1" sort="1"/>
  <autoFilter ref="B5:F3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I58"/>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12" customWidth="1" min="2" max="2"/>
    <col width="22" customWidth="1" min="3" max="3"/>
    <col width="10" customWidth="1" min="4" max="4"/>
    <col width="48" customWidth="1" min="5" max="5"/>
    <col width="40" customWidth="1" min="6" max="6"/>
    <col width="16" customWidth="1" min="7" max="7"/>
    <col width="14" customWidth="1" min="8" max="8"/>
    <col width="14" customWidth="1" min="9" max="9"/>
  </cols>
  <sheetData>
    <row r="2">
      <c r="B2" s="4" t="inlineStr">
        <is>
          <t>Evidence Log: The File That Decides Your Rating</t>
        </is>
      </c>
    </row>
    <row r="3">
      <c r="B3" s="5" t="inlineStr">
        <is>
          <t>One row per performance event, positive or negative. Send the positive ones to your COR when they happen. Fix and close the negative ones before the period ends. Monthly, minimum.</t>
        </is>
      </c>
    </row>
    <row r="5">
      <c r="B5" s="6" t="inlineStr">
        <is>
          <t>Date</t>
        </is>
      </c>
      <c r="C5" s="6" t="inlineStr">
        <is>
          <t>Area</t>
        </is>
      </c>
      <c r="D5" s="6" t="inlineStr">
        <is>
          <t>+ / −</t>
        </is>
      </c>
      <c r="E5" s="6" t="inlineStr">
        <is>
          <t>What happened (specific, measurable)</t>
        </is>
      </c>
      <c r="F5" s="6" t="inlineStr">
        <is>
          <t>Benefit to the Government / impact</t>
        </is>
      </c>
      <c r="G5" s="6" t="inlineStr">
        <is>
          <t>Shared with COR?</t>
        </is>
      </c>
      <c r="H5" s="6" t="inlineStr">
        <is>
          <t>Documented where</t>
        </is>
      </c>
      <c r="I5" s="6" t="inlineStr">
        <is>
          <t>Status</t>
        </is>
      </c>
    </row>
    <row r="6" ht="48" customHeight="1">
      <c r="B6" s="26" t="n">
        <v>46217</v>
      </c>
      <c r="C6" s="14" t="inlineStr">
        <is>
          <t>Schedule</t>
        </is>
      </c>
      <c r="D6" s="15" t="inlineStr">
        <is>
          <t>+</t>
        </is>
      </c>
      <c r="E6" s="14" t="inlineStr">
        <is>
          <t>Delivered Increment 2 test readiness package 9 working days ahead of the CDRL due date.</t>
        </is>
      </c>
      <c r="F6" s="14" t="inlineStr">
        <is>
          <t>Government test team started dry runs a week early; freed range time worth an estimated $40K.</t>
        </is>
      </c>
      <c r="G6" s="15" t="inlineStr">
        <is>
          <t>Yes</t>
        </is>
      </c>
      <c r="H6" s="14" t="inlineStr">
        <is>
          <t>Email to COR 7/14; CDRL A012 transmittal</t>
        </is>
      </c>
      <c r="I6" s="15" t="inlineStr">
        <is>
          <t>Closed</t>
        </is>
      </c>
    </row>
    <row r="7" ht="48" customHeight="1">
      <c r="B7" s="26" t="n">
        <v>46231</v>
      </c>
      <c r="C7" s="14" t="inlineStr">
        <is>
          <t>Quality</t>
        </is>
      </c>
      <c r="D7" s="15" t="inlineStr">
        <is>
          <t>+</t>
        </is>
      </c>
      <c r="E7" s="14" t="inlineStr">
        <is>
          <t>Zero defects on Increment 2 software acceptance testing, 412 test cases.</t>
        </is>
      </c>
      <c r="F7" s="14" t="inlineStr">
        <is>
          <t>No rework cycle; acceptance signed same day.</t>
        </is>
      </c>
      <c r="G7" s="15" t="inlineStr">
        <is>
          <t>Yes</t>
        </is>
      </c>
      <c r="H7" s="14" t="inlineStr">
        <is>
          <t>Test report TR-2026-07</t>
        </is>
      </c>
      <c r="I7" s="15" t="inlineStr">
        <is>
          <t>Closed</t>
        </is>
      </c>
    </row>
    <row r="8" ht="48" customHeight="1">
      <c r="B8" s="26" t="n">
        <v>46239</v>
      </c>
      <c r="C8" s="14" t="inlineStr">
        <is>
          <t>Management</t>
        </is>
      </c>
      <c r="D8" s="15" t="inlineStr">
        <is>
          <t>−</t>
        </is>
      </c>
      <c r="E8" s="14" t="inlineStr">
        <is>
          <t>Deputy PM resigned; position vacant.</t>
        </is>
      </c>
      <c r="F8" s="14" t="inlineStr">
        <is>
          <t>Risk to schedule reviews and stakeholder communication.</t>
        </is>
      </c>
      <c r="G8" s="15" t="inlineStr">
        <is>
          <t>Yes</t>
        </is>
      </c>
      <c r="H8" s="14" t="inlineStr">
        <is>
          <t>Letter to CO 8/6; resolved 8/19</t>
        </is>
      </c>
      <c r="I8" s="15" t="inlineStr">
        <is>
          <t>Closed</t>
        </is>
      </c>
    </row>
    <row r="9" ht="48" customHeight="1">
      <c r="B9" s="26" t="n">
        <v>46253</v>
      </c>
      <c r="C9" s="14" t="inlineStr">
        <is>
          <t>Management</t>
        </is>
      </c>
      <c r="D9" s="15" t="inlineStr">
        <is>
          <t>+</t>
        </is>
      </c>
      <c r="E9" s="14" t="inlineStr">
        <is>
          <t>Deputy PM backfilled within 10 business days with candidate meeting all key personnel qualifications; CO approved substitution.</t>
        </is>
      </c>
      <c r="F9" s="14" t="inlineStr">
        <is>
          <t>No gap in program reviews; Government did not have to intervene.</t>
        </is>
      </c>
      <c r="G9" s="15" t="inlineStr">
        <is>
          <t>Yes</t>
        </is>
      </c>
      <c r="H9" s="14" t="inlineStr">
        <is>
          <t>CO approval 8/19</t>
        </is>
      </c>
      <c r="I9" s="15" t="inlineStr">
        <is>
          <t>Closed</t>
        </is>
      </c>
    </row>
    <row r="10" ht="48" customHeight="1">
      <c r="B10" s="26" t="n">
        <v>46264</v>
      </c>
      <c r="C10" s="14" t="inlineStr">
        <is>
          <t>Cost Control</t>
        </is>
      </c>
      <c r="D10" s="15" t="inlineStr">
        <is>
          <t>+</t>
        </is>
      </c>
      <c r="E10" s="14" t="inlineStr">
        <is>
          <t>Identified $85K underrun in Year 2 travel; proposed repurposing to accelerate Increment 3 tooling. Government accepted.</t>
        </is>
      </c>
      <c r="F10" s="14" t="inlineStr">
        <is>
          <t>Increment 3 tooling delivered a quarter early at no added cost.</t>
        </is>
      </c>
      <c r="G10" s="15" t="inlineStr">
        <is>
          <t>Yes</t>
        </is>
      </c>
      <c r="H10" s="14" t="inlineStr">
        <is>
          <t>Mod P00007</t>
        </is>
      </c>
      <c r="I10" s="15" t="inlineStr">
        <is>
          <t>Closed</t>
        </is>
      </c>
    </row>
    <row r="11" ht="48" customHeight="1">
      <c r="B11" s="26" t="n">
        <v>46268</v>
      </c>
      <c r="C11" s="14" t="inlineStr">
        <is>
          <t>Regulatory Compliance</t>
        </is>
      </c>
      <c r="D11" s="15" t="inlineStr">
        <is>
          <t>+</t>
        </is>
      </c>
      <c r="E11" s="14" t="inlineStr">
        <is>
          <t>Posted a current CMMC Level 2 self-assessment in SPRS and closed the last POA&amp;M item 40 days early; confirmed both CUI-handling subcontractors are current.</t>
        </is>
      </c>
      <c r="F11" s="14" t="inlineStr">
        <is>
          <t>CO's SPRS check before the option exercise came back clean; the Government did not have to follow up.</t>
        </is>
      </c>
      <c r="G11" s="15" t="inlineStr">
        <is>
          <t>Yes</t>
        </is>
      </c>
      <c r="H11" s="14" t="inlineStr">
        <is>
          <t>Assessment certificate; email to COR 9/3</t>
        </is>
      </c>
      <c r="I11" s="15" t="inlineStr">
        <is>
          <t>Closed</t>
        </is>
      </c>
    </row>
    <row r="12">
      <c r="B12" s="14" t="n"/>
      <c r="C12" s="14" t="n"/>
      <c r="D12" s="14" t="n"/>
      <c r="E12" s="14" t="n"/>
      <c r="F12" s="14" t="n"/>
      <c r="G12" s="14" t="n"/>
      <c r="H12" s="14" t="n"/>
      <c r="I12" s="14" t="n"/>
    </row>
    <row r="13">
      <c r="B13" s="14" t="n"/>
      <c r="C13" s="14" t="n"/>
      <c r="D13" s="14" t="n"/>
      <c r="E13" s="14" t="n"/>
      <c r="F13" s="14" t="n"/>
      <c r="G13" s="14" t="n"/>
      <c r="H13" s="14" t="n"/>
      <c r="I13" s="14" t="n"/>
    </row>
    <row r="14">
      <c r="B14" s="14" t="n"/>
      <c r="C14" s="14" t="n"/>
      <c r="D14" s="14" t="n"/>
      <c r="E14" s="14" t="n"/>
      <c r="F14" s="14" t="n"/>
      <c r="G14" s="14" t="n"/>
      <c r="H14" s="14" t="n"/>
      <c r="I14" s="14" t="n"/>
    </row>
    <row r="15">
      <c r="B15" s="14" t="n"/>
      <c r="C15" s="14" t="n"/>
      <c r="D15" s="14" t="n"/>
      <c r="E15" s="14" t="n"/>
      <c r="F15" s="14" t="n"/>
      <c r="G15" s="14" t="n"/>
      <c r="H15" s="14" t="n"/>
      <c r="I15" s="14" t="n"/>
    </row>
    <row r="16">
      <c r="B16" s="14" t="n"/>
      <c r="C16" s="14" t="n"/>
      <c r="D16" s="14" t="n"/>
      <c r="E16" s="14" t="n"/>
      <c r="F16" s="14" t="n"/>
      <c r="G16" s="14" t="n"/>
      <c r="H16" s="14" t="n"/>
      <c r="I16" s="14" t="n"/>
    </row>
    <row r="17">
      <c r="B17" s="14" t="n"/>
      <c r="C17" s="14" t="n"/>
      <c r="D17" s="14" t="n"/>
      <c r="E17" s="14" t="n"/>
      <c r="F17" s="14" t="n"/>
      <c r="G17" s="14" t="n"/>
      <c r="H17" s="14" t="n"/>
      <c r="I17" s="14" t="n"/>
    </row>
    <row r="18">
      <c r="B18" s="14" t="n"/>
      <c r="C18" s="14" t="n"/>
      <c r="D18" s="14" t="n"/>
      <c r="E18" s="14" t="n"/>
      <c r="F18" s="14" t="n"/>
      <c r="G18" s="14" t="n"/>
      <c r="H18" s="14" t="n"/>
      <c r="I18" s="14" t="n"/>
    </row>
    <row r="19">
      <c r="B19" s="14" t="n"/>
      <c r="C19" s="14" t="n"/>
      <c r="D19" s="14" t="n"/>
      <c r="E19" s="14" t="n"/>
      <c r="F19" s="14" t="n"/>
      <c r="G19" s="14" t="n"/>
      <c r="H19" s="14" t="n"/>
      <c r="I19" s="14" t="n"/>
    </row>
    <row r="20">
      <c r="B20" s="14" t="n"/>
      <c r="C20" s="14" t="n"/>
      <c r="D20" s="14" t="n"/>
      <c r="E20" s="14" t="n"/>
      <c r="F20" s="14" t="n"/>
      <c r="G20" s="14" t="n"/>
      <c r="H20" s="14" t="n"/>
      <c r="I20" s="14" t="n"/>
    </row>
    <row r="21">
      <c r="B21" s="14" t="n"/>
      <c r="C21" s="14" t="n"/>
      <c r="D21" s="14" t="n"/>
      <c r="E21" s="14" t="n"/>
      <c r="F21" s="14" t="n"/>
      <c r="G21" s="14" t="n"/>
      <c r="H21" s="14" t="n"/>
      <c r="I21" s="14" t="n"/>
    </row>
    <row r="22">
      <c r="B22" s="14" t="n"/>
      <c r="C22" s="14" t="n"/>
      <c r="D22" s="14" t="n"/>
      <c r="E22" s="14" t="n"/>
      <c r="F22" s="14" t="n"/>
      <c r="G22" s="14" t="n"/>
      <c r="H22" s="14" t="n"/>
      <c r="I22" s="14" t="n"/>
    </row>
    <row r="23">
      <c r="B23" s="14" t="n"/>
      <c r="C23" s="14" t="n"/>
      <c r="D23" s="14" t="n"/>
      <c r="E23" s="14" t="n"/>
      <c r="F23" s="14" t="n"/>
      <c r="G23" s="14" t="n"/>
      <c r="H23" s="14" t="n"/>
      <c r="I23" s="14" t="n"/>
    </row>
    <row r="24">
      <c r="B24" s="14" t="n"/>
      <c r="C24" s="14" t="n"/>
      <c r="D24" s="14" t="n"/>
      <c r="E24" s="14" t="n"/>
      <c r="F24" s="14" t="n"/>
      <c r="G24" s="14" t="n"/>
      <c r="H24" s="14" t="n"/>
      <c r="I24" s="14" t="n"/>
    </row>
    <row r="25">
      <c r="B25" s="14" t="n"/>
      <c r="C25" s="14" t="n"/>
      <c r="D25" s="14" t="n"/>
      <c r="E25" s="14" t="n"/>
      <c r="F25" s="14" t="n"/>
      <c r="G25" s="14" t="n"/>
      <c r="H25" s="14" t="n"/>
      <c r="I25" s="14" t="n"/>
    </row>
    <row r="26">
      <c r="B26" s="14" t="n"/>
      <c r="C26" s="14" t="n"/>
      <c r="D26" s="14" t="n"/>
      <c r="E26" s="14" t="n"/>
      <c r="F26" s="14" t="n"/>
      <c r="G26" s="14" t="n"/>
      <c r="H26" s="14" t="n"/>
      <c r="I26" s="14" t="n"/>
    </row>
    <row r="27">
      <c r="B27" s="14" t="n"/>
      <c r="C27" s="14" t="n"/>
      <c r="D27" s="14" t="n"/>
      <c r="E27" s="14" t="n"/>
      <c r="F27" s="14" t="n"/>
      <c r="G27" s="14" t="n"/>
      <c r="H27" s="14" t="n"/>
      <c r="I27" s="14" t="n"/>
    </row>
    <row r="28">
      <c r="B28" s="14" t="n"/>
      <c r="C28" s="14" t="n"/>
      <c r="D28" s="14" t="n"/>
      <c r="E28" s="14" t="n"/>
      <c r="F28" s="14" t="n"/>
      <c r="G28" s="14" t="n"/>
      <c r="H28" s="14" t="n"/>
      <c r="I28" s="14" t="n"/>
    </row>
    <row r="29">
      <c r="B29" s="14" t="n"/>
      <c r="C29" s="14" t="n"/>
      <c r="D29" s="14" t="n"/>
      <c r="E29" s="14" t="n"/>
      <c r="F29" s="14" t="n"/>
      <c r="G29" s="14" t="n"/>
      <c r="H29" s="14" t="n"/>
      <c r="I29" s="14" t="n"/>
    </row>
    <row r="30">
      <c r="B30" s="14" t="n"/>
      <c r="C30" s="14" t="n"/>
      <c r="D30" s="14" t="n"/>
      <c r="E30" s="14" t="n"/>
      <c r="F30" s="14" t="n"/>
      <c r="G30" s="14" t="n"/>
      <c r="H30" s="14" t="n"/>
      <c r="I30" s="14" t="n"/>
    </row>
    <row r="31">
      <c r="B31" s="14" t="n"/>
      <c r="C31" s="14" t="n"/>
      <c r="D31" s="14" t="n"/>
      <c r="E31" s="14" t="n"/>
      <c r="F31" s="14" t="n"/>
      <c r="G31" s="14" t="n"/>
      <c r="H31" s="14" t="n"/>
      <c r="I31" s="14" t="n"/>
    </row>
    <row r="32">
      <c r="B32" s="14" t="n"/>
      <c r="C32" s="14" t="n"/>
      <c r="D32" s="14" t="n"/>
      <c r="E32" s="14" t="n"/>
      <c r="F32" s="14" t="n"/>
      <c r="G32" s="14" t="n"/>
      <c r="H32" s="14" t="n"/>
      <c r="I32" s="14" t="n"/>
    </row>
    <row r="33">
      <c r="B33" s="14" t="n"/>
      <c r="C33" s="14" t="n"/>
      <c r="D33" s="14" t="n"/>
      <c r="E33" s="14" t="n"/>
      <c r="F33" s="14" t="n"/>
      <c r="G33" s="14" t="n"/>
      <c r="H33" s="14" t="n"/>
      <c r="I33" s="14" t="n"/>
    </row>
    <row r="34">
      <c r="B34" s="14" t="n"/>
      <c r="C34" s="14" t="n"/>
      <c r="D34" s="14" t="n"/>
      <c r="E34" s="14" t="n"/>
      <c r="F34" s="14" t="n"/>
      <c r="G34" s="14" t="n"/>
      <c r="H34" s="14" t="n"/>
      <c r="I34" s="14" t="n"/>
    </row>
    <row r="35">
      <c r="B35" s="14" t="n"/>
      <c r="C35" s="14" t="n"/>
      <c r="D35" s="14" t="n"/>
      <c r="E35" s="14" t="n"/>
      <c r="F35" s="14" t="n"/>
      <c r="G35" s="14" t="n"/>
      <c r="H35" s="14" t="n"/>
      <c r="I35" s="14" t="n"/>
    </row>
    <row r="36">
      <c r="B36" s="14" t="n"/>
      <c r="C36" s="14" t="n"/>
      <c r="D36" s="14" t="n"/>
      <c r="E36" s="14" t="n"/>
      <c r="F36" s="14" t="n"/>
      <c r="G36" s="14" t="n"/>
      <c r="H36" s="14" t="n"/>
      <c r="I36" s="14" t="n"/>
    </row>
    <row r="37">
      <c r="B37" s="14" t="n"/>
      <c r="C37" s="14" t="n"/>
      <c r="D37" s="14" t="n"/>
      <c r="E37" s="14" t="n"/>
      <c r="F37" s="14" t="n"/>
      <c r="G37" s="14" t="n"/>
      <c r="H37" s="14" t="n"/>
      <c r="I37" s="14" t="n"/>
    </row>
    <row r="38">
      <c r="B38" s="14" t="n"/>
      <c r="C38" s="14" t="n"/>
      <c r="D38" s="14" t="n"/>
      <c r="E38" s="14" t="n"/>
      <c r="F38" s="14" t="n"/>
      <c r="G38" s="14" t="n"/>
      <c r="H38" s="14" t="n"/>
      <c r="I38" s="14" t="n"/>
    </row>
    <row r="39">
      <c r="B39" s="14" t="n"/>
      <c r="C39" s="14" t="n"/>
      <c r="D39" s="14" t="n"/>
      <c r="E39" s="14" t="n"/>
      <c r="F39" s="14" t="n"/>
      <c r="G39" s="14" t="n"/>
      <c r="H39" s="14" t="n"/>
      <c r="I39" s="14" t="n"/>
    </row>
    <row r="40">
      <c r="B40" s="14" t="n"/>
      <c r="C40" s="14" t="n"/>
      <c r="D40" s="14" t="n"/>
      <c r="E40" s="14" t="n"/>
      <c r="F40" s="14" t="n"/>
      <c r="G40" s="14" t="n"/>
      <c r="H40" s="14" t="n"/>
      <c r="I40" s="14" t="n"/>
    </row>
    <row r="41">
      <c r="B41" s="14" t="n"/>
      <c r="C41" s="14" t="n"/>
      <c r="D41" s="14" t="n"/>
      <c r="E41" s="14" t="n"/>
      <c r="F41" s="14" t="n"/>
      <c r="G41" s="14" t="n"/>
      <c r="H41" s="14" t="n"/>
      <c r="I41" s="14" t="n"/>
    </row>
    <row r="42">
      <c r="B42" s="14" t="n"/>
      <c r="C42" s="14" t="n"/>
      <c r="D42" s="14" t="n"/>
      <c r="E42" s="14" t="n"/>
      <c r="F42" s="14" t="n"/>
      <c r="G42" s="14" t="n"/>
      <c r="H42" s="14" t="n"/>
      <c r="I42" s="14" t="n"/>
    </row>
    <row r="43">
      <c r="B43" s="14" t="n"/>
      <c r="C43" s="14" t="n"/>
      <c r="D43" s="14" t="n"/>
      <c r="E43" s="14" t="n"/>
      <c r="F43" s="14" t="n"/>
      <c r="G43" s="14" t="n"/>
      <c r="H43" s="14" t="n"/>
      <c r="I43" s="14" t="n"/>
    </row>
    <row r="44">
      <c r="B44" s="14" t="n"/>
      <c r="C44" s="14" t="n"/>
      <c r="D44" s="14" t="n"/>
      <c r="E44" s="14" t="n"/>
      <c r="F44" s="14" t="n"/>
      <c r="G44" s="14" t="n"/>
      <c r="H44" s="14" t="n"/>
      <c r="I44" s="14" t="n"/>
    </row>
    <row r="45">
      <c r="B45" s="14" t="n"/>
      <c r="C45" s="14" t="n"/>
      <c r="D45" s="14" t="n"/>
      <c r="E45" s="14" t="n"/>
      <c r="F45" s="14" t="n"/>
      <c r="G45" s="14" t="n"/>
      <c r="H45" s="14" t="n"/>
      <c r="I45" s="14" t="n"/>
    </row>
    <row r="47">
      <c r="B47" s="16" t="inlineStr">
        <is>
          <t>TALLY BY AREA</t>
        </is>
      </c>
    </row>
    <row r="48">
      <c r="B48" s="6" t="inlineStr">
        <is>
          <t>Area</t>
        </is>
      </c>
      <c r="C48" s="6" t="inlineStr">
        <is>
          <t>Positive</t>
        </is>
      </c>
      <c r="D48" s="6" t="inlineStr">
        <is>
          <t>Negative</t>
        </is>
      </c>
      <c r="E48" s="6" t="inlineStr">
        <is>
          <t>Neg. still open</t>
        </is>
      </c>
      <c r="F48" s="6" t="inlineStr">
        <is>
          <t>Positive not yet shared</t>
        </is>
      </c>
    </row>
    <row r="49">
      <c r="B49" s="17" t="inlineStr">
        <is>
          <t>Quality</t>
        </is>
      </c>
      <c r="C49" s="18">
        <f>COUNTIFS($C$6:$C$45,$B49,$D$6:$D$45,"+")</f>
        <v/>
      </c>
      <c r="D49" s="18">
        <f>COUNTIFS($C$6:$C$45,$B49,$D$6:$D$45,"−")</f>
        <v/>
      </c>
      <c r="E49" s="18">
        <f>COUNTIFS($C$6:$C$45,$B49,$D$6:$D$45,"−",$I$6:$I$45,"Open")</f>
        <v/>
      </c>
      <c r="F49" s="18">
        <f>COUNTIFS($C$6:$C$45,$B49,$D$6:$D$45,"+",$G$6:$G$45,"No")</f>
        <v/>
      </c>
    </row>
    <row r="50">
      <c r="B50" s="17" t="inlineStr">
        <is>
          <t>Schedule</t>
        </is>
      </c>
      <c r="C50" s="18">
        <f>COUNTIFS($C$6:$C$45,$B50,$D$6:$D$45,"+")</f>
        <v/>
      </c>
      <c r="D50" s="18">
        <f>COUNTIFS($C$6:$C$45,$B50,$D$6:$D$45,"−")</f>
        <v/>
      </c>
      <c r="E50" s="18">
        <f>COUNTIFS($C$6:$C$45,$B50,$D$6:$D$45,"−",$I$6:$I$45,"Open")</f>
        <v/>
      </c>
      <c r="F50" s="18">
        <f>COUNTIFS($C$6:$C$45,$B50,$D$6:$D$45,"+",$G$6:$G$45,"No")</f>
        <v/>
      </c>
    </row>
    <row r="51">
      <c r="B51" s="17" t="inlineStr">
        <is>
          <t>Cost Control</t>
        </is>
      </c>
      <c r="C51" s="18">
        <f>COUNTIFS($C$6:$C$45,$B51,$D$6:$D$45,"+")</f>
        <v/>
      </c>
      <c r="D51" s="18">
        <f>COUNTIFS($C$6:$C$45,$B51,$D$6:$D$45,"−")</f>
        <v/>
      </c>
      <c r="E51" s="18">
        <f>COUNTIFS($C$6:$C$45,$B51,$D$6:$D$45,"−",$I$6:$I$45,"Open")</f>
        <v/>
      </c>
      <c r="F51" s="18">
        <f>COUNTIFS($C$6:$C$45,$B51,$D$6:$D$45,"+",$G$6:$G$45,"No")</f>
        <v/>
      </c>
    </row>
    <row r="52">
      <c r="B52" s="17" t="inlineStr">
        <is>
          <t>Management</t>
        </is>
      </c>
      <c r="C52" s="18">
        <f>COUNTIFS($C$6:$C$45,$B52,$D$6:$D$45,"+")</f>
        <v/>
      </c>
      <c r="D52" s="18">
        <f>COUNTIFS($C$6:$C$45,$B52,$D$6:$D$45,"−")</f>
        <v/>
      </c>
      <c r="E52" s="18">
        <f>COUNTIFS($C$6:$C$45,$B52,$D$6:$D$45,"−",$I$6:$I$45,"Open")</f>
        <v/>
      </c>
      <c r="F52" s="18">
        <f>COUNTIFS($C$6:$C$45,$B52,$D$6:$D$45,"+",$G$6:$G$45,"No")</f>
        <v/>
      </c>
    </row>
    <row r="53">
      <c r="B53" s="17" t="inlineStr">
        <is>
          <t>Small Business Utilization</t>
        </is>
      </c>
      <c r="C53" s="18">
        <f>COUNTIFS($C$6:$C$45,$B53,$D$6:$D$45,"+")</f>
        <v/>
      </c>
      <c r="D53" s="18">
        <f>COUNTIFS($C$6:$C$45,$B53,$D$6:$D$45,"−")</f>
        <v/>
      </c>
      <c r="E53" s="18">
        <f>COUNTIFS($C$6:$C$45,$B53,$D$6:$D$45,"−",$I$6:$I$45,"Open")</f>
        <v/>
      </c>
      <c r="F53" s="18">
        <f>COUNTIFS($C$6:$C$45,$B53,$D$6:$D$45,"+",$G$6:$G$45,"No")</f>
        <v/>
      </c>
    </row>
    <row r="54">
      <c r="B54" s="17" t="inlineStr">
        <is>
          <t>Regulatory Compliance</t>
        </is>
      </c>
      <c r="C54" s="18">
        <f>COUNTIFS($C$6:$C$45,$B54,$D$6:$D$45,"+")</f>
        <v/>
      </c>
      <c r="D54" s="18">
        <f>COUNTIFS($C$6:$C$45,$B54,$D$6:$D$45,"−")</f>
        <v/>
      </c>
      <c r="E54" s="18">
        <f>COUNTIFS($C$6:$C$45,$B54,$D$6:$D$45,"−",$I$6:$I$45,"Open")</f>
        <v/>
      </c>
      <c r="F54" s="18">
        <f>COUNTIFS($C$6:$C$45,$B54,$D$6:$D$45,"+",$G$6:$G$45,"No")</f>
        <v/>
      </c>
    </row>
    <row r="56">
      <c r="B56" s="19" t="inlineStr">
        <is>
          <t>Yellow in "not yet shared" means you have evidence the COR has never seen. It does not count until they have it in writing. Red in "still open" means a negative that will be on the draft rating unless you close it.</t>
        </is>
      </c>
    </row>
    <row r="58">
      <c r="B58" s="12" t="inlineStr">
        <is>
          <t>Acqlerate CPARS Playbook · acqlerate.com · September 2026 Edition</t>
        </is>
      </c>
    </row>
  </sheetData>
  <sheetProtection selectLockedCells="0" selectUnlockedCells="0" sheet="1" objects="0" insertRows="1" insertHyperlinks="1" autoFilter="1" scenarios="0" formatColumns="0" deleteColumns="1" insertColumns="1" pivotTables="1" deleteRows="1" formatCells="0" formatRows="0" sort="1"/>
  <conditionalFormatting sqref="D6:D45">
    <cfRule type="expression" priority="1" dxfId="0">
      <formula>D6="+"</formula>
    </cfRule>
    <cfRule type="expression" priority="2" dxfId="1">
      <formula>D6="−"</formula>
    </cfRule>
  </conditionalFormatting>
  <conditionalFormatting sqref="G6:G45">
    <cfRule type="expression" priority="3" dxfId="2">
      <formula>AND(D6="+",G6="No")</formula>
    </cfRule>
  </conditionalFormatting>
  <conditionalFormatting sqref="I6:I45">
    <cfRule type="expression" priority="4" dxfId="1">
      <formula>AND(D6="−",I6="Open")</formula>
    </cfRule>
  </conditionalFormatting>
  <conditionalFormatting sqref="E49:E54">
    <cfRule type="expression" priority="5" dxfId="1">
      <formula>E49&gt;0</formula>
    </cfRule>
  </conditionalFormatting>
  <conditionalFormatting sqref="F49:F54">
    <cfRule type="expression" priority="6" dxfId="2">
      <formula>F49&gt;0</formula>
    </cfRule>
  </conditionalFormatting>
  <dataValidations count="4">
    <dataValidation sqref="C6:C45" showDropDown="0" showInputMessage="0" showErrorMessage="0" allowBlank="1" type="list">
      <formula1>"Quality,Schedule,Cost Control,Management,Small Business Utilization,Regulatory Compliance"</formula1>
    </dataValidation>
    <dataValidation sqref="D6:D45" showDropDown="0" showInputMessage="0" showErrorMessage="0" allowBlank="1" type="list">
      <formula1>"+,−"</formula1>
    </dataValidation>
    <dataValidation sqref="G6:G45" showDropDown="0" showInputMessage="0" showErrorMessage="0" allowBlank="1" type="list">
      <formula1>"Yes,No"</formula1>
    </dataValidation>
    <dataValidation sqref="I6:I45" showDropDown="0" showInputMessage="0" showErrorMessage="0" allowBlank="1" type="list">
      <formula1>"Open,Closed"</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I24"/>
  <sheetViews>
    <sheetView workbookViewId="0">
      <selection activeCell="A1" sqref="A1"/>
    </sheetView>
  </sheetViews>
  <sheetFormatPr baseColWidth="8" defaultRowHeight="15"/>
  <cols>
    <col width="2.5" customWidth="1" min="1" max="1"/>
    <col width="24" customWidth="1" min="2" max="2"/>
    <col width="16" customWidth="1" min="3" max="3"/>
    <col width="12" customWidth="1" min="4" max="4"/>
    <col width="12" customWidth="1" min="5" max="5"/>
    <col width="12" customWidth="1" min="6" max="6"/>
    <col width="16" customWidth="1" min="7" max="7"/>
    <col width="44" customWidth="1" min="8" max="8"/>
    <col width="40" customWidth="1" min="9" max="9"/>
  </cols>
  <sheetData>
    <row r="2">
      <c r="B2" s="4" t="inlineStr">
        <is>
          <t>Self-Assessment: Predict Your Rating Before the Draft Arrives</t>
        </is>
      </c>
    </row>
    <row r="3">
      <c r="B3" s="5" t="inlineStr">
        <is>
          <t>Rate yourself honestly against the Rating Decoder. Evidence counts come from the log. If your self-rating is higher than your evidence supports, the AO will not give it to you either.</t>
        </is>
      </c>
    </row>
    <row r="5">
      <c r="B5" s="6" t="inlineStr">
        <is>
          <t>Area</t>
        </is>
      </c>
      <c r="C5" s="6" t="inlineStr">
        <is>
          <t>My rating</t>
        </is>
      </c>
      <c r="D5" s="6" t="inlineStr">
        <is>
          <t>Positive evidence</t>
        </is>
      </c>
      <c r="E5" s="6" t="inlineStr">
        <is>
          <t>Negative open</t>
        </is>
      </c>
      <c r="F5" s="6" t="inlineStr">
        <is>
          <t>Not shared</t>
        </is>
      </c>
      <c r="G5" s="6" t="inlineStr">
        <is>
          <t>Target rating</t>
        </is>
      </c>
      <c r="H5" s="6" t="inlineStr">
        <is>
          <t>What justifies my rating (cite log rows)</t>
        </is>
      </c>
      <c r="I5" s="6" t="inlineStr">
        <is>
          <t>Gap to target: action before period end</t>
        </is>
      </c>
    </row>
    <row r="6" ht="54" customHeight="1">
      <c r="B6" s="7" t="inlineStr">
        <is>
          <t>Quality</t>
        </is>
      </c>
      <c r="C6" s="15" t="inlineStr">
        <is>
          <t>Satisfactory</t>
        </is>
      </c>
      <c r="D6" s="18">
        <f>'Evidence Log'!C49</f>
        <v/>
      </c>
      <c r="E6" s="18">
        <f>'Evidence Log'!E49</f>
        <v/>
      </c>
      <c r="F6" s="18">
        <f>'Evidence Log'!F49</f>
        <v/>
      </c>
      <c r="G6" s="15" t="inlineStr">
        <is>
          <t>Very Good</t>
        </is>
      </c>
      <c r="H6" s="14" t="n"/>
      <c r="I6" s="14" t="n"/>
    </row>
    <row r="7" ht="54" customHeight="1">
      <c r="B7" s="7" t="inlineStr">
        <is>
          <t>Schedule</t>
        </is>
      </c>
      <c r="C7" s="15" t="inlineStr">
        <is>
          <t>Satisfactory</t>
        </is>
      </c>
      <c r="D7" s="18">
        <f>'Evidence Log'!C50</f>
        <v/>
      </c>
      <c r="E7" s="18">
        <f>'Evidence Log'!E50</f>
        <v/>
      </c>
      <c r="F7" s="18">
        <f>'Evidence Log'!F50</f>
        <v/>
      </c>
      <c r="G7" s="15" t="inlineStr">
        <is>
          <t>Very Good</t>
        </is>
      </c>
      <c r="H7" s="14" t="n"/>
      <c r="I7" s="14" t="n"/>
    </row>
    <row r="8" ht="54" customHeight="1">
      <c r="B8" s="7" t="inlineStr">
        <is>
          <t>Cost Control</t>
        </is>
      </c>
      <c r="C8" s="15" t="inlineStr">
        <is>
          <t>Satisfactory</t>
        </is>
      </c>
      <c r="D8" s="18">
        <f>'Evidence Log'!C51</f>
        <v/>
      </c>
      <c r="E8" s="18">
        <f>'Evidence Log'!E51</f>
        <v/>
      </c>
      <c r="F8" s="18">
        <f>'Evidence Log'!F51</f>
        <v/>
      </c>
      <c r="G8" s="15" t="inlineStr">
        <is>
          <t>Very Good</t>
        </is>
      </c>
      <c r="H8" s="14" t="n"/>
      <c r="I8" s="14" t="n"/>
    </row>
    <row r="9" ht="54" customHeight="1">
      <c r="B9" s="7" t="inlineStr">
        <is>
          <t>Management</t>
        </is>
      </c>
      <c r="C9" s="15" t="inlineStr">
        <is>
          <t>Satisfactory</t>
        </is>
      </c>
      <c r="D9" s="18">
        <f>'Evidence Log'!C52</f>
        <v/>
      </c>
      <c r="E9" s="18">
        <f>'Evidence Log'!E52</f>
        <v/>
      </c>
      <c r="F9" s="18">
        <f>'Evidence Log'!F52</f>
        <v/>
      </c>
      <c r="G9" s="15" t="inlineStr">
        <is>
          <t>Very Good</t>
        </is>
      </c>
      <c r="H9" s="14" t="n"/>
      <c r="I9" s="14" t="n"/>
    </row>
    <row r="10" ht="54" customHeight="1">
      <c r="B10" s="7" t="inlineStr">
        <is>
          <t>Small Business Utilization</t>
        </is>
      </c>
      <c r="C10" s="15" t="inlineStr">
        <is>
          <t>Satisfactory</t>
        </is>
      </c>
      <c r="D10" s="18">
        <f>'Evidence Log'!C53</f>
        <v/>
      </c>
      <c r="E10" s="18">
        <f>'Evidence Log'!E53</f>
        <v/>
      </c>
      <c r="F10" s="18">
        <f>'Evidence Log'!F53</f>
        <v/>
      </c>
      <c r="G10" s="15" t="inlineStr">
        <is>
          <t>Very Good</t>
        </is>
      </c>
      <c r="H10" s="14" t="n"/>
      <c r="I10" s="14" t="n"/>
    </row>
    <row r="11" ht="54" customHeight="1">
      <c r="B11" s="7" t="inlineStr">
        <is>
          <t>Regulatory Compliance</t>
        </is>
      </c>
      <c r="C11" s="15" t="inlineStr">
        <is>
          <t>Satisfactory</t>
        </is>
      </c>
      <c r="D11" s="18">
        <f>'Evidence Log'!C54</f>
        <v/>
      </c>
      <c r="E11" s="18">
        <f>'Evidence Log'!E54</f>
        <v/>
      </c>
      <c r="F11" s="18">
        <f>'Evidence Log'!F54</f>
        <v/>
      </c>
      <c r="G11" s="15" t="inlineStr">
        <is>
          <t>Very Good</t>
        </is>
      </c>
      <c r="H11" s="14" t="n"/>
      <c r="I11" s="14" t="n"/>
    </row>
    <row r="13">
      <c r="B13" s="16" t="inlineStr">
        <is>
          <t>REALITY CHECK</t>
        </is>
      </c>
    </row>
    <row r="14">
      <c r="B14" s="6" t="inlineStr">
        <is>
          <t>Area</t>
        </is>
      </c>
      <c r="C14" s="6" t="inlineStr">
        <is>
          <t>Evidence supports</t>
        </is>
      </c>
      <c r="D14" s="6" t="inlineStr">
        <is>
          <t>My rating</t>
        </is>
      </c>
      <c r="E14" s="6" t="inlineStr">
        <is>
          <t>Flag</t>
        </is>
      </c>
    </row>
    <row r="15">
      <c r="B15" s="17" t="inlineStr">
        <is>
          <t>Quality</t>
        </is>
      </c>
      <c r="C15" s="18">
        <f>IF(E6&gt;0,"Marginal or below",IF(D6-F6&gt;=4,"Exceptional",IF(D6-F6&gt;=2,"Very Good","Satisfactory")))</f>
        <v/>
      </c>
      <c r="D15" s="18">
        <f>C6</f>
        <v/>
      </c>
      <c r="E15" s="20">
        <f>IF(E6&gt;0,"OPEN NEGATIVE: close it",IF(MATCH(C6,{"Unsatisfactory","Marginal","Satisfactory","Very Good","Exceptional"},0)&gt;MATCH(C15,{"Marginal or below","Satisfactory","Very Good","Exceptional"},0)+1,"Rating exceeds evidence","Supported"))</f>
        <v/>
      </c>
    </row>
    <row r="16">
      <c r="B16" s="17" t="inlineStr">
        <is>
          <t>Schedule</t>
        </is>
      </c>
      <c r="C16" s="18">
        <f>IF(E7&gt;0,"Marginal or below",IF(D7-F7&gt;=4,"Exceptional",IF(D7-F7&gt;=2,"Very Good","Satisfactory")))</f>
        <v/>
      </c>
      <c r="D16" s="18">
        <f>C7</f>
        <v/>
      </c>
      <c r="E16" s="20">
        <f>IF(E7&gt;0,"OPEN NEGATIVE: close it",IF(MATCH(C7,{"Unsatisfactory","Marginal","Satisfactory","Very Good","Exceptional"},0)&gt;MATCH(C16,{"Marginal or below","Satisfactory","Very Good","Exceptional"},0)+1,"Rating exceeds evidence","Supported"))</f>
        <v/>
      </c>
    </row>
    <row r="17">
      <c r="B17" s="17" t="inlineStr">
        <is>
          <t>Cost Control</t>
        </is>
      </c>
      <c r="C17" s="18">
        <f>IF(E8&gt;0,"Marginal or below",IF(D8-F8&gt;=4,"Exceptional",IF(D8-F8&gt;=2,"Very Good","Satisfactory")))</f>
        <v/>
      </c>
      <c r="D17" s="18">
        <f>C8</f>
        <v/>
      </c>
      <c r="E17" s="20">
        <f>IF(E8&gt;0,"OPEN NEGATIVE: close it",IF(MATCH(C8,{"Unsatisfactory","Marginal","Satisfactory","Very Good","Exceptional"},0)&gt;MATCH(C17,{"Marginal or below","Satisfactory","Very Good","Exceptional"},0)+1,"Rating exceeds evidence","Supported"))</f>
        <v/>
      </c>
    </row>
    <row r="18">
      <c r="B18" s="17" t="inlineStr">
        <is>
          <t>Management</t>
        </is>
      </c>
      <c r="C18" s="18">
        <f>IF(E9&gt;0,"Marginal or below",IF(D9-F9&gt;=4,"Exceptional",IF(D9-F9&gt;=2,"Very Good","Satisfactory")))</f>
        <v/>
      </c>
      <c r="D18" s="18">
        <f>C9</f>
        <v/>
      </c>
      <c r="E18" s="20">
        <f>IF(E9&gt;0,"OPEN NEGATIVE: close it",IF(MATCH(C9,{"Unsatisfactory","Marginal","Satisfactory","Very Good","Exceptional"},0)&gt;MATCH(C18,{"Marginal or below","Satisfactory","Very Good","Exceptional"},0)+1,"Rating exceeds evidence","Supported"))</f>
        <v/>
      </c>
    </row>
    <row r="19">
      <c r="B19" s="17" t="inlineStr">
        <is>
          <t>Small Business Utilization</t>
        </is>
      </c>
      <c r="C19" s="18">
        <f>IF(E10&gt;0,"Marginal or below",IF(D10-F10&gt;=4,"Exceptional",IF(D10-F10&gt;=2,"Very Good","Satisfactory")))</f>
        <v/>
      </c>
      <c r="D19" s="18">
        <f>C10</f>
        <v/>
      </c>
      <c r="E19" s="20">
        <f>IF(E10&gt;0,"OPEN NEGATIVE: close it",IF(MATCH(C10,{"Unsatisfactory","Marginal","Satisfactory","Very Good","Exceptional"},0)&gt;MATCH(C19,{"Marginal or below","Satisfactory","Very Good","Exceptional"},0)+1,"Rating exceeds evidence","Supported"))</f>
        <v/>
      </c>
    </row>
    <row r="20">
      <c r="B20" s="17" t="inlineStr">
        <is>
          <t>Regulatory Compliance</t>
        </is>
      </c>
      <c r="C20" s="18">
        <f>IF(E11&gt;0,"Marginal or below",IF(D11-F11&gt;=4,"Exceptional",IF(D11-F11&gt;=2,"Very Good","Satisfactory")))</f>
        <v/>
      </c>
      <c r="D20" s="18">
        <f>C11</f>
        <v/>
      </c>
      <c r="E20" s="20">
        <f>IF(E11&gt;0,"OPEN NEGATIVE: close it",IF(MATCH(C11,{"Unsatisfactory","Marginal","Satisfactory","Very Good","Exceptional"},0)&gt;MATCH(C20,{"Marginal or below","Satisfactory","Very Good","Exceptional"},0)+1,"Rating exceeds evidence","Supported"))</f>
        <v/>
      </c>
    </row>
    <row r="22" ht="32" customHeight="1">
      <c r="B22" s="21" t="inlineStr">
        <is>
          <t>Rule of thumb built into the check: Very Good needs at least two shared positive events in the area; Exceptional needs four or more; any open negative caps you at Marginal until it is closed. Adjust to your COR, but do not expect a rating your log cannot support.</t>
        </is>
      </c>
    </row>
    <row r="24">
      <c r="B24" s="12" t="inlineStr">
        <is>
          <t>Acqlerate CPARS Playbook · acqlerate.com · September 2026 Edition</t>
        </is>
      </c>
    </row>
  </sheetData>
  <sheetProtection selectLockedCells="0" selectUnlockedCells="0" sheet="1" objects="0" insertRows="1" insertHyperlinks="1" autoFilter="1" scenarios="0" formatColumns="0" deleteColumns="1" insertColumns="1" pivotTables="1" deleteRows="1" formatCells="0" formatRows="0" sort="1"/>
  <mergeCells count="1">
    <mergeCell ref="B22:I22"/>
  </mergeCells>
  <conditionalFormatting sqref="C6:C11">
    <cfRule type="expression" priority="1" dxfId="3">
      <formula>C6="Exceptional"</formula>
    </cfRule>
    <cfRule type="expression" priority="2" dxfId="3">
      <formula>C6="Very Good"</formula>
    </cfRule>
    <cfRule type="expression" priority="3" dxfId="4">
      <formula>C6="Satisfactory"</formula>
    </cfRule>
    <cfRule type="expression" priority="4" dxfId="5">
      <formula>C6="Marginal"</formula>
    </cfRule>
    <cfRule type="expression" priority="5" dxfId="5">
      <formula>C6="Unsatisfactory"</formula>
    </cfRule>
  </conditionalFormatting>
  <conditionalFormatting sqref="G6:G11">
    <cfRule type="expression" priority="6" dxfId="3">
      <formula>G6="Exceptional"</formula>
    </cfRule>
    <cfRule type="expression" priority="7" dxfId="3">
      <formula>G6="Very Good"</formula>
    </cfRule>
    <cfRule type="expression" priority="8" dxfId="4">
      <formula>G6="Satisfactory"</formula>
    </cfRule>
    <cfRule type="expression" priority="9" dxfId="5">
      <formula>G6="Marginal"</formula>
    </cfRule>
    <cfRule type="expression" priority="10" dxfId="5">
      <formula>G6="Unsatisfactory"</formula>
    </cfRule>
  </conditionalFormatting>
  <conditionalFormatting sqref="E6:E11">
    <cfRule type="expression" priority="11" dxfId="1">
      <formula>E6&gt;0</formula>
    </cfRule>
  </conditionalFormatting>
  <conditionalFormatting sqref="E15:E20">
    <cfRule type="expression" priority="12" dxfId="0">
      <formula>E15="Supported"</formula>
    </cfRule>
    <cfRule type="expression" priority="13" dxfId="1">
      <formula>E15&lt;&gt;"Supported"</formula>
    </cfRule>
  </conditionalFormatting>
  <dataValidations count="1">
    <dataValidation sqref="C6:C11 G6:G11" showDropDown="0" showInputMessage="0" showErrorMessage="0" allowBlank="0" type="list">
      <formula1>"Exceptional,Very Good,Satisfactory,Marginal,Unsatisfactory"</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F17"/>
  <sheetViews>
    <sheetView workbookViewId="0">
      <selection activeCell="A1" sqref="A1"/>
    </sheetView>
  </sheetViews>
  <sheetFormatPr baseColWidth="8" defaultRowHeight="15"/>
  <cols>
    <col width="2.5" customWidth="1" min="1" max="1"/>
    <col width="22" customWidth="1" min="2" max="2"/>
    <col width="48" customWidth="1" min="3" max="3"/>
    <col width="44" customWidth="1" min="4" max="4"/>
    <col width="14" customWidth="1" min="5" max="5"/>
    <col width="30" customWidth="1" min="6" max="6"/>
  </cols>
  <sheetData>
    <row r="2">
      <c r="B2" s="4" t="inlineStr">
        <is>
          <t>Interim Check-In: No Surprises at the Final Rating</t>
        </is>
      </c>
    </row>
    <row r="3">
      <c r="B3" s="5" t="inlineStr">
        <is>
          <t>Schedule this with your COR at the mid-point of every rating period. Ask these questions, write down the answers, and act on them. A rating you first hear about in the draft is a rating you have already lost.</t>
        </is>
      </c>
    </row>
    <row r="5">
      <c r="B5" s="6" t="inlineStr">
        <is>
          <t>Area</t>
        </is>
      </c>
      <c r="C5" s="6" t="inlineStr">
        <is>
          <t>Ask the COR</t>
        </is>
      </c>
      <c r="D5" s="6" t="inlineStr">
        <is>
          <t>What the answer tells you</t>
        </is>
      </c>
      <c r="E5" s="6" t="inlineStr">
        <is>
          <t>Their answer (date)</t>
        </is>
      </c>
      <c r="F5" s="6" t="inlineStr">
        <is>
          <t>Action taken</t>
        </is>
      </c>
    </row>
    <row r="6" ht="54" customHeight="1">
      <c r="B6" s="7" t="inlineStr">
        <is>
          <t>Quality</t>
        </is>
      </c>
      <c r="C6" s="17" t="inlineStr">
        <is>
          <t>If you were rating quality today, what would it be, and what one thing would move it up?</t>
        </is>
      </c>
      <c r="D6" s="9" t="inlineStr">
        <is>
          <t>If they cannot name the thing that would move it up, they have not seen your evidence. Send it.</t>
        </is>
      </c>
      <c r="E6" s="14" t="n"/>
      <c r="F6" s="14" t="n"/>
    </row>
    <row r="7" ht="54" customHeight="1">
      <c r="B7" s="7" t="inlineStr">
        <is>
          <t>Schedule</t>
        </is>
      </c>
      <c r="C7" s="17" t="inlineStr">
        <is>
          <t>Is there any milestone you consider late or at risk from your side?</t>
        </is>
      </c>
      <c r="D7" s="9" t="inlineStr">
        <is>
          <t>Their view of "late" may differ from yours. Reconcile now, not in the comment period.</t>
        </is>
      </c>
      <c r="E7" s="14" t="n"/>
      <c r="F7" s="14" t="n"/>
    </row>
    <row r="8" ht="54" customHeight="1">
      <c r="B8" s="7" t="inlineStr">
        <is>
          <t>Cost Control</t>
        </is>
      </c>
      <c r="C8" s="17" t="inlineStr">
        <is>
          <t>Is our cost reporting giving you what you need, on time? Any concerns on burn rate?</t>
        </is>
      </c>
      <c r="D8" s="9" t="inlineStr">
        <is>
          <t>Cost Control is the area most often rated Satisfactory by default. Ask what Very Good would look like.</t>
        </is>
      </c>
      <c r="E8" s="14" t="n"/>
      <c r="F8" s="14" t="n"/>
    </row>
    <row r="9" ht="54" customHeight="1">
      <c r="B9" s="7" t="inlineStr">
        <is>
          <t>Management</t>
        </is>
      </c>
      <c r="C9" s="17" t="inlineStr">
        <is>
          <t>Any communication or responsiveness issues from your side? Anything you had to escalate?</t>
        </is>
      </c>
      <c r="D9" s="9" t="inlineStr">
        <is>
          <t>If they escalated anything, it is on the draft. Find out what and close it.</t>
        </is>
      </c>
      <c r="E9" s="14" t="n"/>
      <c r="F9" s="14" t="n"/>
    </row>
    <row r="10" ht="54" customHeight="1">
      <c r="B10" s="7" t="inlineStr">
        <is>
          <t>Small Business Utilization</t>
        </is>
      </c>
      <c r="C10" s="17" t="inlineStr">
        <is>
          <t>Have you seen the latest ISR/SSR? Any concerns about goals?</t>
        </is>
      </c>
      <c r="D10" s="9" t="inlineStr">
        <is>
          <t>Late or inaccurate reports are the most common cause of a Marginal here. Confirm they have them.</t>
        </is>
      </c>
      <c r="E10" s="14" t="n"/>
      <c r="F10" s="14" t="n"/>
    </row>
    <row r="11" ht="54" customHeight="1">
      <c r="B11" s="7" t="inlineStr">
        <is>
          <t>Regulatory Compliance</t>
        </is>
      </c>
      <c r="C11" s="17" t="inlineStr">
        <is>
          <t>Any compliance concern on your side we should know about? CMMC, safety, export, security?</t>
        </is>
      </c>
      <c r="D11" s="9" t="inlineStr">
        <is>
          <t>Compliance findings are often known to the Government before the contractor. Ask.</t>
        </is>
      </c>
      <c r="E11" s="14" t="n"/>
      <c r="F11" s="14" t="n"/>
    </row>
    <row r="12" ht="54" customHeight="1">
      <c r="B12" s="7" t="inlineStr">
        <is>
          <t>Overall</t>
        </is>
      </c>
      <c r="C12" s="17" t="inlineStr">
        <is>
          <t>Is there anything that, if it continued, would result in a rating below Satisfactory?</t>
        </is>
      </c>
      <c r="D12" s="9" t="inlineStr">
        <is>
          <t>This is the question that prevents a surprise Marginal. Ask it directly.</t>
        </is>
      </c>
      <c r="E12" s="14" t="n"/>
      <c r="F12" s="14" t="n"/>
    </row>
    <row r="13" ht="54" customHeight="1">
      <c r="B13" s="7" t="inlineStr">
        <is>
          <t>Overall</t>
        </is>
      </c>
      <c r="C13" s="17" t="inlineStr">
        <is>
          <t>What would it take for you to rate us Exceptional in any area?</t>
        </is>
      </c>
      <c r="D13" s="9" t="inlineStr">
        <is>
          <t>Now you know what to document for the rest of the period.</t>
        </is>
      </c>
      <c r="E13" s="14" t="n"/>
      <c r="F13" s="14" t="n"/>
    </row>
    <row r="15" ht="30" customHeight="1">
      <c r="B15" s="21" t="inlineStr">
        <is>
          <t>Timing: mid-point of the rating period at minimum; quarterly on a cost-type contract. Bring the Evidence Log tally. Leave with a written record of what they said.</t>
        </is>
      </c>
    </row>
    <row r="17">
      <c r="B17" s="12" t="inlineStr">
        <is>
          <t>Acqlerate CPARS Playbook · acqlerate.com · September 2026 Edition</t>
        </is>
      </c>
    </row>
  </sheetData>
  <sheetProtection selectLockedCells="0" selectUnlockedCells="0" sheet="1" objects="0" insertRows="1" insertHyperlinks="1" autoFilter="1" scenarios="0" formatColumns="0" deleteColumns="1" insertColumns="1" pivotTables="1" deleteRows="1" formatCells="0" formatRows="0" sort="1"/>
  <mergeCells count="1">
    <mergeCell ref="B15:F15"/>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B2:G28"/>
  <sheetViews>
    <sheetView workbookViewId="0">
      <selection activeCell="A1" sqref="A1"/>
    </sheetView>
  </sheetViews>
  <sheetFormatPr baseColWidth="8" defaultRowHeight="15"/>
  <cols>
    <col width="2.5" customWidth="1" min="1" max="1"/>
    <col width="22" customWidth="1" min="2" max="2"/>
    <col width="44" customWidth="1" min="3" max="3"/>
    <col width="48" customWidth="1" min="4" max="4"/>
    <col width="44" customWidth="1" min="5" max="5"/>
    <col width="16" customWidth="1" min="6" max="6"/>
  </cols>
  <sheetData>
    <row r="2">
      <c r="B2" s="4" t="inlineStr">
        <is>
          <t>Rebuttal Builder: The 14-Day Response</t>
        </is>
      </c>
    </row>
    <row r="3">
      <c r="B3" s="5" t="inlineStr">
        <is>
          <t>Only for a draft rating you can prove is wrong against the contract. Build the argument here, then write the comment. Fourteen calendar days from notification (FAR 42.1503); if still unresolved, you may request review one level above the Contracting Officer.</t>
        </is>
      </c>
    </row>
    <row r="4">
      <c r="B4" s="22" t="inlineStr">
        <is>
          <t>Draft notification date:</t>
        </is>
      </c>
      <c r="C4" s="27" t="n">
        <v>46280</v>
      </c>
    </row>
    <row r="5">
      <c r="B5" s="6" t="inlineStr">
        <is>
          <t>Area</t>
        </is>
      </c>
      <c r="C5" s="6" t="inlineStr">
        <is>
          <t>Rating given / sought</t>
        </is>
      </c>
      <c r="D5" s="6" t="inlineStr">
        <is>
          <t>The specific contractual requirement (cite clause, CDRL, PWS paragraph)</t>
        </is>
      </c>
      <c r="E5" s="6" t="inlineStr">
        <is>
          <t>Evidence that we met or exceeded it (log rows, dates, documents)</t>
        </is>
      </c>
      <c r="F5" s="6" t="inlineStr">
        <is>
          <t>Proposed comment language</t>
        </is>
      </c>
      <c r="G5" s="6" t="inlineStr">
        <is>
          <t>Days remaining</t>
        </is>
      </c>
    </row>
    <row r="6" ht="80" customHeight="1">
      <c r="B6" s="7" t="inlineStr">
        <is>
          <t>Quality</t>
        </is>
      </c>
      <c r="C6" s="15" t="inlineStr">
        <is>
          <t>Satisfactory → Very Good</t>
        </is>
      </c>
      <c r="D6" s="14" t="inlineStr">
        <is>
          <t>Example: PWS 3.2.1 requires acceptance test defect density below 2 per KSLOC. Increment 2 delivered at 0.4 per KSLOC (Test Report TR-2026-07).</t>
        </is>
      </c>
      <c r="E6" s="14" t="inlineStr">
        <is>
          <t>Example: Evidence Log rows 7/28 and 7/14. Government acceptance signed same day; no rework cycle.</t>
        </is>
      </c>
      <c r="F6" s="14" t="inlineStr">
        <is>
          <t>Example: "We respectfully request the Quality rating be revised to Very Good. PWS 3.2.1 sets a defect density threshold of 2.0/KSLOC; Increment 2 was accepted at 0.4/KSLOC (TR-2026-07), with acceptance signed the day of delivery and no rework. We believe this exceeds the requirement to the Government’s benefit."</t>
        </is>
      </c>
      <c r="G6" s="20">
        <f>IF($C$4="","",MAX(0,14-(TODAY()-$C$4)))</f>
        <v/>
      </c>
    </row>
    <row r="7" ht="80" customHeight="1">
      <c r="B7" s="7" t="inlineStr">
        <is>
          <t>Schedule</t>
        </is>
      </c>
      <c r="C7" s="15" t="n"/>
      <c r="D7" s="14" t="n"/>
      <c r="E7" s="14" t="n"/>
      <c r="F7" s="14" t="n"/>
      <c r="G7" s="20">
        <f>IF($C$4="","",MAX(0,14-(TODAY()-$C$4)))</f>
        <v/>
      </c>
    </row>
    <row r="8" ht="80" customHeight="1">
      <c r="B8" s="7" t="inlineStr">
        <is>
          <t>Cost Control</t>
        </is>
      </c>
      <c r="C8" s="15" t="n"/>
      <c r="D8" s="14" t="n"/>
      <c r="E8" s="14" t="n"/>
      <c r="F8" s="14" t="n"/>
      <c r="G8" s="20">
        <f>IF($C$4="","",MAX(0,14-(TODAY()-$C$4)))</f>
        <v/>
      </c>
    </row>
    <row r="9" ht="80" customHeight="1">
      <c r="B9" s="7" t="inlineStr">
        <is>
          <t>Management</t>
        </is>
      </c>
      <c r="C9" s="15" t="n"/>
      <c r="D9" s="14" t="n"/>
      <c r="E9" s="14" t="n"/>
      <c r="F9" s="14" t="n"/>
      <c r="G9" s="20">
        <f>IF($C$4="","",MAX(0,14-(TODAY()-$C$4)))</f>
        <v/>
      </c>
    </row>
    <row r="10" ht="80" customHeight="1">
      <c r="B10" s="7" t="inlineStr">
        <is>
          <t>Small Business Utilization</t>
        </is>
      </c>
      <c r="C10" s="15" t="n"/>
      <c r="D10" s="14" t="n"/>
      <c r="E10" s="14" t="n"/>
      <c r="F10" s="14" t="n"/>
      <c r="G10" s="20">
        <f>IF($C$4="","",MAX(0,14-(TODAY()-$C$4)))</f>
        <v/>
      </c>
    </row>
    <row r="11" ht="80" customHeight="1">
      <c r="B11" s="7" t="inlineStr">
        <is>
          <t>Regulatory Compliance</t>
        </is>
      </c>
      <c r="C11" s="15" t="n"/>
      <c r="D11" s="14" t="n"/>
      <c r="E11" s="14" t="n"/>
      <c r="F11" s="14" t="n"/>
      <c r="G11" s="20">
        <f>IF($C$4="","",MAX(0,14-(TODAY()-$C$4)))</f>
        <v/>
      </c>
    </row>
    <row r="13">
      <c r="B13" s="24" t="inlineStr">
        <is>
          <t>WHAT TO ARGUE</t>
        </is>
      </c>
    </row>
    <row r="14" ht="28" customHeight="1">
      <c r="B14" s="25" t="inlineStr">
        <is>
          <t>The contract said X. We did X or better. Here is the document that proves it. That is the entire argument.</t>
        </is>
      </c>
    </row>
    <row r="15" ht="28" customHeight="1">
      <c r="B15" s="25" t="inlineStr">
        <is>
          <t>Argue against the rating, area by area. Do not argue against the Assessing Official.</t>
        </is>
      </c>
    </row>
    <row r="16" ht="28" customHeight="1">
      <c r="B16" s="25" t="inlineStr">
        <is>
          <t>Cite the PWS paragraph, the CDRL, the clause. A rebuttal without a citation is an opinion.</t>
        </is>
      </c>
    </row>
    <row r="17" ht="28" customHeight="1">
      <c r="B17" s="25" t="inlineStr">
        <is>
          <t>Attach or reference the evidence by document number and date. Make it easy to verify.</t>
        </is>
      </c>
    </row>
    <row r="18">
      <c r="B18" s="25" t="inlineStr"/>
    </row>
    <row r="19">
      <c r="B19" s="24" t="inlineStr">
        <is>
          <t>WHAT NOT TO ARGUE</t>
        </is>
      </c>
    </row>
    <row r="20" ht="28" customHeight="1">
      <c r="B20" s="25" t="inlineStr">
        <is>
          <t>Effort. "We worked very hard" is not a contractual requirement.</t>
        </is>
      </c>
    </row>
    <row r="21" ht="28" customHeight="1">
      <c r="B21" s="25" t="inlineStr">
        <is>
          <t>Government-caused delays, unless you have a documented request for equitable adjustment or a letter from the period. Raising it for the first time in the rebuttal reads as an excuse.</t>
        </is>
      </c>
    </row>
    <row r="22" ht="28" customHeight="1">
      <c r="B22" s="25" t="inlineStr">
        <is>
          <t>Tone. Every sentence of your comment stays in the system for three years and is read by future source selection boards. Write for them.</t>
        </is>
      </c>
    </row>
    <row r="23" ht="28" customHeight="1">
      <c r="B23" s="25" t="inlineStr">
        <is>
          <t>Everything. A rebuttal on six areas dilutes the one you can win. Pick the areas where the contract and the evidence are unambiguous.</t>
        </is>
      </c>
    </row>
    <row r="24">
      <c r="B24" s="25" t="inlineStr"/>
    </row>
    <row r="25">
      <c r="B25" s="24" t="inlineStr">
        <is>
          <t>IF THE CO DOES NOT REVISE</t>
        </is>
      </c>
    </row>
    <row r="26" ht="28" customHeight="1">
      <c r="B26" s="25" t="inlineStr">
        <is>
          <t>Request review by the official one level above the Contracting Officer (FAR 42.1503(d)). State the request in your comment. Your comments remain attached to the record either way, so write them as if the rebuttal is the last word, because it may be.</t>
        </is>
      </c>
    </row>
    <row r="28">
      <c r="B28" s="12" t="inlineStr">
        <is>
          <t>Acqlerate CPARS Playbook · acqlerate.com · September 2026 Edition</t>
        </is>
      </c>
    </row>
  </sheetData>
  <sheetProtection selectLockedCells="0" selectUnlockedCells="0" sheet="1" objects="0" insertRows="1" insertHyperlinks="1" autoFilter="1" scenarios="0" formatColumns="0" deleteColumns="1" insertColumns="1" pivotTables="1" deleteRows="1" formatCells="0" formatRows="0" sort="1"/>
  <mergeCells count="14">
    <mergeCell ref="B24:G24"/>
    <mergeCell ref="B16:G16"/>
    <mergeCell ref="B20:G20"/>
    <mergeCell ref="B19:G19"/>
    <mergeCell ref="B22:G22"/>
    <mergeCell ref="B14:G14"/>
    <mergeCell ref="B17:G17"/>
    <mergeCell ref="B23:G23"/>
    <mergeCell ref="B26:G26"/>
    <mergeCell ref="B18:G18"/>
    <mergeCell ref="B13:G13"/>
    <mergeCell ref="B21:G21"/>
    <mergeCell ref="B15:G15"/>
    <mergeCell ref="B25:G25"/>
  </mergeCells>
  <conditionalFormatting sqref="G6:G11">
    <cfRule type="expression" priority="1" dxfId="1">
      <formula>AND(G6&lt;&gt;"",G6&lt;=3)</formula>
    </cfRule>
    <cfRule type="expression" priority="2" dxfId="2">
      <formula>AND(G6&lt;&gt;"",G6&gt;3,G6&lt;=7)</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2026-09-15T04:47:14Z</dcterms:created>
  <dcterms:modified xmlns:dcterms="http://purl.org/dc/terms/" xmlns:xsi="http://www.w3.org/2001/XMLSchema-instance" xsi:type="dcterms:W3CDTF">2026-09-24T08:59:10Z</dcterms:modified>
</cp:coreProperties>
</file>