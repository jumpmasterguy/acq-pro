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abor Estimate" sheetId="1" state="visible" r:id="rId1"/>
    <sheet xmlns:r="http://schemas.openxmlformats.org/officeDocument/2006/relationships" name="ODC &amp; Travel" sheetId="2" state="visible" r:id="rId2"/>
    <sheet xmlns:r="http://schemas.openxmlformats.org/officeDocument/2006/relationships" name="IGCE Summary" sheetId="3" state="visible" r:id="rId3"/>
  </sheets>
  <definedNames>
    <definedName name="_xlnm.Print_Area" localSheetId="1">'ODC &amp; Travel'!$A$1:$G$32</definedName>
    <definedName name="_xlnm.Print_Area" localSheetId="2">'IGCE Summary'!$A$1:$F$45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.0%"/>
    <numFmt numFmtId="166" formatCode="\$#,##0"/>
    <numFmt numFmtId="167" formatCode="$#,##0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D1B2A"/>
      <sz val="16"/>
    </font>
    <font>
      <name val="Arial"/>
      <charset val="1"/>
      <family val="0"/>
      <i val="1"/>
      <color rgb="FF7A7974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0D1B2A"/>
      <sz val="11"/>
    </font>
    <font>
      <name val="Arial"/>
      <charset val="1"/>
      <family val="0"/>
      <i val="1"/>
      <color rgb="FF7A7974"/>
      <sz val="9"/>
    </font>
    <font>
      <name val="Arial"/>
      <charset val="1"/>
      <family val="0"/>
      <i val="1"/>
      <color rgb="FF7A7974"/>
      <sz val="8"/>
    </font>
    <font>
      <name val="Arial"/>
      <charset val="1"/>
      <family val="0"/>
      <b val="1"/>
      <color rgb="FF01696F"/>
      <sz val="10"/>
    </font>
    <font>
      <name val="Arial"/>
      <charset val="1"/>
      <family val="0"/>
      <color rgb="FF555555"/>
      <sz val="9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D1B2A"/>
      <sz val="12"/>
    </font>
    <font>
      <name val="Arial"/>
      <charset val="1"/>
      <family val="0"/>
      <b val="1"/>
      <color rgb="FF01696F"/>
      <sz val="13"/>
    </font>
    <font>
      <b val="1"/>
      <color rgb="FF0D1B2A"/>
      <sz val="13"/>
    </font>
    <font>
      <b val="1"/>
      <color rgb="FFFFFFFF"/>
    </font>
    <font>
      <b val="1"/>
      <color rgb="0001696F"/>
      <sz val="10"/>
    </font>
    <font>
      <b val="1"/>
      <sz val="10"/>
    </font>
    <font>
      <b val="1"/>
    </font>
    <font>
      <b val="1"/>
      <color rgb="FFFFFFFF"/>
      <sz val="11"/>
    </font>
    <font>
      <i val="1"/>
      <color rgb="FF6B7280"/>
      <sz val="8"/>
    </font>
    <font>
      <b val="1"/>
      <color rgb="FF0D1B2A"/>
      <sz val="14"/>
    </font>
    <font>
      <i val="1"/>
      <color rgb="FF6B7280"/>
      <sz val="10"/>
    </font>
    <font>
      <b val="1"/>
      <color rgb="FF0D1B2A"/>
      <sz val="11"/>
    </font>
    <font>
      <color rgb="00333333"/>
      <sz val="10"/>
    </font>
    <font>
      <i val="1"/>
      <color rgb="FF6B7280"/>
      <sz val="9"/>
    </font>
  </fonts>
  <fills count="7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2F2F2"/>
        <bgColor rgb="FFFFFFFF"/>
      </patternFill>
    </fill>
    <fill>
      <patternFill patternType="solid">
        <fgColor rgb="FF0D1B2A"/>
      </patternFill>
    </fill>
    <fill>
      <patternFill patternType="solid">
        <fgColor rgb="FFE6F2F3"/>
      </patternFill>
    </fill>
    <fill>
      <patternFill patternType="solid">
        <fgColor rgb="FFF3F4F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double">
        <color rgb="FF0D1B2A"/>
      </top>
      <bottom style="double">
        <color rgb="FF0D1B2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3" fontId="9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10" fillId="3" borderId="2" applyAlignment="1" pivotButton="0" quotePrefix="0" xfId="0">
      <alignment horizontal="left" vertical="center" indent="1"/>
    </xf>
    <xf numFmtId="0" fontId="0" fillId="3" borderId="2" applyAlignment="1" pivotButton="0" quotePrefix="0" xfId="0">
      <alignment horizontal="general" vertical="bottom"/>
    </xf>
    <xf numFmtId="3" fontId="7" fillId="3" borderId="2" applyAlignment="1" pivotButton="0" quotePrefix="0" xfId="0">
      <alignment horizontal="right" vertical="center"/>
    </xf>
    <xf numFmtId="166" fontId="10" fillId="3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 indent="1"/>
    </xf>
    <xf numFmtId="0" fontId="14" fillId="0" borderId="1" applyAlignment="1" pivotButton="0" quotePrefix="0" xfId="0">
      <alignment horizontal="left" vertical="bottom" wrapText="1" indent="1"/>
    </xf>
    <xf numFmtId="0" fontId="10" fillId="3" borderId="2" applyAlignment="1" pivotButton="0" quotePrefix="0" xfId="0">
      <alignment horizontal="general" vertical="bottom"/>
    </xf>
    <xf numFmtId="166" fontId="10" fillId="3" borderId="2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 vertical="bottom" indent="1"/>
    </xf>
    <xf numFmtId="166" fontId="15" fillId="0" borderId="1" applyAlignment="1" pivotButton="0" quotePrefix="0" xfId="0">
      <alignment horizontal="right" vertical="center"/>
    </xf>
    <xf numFmtId="0" fontId="16" fillId="3" borderId="2" applyAlignment="1" pivotButton="0" quotePrefix="0" xfId="0">
      <alignment horizontal="left" vertical="bottom" indent="1"/>
    </xf>
    <xf numFmtId="166" fontId="16" fillId="3" borderId="2" applyAlignment="1" pivotButton="0" quotePrefix="0" xfId="0">
      <alignment horizontal="right" vertical="bottom"/>
    </xf>
    <xf numFmtId="0" fontId="1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3" fontId="9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10" fillId="3" borderId="2" applyAlignment="1" pivotButton="0" quotePrefix="0" xfId="0">
      <alignment horizontal="left" vertical="center" indent="1"/>
    </xf>
    <xf numFmtId="0" fontId="0" fillId="3" borderId="2" applyAlignment="1" pivotButton="0" quotePrefix="0" xfId="0">
      <alignment horizontal="general" vertical="bottom"/>
    </xf>
    <xf numFmtId="3" fontId="7" fillId="3" borderId="2" applyAlignment="1" pivotButton="0" quotePrefix="0" xfId="0">
      <alignment horizontal="right" vertical="center"/>
    </xf>
    <xf numFmtId="166" fontId="10" fillId="3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bottom" indent="1"/>
    </xf>
    <xf numFmtId="0" fontId="14" fillId="0" borderId="1" applyAlignment="1" pivotButton="0" quotePrefix="0" xfId="0">
      <alignment horizontal="left" vertical="bottom" wrapText="1" indent="1"/>
    </xf>
    <xf numFmtId="0" fontId="10" fillId="3" borderId="2" applyAlignment="1" pivotButton="0" quotePrefix="0" xfId="0">
      <alignment horizontal="general" vertical="bottom"/>
    </xf>
    <xf numFmtId="166" fontId="10" fillId="3" borderId="2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 vertical="bottom" indent="1"/>
    </xf>
    <xf numFmtId="166" fontId="15" fillId="0" borderId="1" applyAlignment="1" pivotButton="0" quotePrefix="0" xfId="0">
      <alignment horizontal="right" vertical="center"/>
    </xf>
    <xf numFmtId="0" fontId="16" fillId="3" borderId="2" applyAlignment="1" pivotButton="0" quotePrefix="0" xfId="0">
      <alignment horizontal="left" vertical="bottom" indent="1"/>
    </xf>
    <xf numFmtId="166" fontId="16" fillId="3" borderId="2" applyAlignment="1" pivotButton="0" quotePrefix="0" xfId="0">
      <alignment horizontal="right" vertical="bottom"/>
    </xf>
    <xf numFmtId="0" fontId="1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3" fontId="9" fillId="0" borderId="1" applyAlignment="1" applyProtection="1" pivotButton="0" quotePrefix="0" xfId="0">
      <alignment horizontal="right" vertical="center"/>
      <protection locked="0" hidden="0"/>
    </xf>
    <xf numFmtId="164" fontId="9" fillId="0" borderId="1" applyAlignment="1" applyProtection="1" pivotButton="0" quotePrefix="0" xfId="0">
      <alignment horizontal="right" vertical="center"/>
      <protection locked="0" hidden="0"/>
    </xf>
    <xf numFmtId="165" fontId="9" fillId="0" borderId="1" applyAlignment="1" applyProtection="1" pivotButton="0" quotePrefix="0" xfId="0">
      <alignment horizontal="center" vertical="center"/>
      <protection locked="0" hidden="0"/>
    </xf>
    <xf numFmtId="166" fontId="9" fillId="0" borderId="1" applyAlignment="1" applyProtection="1" pivotButton="0" quotePrefix="0" xfId="0">
      <alignment horizontal="right" vertical="center"/>
      <protection locked="0" hidden="0"/>
    </xf>
    <xf numFmtId="0" fontId="14" fillId="0" borderId="1" applyAlignment="1" applyProtection="1" pivotButton="0" quotePrefix="0" xfId="0">
      <alignment horizontal="left" vertical="bottom" wrapText="1" indent="1"/>
      <protection locked="0" hidden="0"/>
    </xf>
    <xf numFmtId="0" fontId="18" fillId="0" borderId="0" pivotButton="0" quotePrefix="0" xfId="0"/>
    <xf numFmtId="0" fontId="19" fillId="4" borderId="3" pivotButton="0" quotePrefix="0" xfId="0"/>
    <xf numFmtId="0" fontId="20" fillId="5" borderId="0" pivotButton="0" quotePrefix="0" xfId="0"/>
    <xf numFmtId="0" fontId="0" fillId="5" borderId="0" pivotButton="0" quotePrefix="0" xfId="0"/>
    <xf numFmtId="0" fontId="0" fillId="0" borderId="3" pivotButton="0" quotePrefix="0" xfId="0"/>
    <xf numFmtId="167" fontId="0" fillId="0" borderId="3" applyProtection="1" pivotButton="0" quotePrefix="0" xfId="0">
      <protection locked="0" hidden="0"/>
    </xf>
    <xf numFmtId="167" fontId="0" fillId="0" borderId="3" pivotButton="0" quotePrefix="0" xfId="0"/>
    <xf numFmtId="0" fontId="0" fillId="0" borderId="3" applyProtection="1" pivotButton="0" quotePrefix="0" xfId="0">
      <protection locked="0" hidden="0"/>
    </xf>
    <xf numFmtId="0" fontId="21" fillId="6" borderId="3" pivotButton="0" quotePrefix="0" xfId="0"/>
    <xf numFmtId="167" fontId="22" fillId="6" borderId="3" pivotButton="0" quotePrefix="0" xfId="0"/>
    <xf numFmtId="0" fontId="23" fillId="4" borderId="0" pivotButton="0" quotePrefix="0" xfId="0"/>
    <xf numFmtId="167" fontId="19" fillId="4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7" fillId="0" borderId="0" pivotButton="0" quotePrefix="0" xfId="0"/>
    <xf numFmtId="0" fontId="2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BFBFBF"/>
      <rgbColor rgb="FF7A7974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IGCE Cost by Category (3-Year Total)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'IGCE Summary'!F5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'IGCE Summary'!$B$6:$B$10</f>
            </numRef>
          </cat>
          <val>
            <numRef>
              <f>'IGCE Summary'!$F$6:$F$10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N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30" min="1" max="1"/>
    <col width="22" customWidth="1" style="30" min="2" max="2"/>
    <col width="35" customWidth="1" style="30" min="3" max="3"/>
    <col width="12" customWidth="1" style="30" min="4" max="7"/>
    <col width="10" customWidth="1" style="30" min="8" max="8"/>
    <col width="12" customWidth="1" style="30" min="9" max="9"/>
    <col width="10" customWidth="1" style="30" min="10" max="10"/>
    <col width="16" customWidth="1" style="30" min="11" max="13"/>
    <col width="18" customWidth="1" style="30" min="14" max="14"/>
  </cols>
  <sheetData>
    <row r="2" ht="30" customHeight="1" s="31">
      <c r="B2" s="32" t="inlineStr">
        <is>
          <t>Independent Government Cost Estimate (IGCE) — Labor</t>
        </is>
      </c>
    </row>
    <row r="3" ht="15" customHeight="1" s="31">
      <c r="B3" s="33" t="inlineStr">
        <is>
          <t>Cost-reimbursement contract labor estimate with indirect rate build-up</t>
        </is>
      </c>
    </row>
    <row r="5" ht="30" customHeight="1" s="31">
      <c r="B5" s="34" t="inlineStr">
        <is>
          <t>LCAT</t>
        </is>
      </c>
      <c r="C5" s="34" t="inlineStr">
        <is>
          <t>Description</t>
        </is>
      </c>
      <c r="D5" s="34" t="inlineStr">
        <is>
          <t>Hours Yr 1</t>
        </is>
      </c>
      <c r="E5" s="34" t="inlineStr">
        <is>
          <t>Hours Yr 2</t>
        </is>
      </c>
      <c r="F5" s="34" t="inlineStr">
        <is>
          <t>Hours Yr 3</t>
        </is>
      </c>
      <c r="G5" s="34" t="inlineStr">
        <is>
          <t>Hourly Rate</t>
        </is>
      </c>
      <c r="H5" s="34" t="inlineStr">
        <is>
          <t>Fringe %</t>
        </is>
      </c>
      <c r="I5" s="34" t="inlineStr">
        <is>
          <t>Overhead %</t>
        </is>
      </c>
      <c r="J5" s="34" t="inlineStr">
        <is>
          <t>G&amp;A %</t>
        </is>
      </c>
      <c r="K5" s="34" t="inlineStr">
        <is>
          <t>Total Yr 1</t>
        </is>
      </c>
      <c r="L5" s="34" t="inlineStr">
        <is>
          <t>Total Yr 2</t>
        </is>
      </c>
      <c r="M5" s="34" t="inlineStr">
        <is>
          <t>Total Yr 3</t>
        </is>
      </c>
      <c r="N5" s="34" t="inlineStr">
        <is>
          <t>Total 3-Year</t>
        </is>
      </c>
    </row>
    <row r="6" ht="30" customHeight="1" s="31">
      <c r="B6" s="35" t="inlineStr">
        <is>
          <t>Program Manager</t>
        </is>
      </c>
      <c r="C6" s="36" t="inlineStr">
        <is>
          <t>Overall program leadership, status reporting, EVM oversight</t>
        </is>
      </c>
      <c r="D6" s="60" t="n">
        <v>1920</v>
      </c>
      <c r="E6" s="60" t="n">
        <v>1920</v>
      </c>
      <c r="F6" s="60" t="n">
        <v>1920</v>
      </c>
      <c r="G6" s="61" t="n">
        <v>165</v>
      </c>
      <c r="H6" s="62" t="n">
        <v>0.32</v>
      </c>
      <c r="I6" s="62" t="n">
        <v>0.45</v>
      </c>
      <c r="J6" s="62" t="n">
        <v>0.08</v>
      </c>
      <c r="K6" s="40">
        <f>D6*G6*(1+H6)*(1+I6)*(1+J6)</f>
        <v/>
      </c>
      <c r="L6" s="40">
        <f>E6*G6*(1+H6)*(1+I6)*(1+J6)</f>
        <v/>
      </c>
      <c r="M6" s="40">
        <f>F6*G6*(1+H6)*(1+I6)*(1+J6)</f>
        <v/>
      </c>
      <c r="N6" s="41">
        <f>K6+L6+M6</f>
        <v/>
      </c>
    </row>
    <row r="7" ht="30" customHeight="1" s="31">
      <c r="B7" s="35" t="inlineStr">
        <is>
          <t>Systems Engineer Sr</t>
        </is>
      </c>
      <c r="C7" s="36" t="inlineStr">
        <is>
          <t>Systems architecture, requirements analysis, design reviews</t>
        </is>
      </c>
      <c r="D7" s="60" t="n">
        <v>1880</v>
      </c>
      <c r="E7" s="60" t="n">
        <v>1880</v>
      </c>
      <c r="F7" s="60" t="n">
        <v>1880</v>
      </c>
      <c r="G7" s="61" t="n">
        <v>145</v>
      </c>
      <c r="H7" s="62" t="n">
        <v>0.32</v>
      </c>
      <c r="I7" s="62" t="n">
        <v>0.45</v>
      </c>
      <c r="J7" s="62" t="n">
        <v>0.08</v>
      </c>
      <c r="K7" s="40">
        <f>D7*G7*(1+H7)*(1+I7)*(1+J7)</f>
        <v/>
      </c>
      <c r="L7" s="40">
        <f>E7*G7*(1+H7)*(1+I7)*(1+J7)</f>
        <v/>
      </c>
      <c r="M7" s="40">
        <f>F7*G7*(1+H7)*(1+I7)*(1+J7)</f>
        <v/>
      </c>
      <c r="N7" s="41">
        <f>K7+L7+M7</f>
        <v/>
      </c>
    </row>
    <row r="8" ht="30" customHeight="1" s="31">
      <c r="B8" s="35" t="inlineStr">
        <is>
          <t>Systems Engineer Jr</t>
        </is>
      </c>
      <c r="C8" s="36" t="inlineStr">
        <is>
          <t>Requirements traceability, test support, documentation</t>
        </is>
      </c>
      <c r="D8" s="60" t="n">
        <v>1920</v>
      </c>
      <c r="E8" s="60" t="n">
        <v>1920</v>
      </c>
      <c r="F8" s="60" t="n">
        <v>1920</v>
      </c>
      <c r="G8" s="61" t="n">
        <v>95</v>
      </c>
      <c r="H8" s="62" t="n">
        <v>0.32</v>
      </c>
      <c r="I8" s="62" t="n">
        <v>0.45</v>
      </c>
      <c r="J8" s="62" t="n">
        <v>0.08</v>
      </c>
      <c r="K8" s="40">
        <f>D8*G8*(1+H8)*(1+I8)*(1+J8)</f>
        <v/>
      </c>
      <c r="L8" s="40">
        <f>E8*G8*(1+H8)*(1+I8)*(1+J8)</f>
        <v/>
      </c>
      <c r="M8" s="40">
        <f>F8*G8*(1+H8)*(1+I8)*(1+J8)</f>
        <v/>
      </c>
      <c r="N8" s="41">
        <f>K8+L8+M8</f>
        <v/>
      </c>
    </row>
    <row r="9" ht="30" customHeight="1" s="31">
      <c r="B9" s="35" t="inlineStr">
        <is>
          <t>Contracts Specialist</t>
        </is>
      </c>
      <c r="C9" s="36" t="inlineStr">
        <is>
          <t>Contract administration, modifications, compliance monitoring</t>
        </is>
      </c>
      <c r="D9" s="60" t="n">
        <v>960</v>
      </c>
      <c r="E9" s="60" t="n">
        <v>960</v>
      </c>
      <c r="F9" s="60" t="n">
        <v>960</v>
      </c>
      <c r="G9" s="61" t="n">
        <v>110</v>
      </c>
      <c r="H9" s="62" t="n">
        <v>0.32</v>
      </c>
      <c r="I9" s="62" t="n">
        <v>0.45</v>
      </c>
      <c r="J9" s="62" t="n">
        <v>0.08</v>
      </c>
      <c r="K9" s="40">
        <f>D9*G9*(1+H9)*(1+I9)*(1+J9)</f>
        <v/>
      </c>
      <c r="L9" s="40">
        <f>E9*G9*(1+H9)*(1+I9)*(1+J9)</f>
        <v/>
      </c>
      <c r="M9" s="40">
        <f>F9*G9*(1+H9)*(1+I9)*(1+J9)</f>
        <v/>
      </c>
      <c r="N9" s="41">
        <f>K9+L9+M9</f>
        <v/>
      </c>
    </row>
    <row r="10" ht="30" customHeight="1" s="31">
      <c r="B10" s="35" t="inlineStr">
        <is>
          <t>Financial Analyst</t>
        </is>
      </c>
      <c r="C10" s="36" t="inlineStr">
        <is>
          <t>EVM analysis, cost reporting, budget tracking, variance analysis</t>
        </is>
      </c>
      <c r="D10" s="60" t="n">
        <v>1920</v>
      </c>
      <c r="E10" s="60" t="n">
        <v>1920</v>
      </c>
      <c r="F10" s="60" t="n">
        <v>1920</v>
      </c>
      <c r="G10" s="61" t="n">
        <v>105</v>
      </c>
      <c r="H10" s="62" t="n">
        <v>0.32</v>
      </c>
      <c r="I10" s="62" t="n">
        <v>0.45</v>
      </c>
      <c r="J10" s="62" t="n">
        <v>0.08</v>
      </c>
      <c r="K10" s="40">
        <f>D10*G10*(1+H10)*(1+I10)*(1+J10)</f>
        <v/>
      </c>
      <c r="L10" s="40">
        <f>E10*G10*(1+H10)*(1+I10)*(1+J10)</f>
        <v/>
      </c>
      <c r="M10" s="40">
        <f>F10*G10*(1+H10)*(1+I10)*(1+J10)</f>
        <v/>
      </c>
      <c r="N10" s="41">
        <f>K10+L10+M10</f>
        <v/>
      </c>
    </row>
    <row r="11" ht="30" customHeight="1" s="31">
      <c r="B11" s="35" t="inlineStr">
        <is>
          <t>Technical Writer</t>
        </is>
      </c>
      <c r="C11" s="36" t="inlineStr">
        <is>
          <t>CDRL preparation, documentation, SOPs, user manuals</t>
        </is>
      </c>
      <c r="D11" s="60" t="n">
        <v>1440</v>
      </c>
      <c r="E11" s="60" t="n">
        <v>1440</v>
      </c>
      <c r="F11" s="60" t="n">
        <v>1440</v>
      </c>
      <c r="G11" s="61" t="n">
        <v>75</v>
      </c>
      <c r="H11" s="62" t="n">
        <v>0.32</v>
      </c>
      <c r="I11" s="62" t="n">
        <v>0.45</v>
      </c>
      <c r="J11" s="62" t="n">
        <v>0.08</v>
      </c>
      <c r="K11" s="40">
        <f>D11*G11*(1+H11)*(1+I11)*(1+J11)</f>
        <v/>
      </c>
      <c r="L11" s="40">
        <f>E11*G11*(1+H11)*(1+I11)*(1+J11)</f>
        <v/>
      </c>
      <c r="M11" s="40">
        <f>F11*G11*(1+H11)*(1+I11)*(1+J11)</f>
        <v/>
      </c>
      <c r="N11" s="41">
        <f>K11+L11+M11</f>
        <v/>
      </c>
    </row>
    <row r="12" ht="30" customHeight="1" s="31">
      <c r="B12" s="35" t="inlineStr">
        <is>
          <t>Quality Assurance Spec</t>
        </is>
      </c>
      <c r="C12" s="36" t="inlineStr">
        <is>
          <t>Quality management, audits, CMMI compliance, process improvement</t>
        </is>
      </c>
      <c r="D12" s="60" t="n">
        <v>960</v>
      </c>
      <c r="E12" s="60" t="n">
        <v>960</v>
      </c>
      <c r="F12" s="60" t="n">
        <v>960</v>
      </c>
      <c r="G12" s="61" t="n">
        <v>100</v>
      </c>
      <c r="H12" s="62" t="n">
        <v>0.32</v>
      </c>
      <c r="I12" s="62" t="n">
        <v>0.45</v>
      </c>
      <c r="J12" s="62" t="n">
        <v>0.08</v>
      </c>
      <c r="K12" s="40">
        <f>D12*G12*(1+H12)*(1+I12)*(1+J12)</f>
        <v/>
      </c>
      <c r="L12" s="40">
        <f>E12*G12*(1+H12)*(1+I12)*(1+J12)</f>
        <v/>
      </c>
      <c r="M12" s="40">
        <f>F12*G12*(1+H12)*(1+I12)*(1+J12)</f>
        <v/>
      </c>
      <c r="N12" s="41">
        <f>K12+L12+M12</f>
        <v/>
      </c>
    </row>
    <row r="13" ht="30" customHeight="1" s="31">
      <c r="B13" s="35" t="inlineStr">
        <is>
          <t>Administrative Support</t>
        </is>
      </c>
      <c r="C13" s="36" t="inlineStr">
        <is>
          <t>Program office administration, travel coordination, records management</t>
        </is>
      </c>
      <c r="D13" s="60" t="n">
        <v>1920</v>
      </c>
      <c r="E13" s="60" t="n">
        <v>1920</v>
      </c>
      <c r="F13" s="60" t="n">
        <v>1920</v>
      </c>
      <c r="G13" s="61" t="n">
        <v>55</v>
      </c>
      <c r="H13" s="62" t="n">
        <v>0.32</v>
      </c>
      <c r="I13" s="62" t="n">
        <v>0.45</v>
      </c>
      <c r="J13" s="62" t="n">
        <v>0.08</v>
      </c>
      <c r="K13" s="40">
        <f>D13*G13*(1+H13)*(1+I13)*(1+J13)</f>
        <v/>
      </c>
      <c r="L13" s="40">
        <f>E13*G13*(1+H13)*(1+I13)*(1+J13)</f>
        <v/>
      </c>
      <c r="M13" s="40">
        <f>F13*G13*(1+H13)*(1+I13)*(1+J13)</f>
        <v/>
      </c>
      <c r="N13" s="41">
        <f>K13+L13+M13</f>
        <v/>
      </c>
    </row>
    <row r="14" ht="30" customHeight="1" s="31">
      <c r="B14" s="35" t="inlineStr">
        <is>
          <t>Subcontract Manager</t>
        </is>
      </c>
      <c r="C14" s="36" t="inlineStr">
        <is>
          <t>Subcontractor oversight, performance monitoring, consent coordination</t>
        </is>
      </c>
      <c r="D14" s="60" t="n">
        <v>960</v>
      </c>
      <c r="E14" s="60" t="n">
        <v>960</v>
      </c>
      <c r="F14" s="60" t="n">
        <v>960</v>
      </c>
      <c r="G14" s="61" t="n">
        <v>120</v>
      </c>
      <c r="H14" s="62" t="n">
        <v>0.32</v>
      </c>
      <c r="I14" s="62" t="n">
        <v>0.45</v>
      </c>
      <c r="J14" s="62" t="n">
        <v>0.08</v>
      </c>
      <c r="K14" s="40">
        <f>D14*G14*(1+H14)*(1+I14)*(1+J14)</f>
        <v/>
      </c>
      <c r="L14" s="40">
        <f>E14*G14*(1+H14)*(1+I14)*(1+J14)</f>
        <v/>
      </c>
      <c r="M14" s="40">
        <f>F14*G14*(1+H14)*(1+I14)*(1+J14)</f>
        <v/>
      </c>
      <c r="N14" s="41">
        <f>K14+L14+M14</f>
        <v/>
      </c>
    </row>
    <row r="15" ht="30" customHeight="1" s="31">
      <c r="B15" s="35" t="inlineStr">
        <is>
          <t>IT Specialist</t>
        </is>
      </c>
      <c r="C15" s="36" t="inlineStr">
        <is>
          <t>Network administration, cybersecurity compliance, system maintenance</t>
        </is>
      </c>
      <c r="D15" s="60" t="n">
        <v>1920</v>
      </c>
      <c r="E15" s="60" t="n">
        <v>1920</v>
      </c>
      <c r="F15" s="60" t="n">
        <v>1920</v>
      </c>
      <c r="G15" s="61" t="n">
        <v>115</v>
      </c>
      <c r="H15" s="62" t="n">
        <v>0.32</v>
      </c>
      <c r="I15" s="62" t="n">
        <v>0.45</v>
      </c>
      <c r="J15" s="62" t="n">
        <v>0.08</v>
      </c>
      <c r="K15" s="40">
        <f>D15*G15*(1+H15)*(1+I15)*(1+J15)</f>
        <v/>
      </c>
      <c r="L15" s="40">
        <f>E15*G15*(1+H15)*(1+I15)*(1+J15)</f>
        <v/>
      </c>
      <c r="M15" s="40">
        <f>F15*G15*(1+H15)*(1+I15)*(1+J15)</f>
        <v/>
      </c>
      <c r="N15" s="41">
        <f>K15+L15+M15</f>
        <v/>
      </c>
    </row>
    <row r="17" ht="24.75" customHeight="1" s="31">
      <c r="B17" s="42" t="inlineStr">
        <is>
          <t>TOTAL LABOR</t>
        </is>
      </c>
      <c r="C17" s="43" t="n"/>
      <c r="D17" s="44">
        <f>SUM(D6:D15)</f>
        <v/>
      </c>
      <c r="E17" s="44">
        <f>SUM(E6:E15)</f>
        <v/>
      </c>
      <c r="F17" s="44">
        <f>SUM(F6:F15)</f>
        <v/>
      </c>
      <c r="G17" s="43" t="n"/>
      <c r="H17" s="43" t="n"/>
      <c r="I17" s="43" t="n"/>
      <c r="J17" s="43" t="n"/>
      <c r="K17" s="45">
        <f>SUM(K6:K15)</f>
        <v/>
      </c>
      <c r="L17" s="45">
        <f>SUM(L6:L15)</f>
        <v/>
      </c>
      <c r="M17" s="45">
        <f>SUM(M6:M15)</f>
        <v/>
      </c>
      <c r="N17" s="45">
        <f>SUM(N6:N15)</f>
        <v/>
      </c>
    </row>
    <row r="19" ht="34.5" customHeight="1" s="31">
      <c r="B19" s="46" t="inlineStr">
        <is>
          <t>Note: Fee/profit is NOT included in this estimate. Fee will be evaluated separately per FAR 15.404-4. Indirect rates shown are estimated; actual rates will be determined during contract negotiations and subject to DCAA audit.</t>
        </is>
      </c>
    </row>
    <row r="21" ht="15" customHeight="1" s="31">
      <c r="B21" s="47" t="inlineStr">
        <is>
          <t>Template by Acqlerate — Defense Acquisitions Academy | www.acqlerate.com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4">
    <mergeCell ref="B3:N3"/>
    <mergeCell ref="B2:N2"/>
    <mergeCell ref="B19:N19"/>
    <mergeCell ref="B21:N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3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style="31" min="1" max="1"/>
    <col width="32" customWidth="1" style="31" min="2" max="2"/>
    <col width="13" customWidth="1" style="31" min="3" max="3"/>
    <col width="13" customWidth="1" style="31" min="4" max="4"/>
    <col width="13" customWidth="1" style="31" min="5" max="5"/>
    <col width="13" customWidth="1" style="31" min="6" max="6"/>
    <col width="46" customWidth="1" style="31" min="7" max="7"/>
  </cols>
  <sheetData>
    <row r="2">
      <c r="B2" s="65" t="inlineStr">
        <is>
          <t>Other Direct Costs (ODC) &amp; Travel Estimate</t>
        </is>
      </c>
    </row>
    <row r="4">
      <c r="B4" s="66" t="inlineStr">
        <is>
          <t>Item</t>
        </is>
      </c>
      <c r="C4" s="66" t="inlineStr">
        <is>
          <t>Year 1</t>
        </is>
      </c>
      <c r="D4" s="66" t="inlineStr">
        <is>
          <t>Year 2</t>
        </is>
      </c>
      <c r="E4" s="66" t="inlineStr">
        <is>
          <t>Year 3</t>
        </is>
      </c>
      <c r="F4" s="66" t="inlineStr">
        <is>
          <t>Total</t>
        </is>
      </c>
      <c r="G4" s="66" t="inlineStr">
        <is>
          <t>Notes</t>
        </is>
      </c>
    </row>
    <row r="5">
      <c r="B5" s="67" t="inlineStr">
        <is>
          <t>MATERIALS</t>
        </is>
      </c>
      <c r="C5" s="68" t="n"/>
      <c r="D5" s="68" t="n"/>
      <c r="E5" s="68" t="n"/>
      <c r="F5" s="68" t="n"/>
      <c r="G5" s="68" t="n"/>
    </row>
    <row r="6">
      <c r="B6" s="69" t="inlineStr">
        <is>
          <t>Software Licenses (COTS)</t>
        </is>
      </c>
      <c r="C6" s="70" t="n">
        <v>85000</v>
      </c>
      <c r="D6" s="70" t="n">
        <v>87550</v>
      </c>
      <c r="E6" s="70" t="n">
        <v>90177</v>
      </c>
      <c r="F6" s="71">
        <f>C6+D6+E6</f>
        <v/>
      </c>
      <c r="G6" s="72" t="inlineStr">
        <is>
          <t>Annual licenses for JIRA, Confluence, MS Project; 3% annual escalation</t>
        </is>
      </c>
    </row>
    <row r="7">
      <c r="B7" s="69" t="inlineStr">
        <is>
          <t>Hardware/Equipment</t>
        </is>
      </c>
      <c r="C7" s="70" t="n">
        <v>45000</v>
      </c>
      <c r="D7" s="70" t="n">
        <v>15000</v>
      </c>
      <c r="E7" s="70" t="n">
        <v>15000</v>
      </c>
      <c r="F7" s="71">
        <f>C7+D7+E7</f>
        <v/>
      </c>
      <c r="G7" s="72" t="inlineStr">
        <is>
          <t>Initial workstation setup Y1; replacement/refresh Y2-Y3</t>
        </is>
      </c>
    </row>
    <row r="8">
      <c r="B8" s="69" t="inlineStr">
        <is>
          <t>Office Supplies &amp; Consumables</t>
        </is>
      </c>
      <c r="C8" s="70" t="n">
        <v>8000</v>
      </c>
      <c r="D8" s="70" t="n">
        <v>8000</v>
      </c>
      <c r="E8" s="70" t="n">
        <v>8000</v>
      </c>
      <c r="F8" s="71">
        <f>C8+D8+E8</f>
        <v/>
      </c>
      <c r="G8" s="72" t="inlineStr">
        <is>
          <t>Program office supplies, printing, reproduction</t>
        </is>
      </c>
    </row>
    <row r="9">
      <c r="B9" s="73" t="inlineStr">
        <is>
          <t>Materials Subtotal</t>
        </is>
      </c>
      <c r="C9" s="74">
        <f>SUM(C6:C8)</f>
        <v/>
      </c>
      <c r="D9" s="74">
        <f>SUM(D6:D8)</f>
        <v/>
      </c>
      <c r="E9" s="74">
        <f>SUM(E6:E8)</f>
        <v/>
      </c>
      <c r="F9" s="74">
        <f>SUM(F6:F8)</f>
        <v/>
      </c>
    </row>
    <row r="11">
      <c r="B11" s="67" t="inlineStr">
        <is>
          <t>TRAVEL</t>
        </is>
      </c>
      <c r="C11" s="68" t="n"/>
      <c r="D11" s="68" t="n"/>
      <c r="E11" s="68" t="n"/>
      <c r="F11" s="68" t="n"/>
      <c r="G11" s="68" t="n"/>
    </row>
    <row r="12">
      <c r="B12" s="69" t="inlineStr">
        <is>
          <t>CONUS Travel — Program Reviews</t>
        </is>
      </c>
      <c r="C12" s="70" t="n">
        <v>36000</v>
      </c>
      <c r="D12" s="70" t="n">
        <v>36000</v>
      </c>
      <c r="E12" s="70" t="n">
        <v>36000</v>
      </c>
      <c r="F12" s="71">
        <f>C12+D12+E12</f>
        <v/>
      </c>
      <c r="G12" s="72" t="inlineStr">
        <is>
          <t>6 trips/yr x 2 travelers x $3,000/trip (per JTR rates)</t>
        </is>
      </c>
    </row>
    <row r="13">
      <c r="B13" s="69" t="inlineStr">
        <is>
          <t>CONUS Travel — Test Events</t>
        </is>
      </c>
      <c r="C13" s="70" t="n">
        <v>24000</v>
      </c>
      <c r="D13" s="70" t="n">
        <v>24000</v>
      </c>
      <c r="E13" s="70" t="n">
        <v>24000</v>
      </c>
      <c r="F13" s="71">
        <f>C13+D13+E13</f>
        <v/>
      </c>
      <c r="G13" s="72" t="inlineStr">
        <is>
          <t>4 test events/yr x 2 travelers x $3,000/trip</t>
        </is>
      </c>
    </row>
    <row r="14">
      <c r="B14" s="69" t="inlineStr">
        <is>
          <t>OCONUS Travel</t>
        </is>
      </c>
      <c r="C14" s="70" t="n">
        <v>15000</v>
      </c>
      <c r="D14" s="70" t="n">
        <v>15000</v>
      </c>
      <c r="E14" s="70" t="n">
        <v>15000</v>
      </c>
      <c r="F14" s="71">
        <f>C14+D14+E14</f>
        <v/>
      </c>
      <c r="G14" s="72" t="inlineStr">
        <is>
          <t>1 trip/yr x 2 travelers to theater for site assessment</t>
        </is>
      </c>
    </row>
    <row r="15">
      <c r="B15" s="69" t="inlineStr">
        <is>
          <t>Local Travel</t>
        </is>
      </c>
      <c r="C15" s="70" t="n">
        <v>6000</v>
      </c>
      <c r="D15" s="70" t="n">
        <v>6000</v>
      </c>
      <c r="E15" s="70" t="n">
        <v>6000</v>
      </c>
      <c r="F15" s="71">
        <f>C15+D15+E15</f>
        <v/>
      </c>
      <c r="G15" s="72" t="inlineStr">
        <is>
          <t>Monthly travel to government site; mileage per GSA rate</t>
        </is>
      </c>
    </row>
    <row r="16">
      <c r="B16" s="73" t="inlineStr">
        <is>
          <t>Travel Subtotal</t>
        </is>
      </c>
      <c r="C16" s="74">
        <f>SUM(C12:C15)</f>
        <v/>
      </c>
      <c r="D16" s="74">
        <f>SUM(D12:D15)</f>
        <v/>
      </c>
      <c r="E16" s="74">
        <f>SUM(E12:E15)</f>
        <v/>
      </c>
      <c r="F16" s="74">
        <f>SUM(F12:F15)</f>
        <v/>
      </c>
    </row>
    <row r="18">
      <c r="B18" s="67" t="inlineStr">
        <is>
          <t>SUBCONTRACTS</t>
        </is>
      </c>
      <c r="C18" s="68" t="n"/>
      <c r="D18" s="68" t="n"/>
      <c r="E18" s="68" t="n"/>
      <c r="F18" s="68" t="n"/>
      <c r="G18" s="68" t="n"/>
    </row>
    <row r="19">
      <c r="B19" s="69" t="inlineStr">
        <is>
          <t>Cybersecurity Toolset Provider</t>
        </is>
      </c>
      <c r="C19" s="70" t="n">
        <v>250000</v>
      </c>
      <c r="D19" s="70" t="n">
        <v>250000</v>
      </c>
      <c r="E19" s="70" t="n">
        <v>250000</v>
      </c>
      <c r="F19" s="71">
        <f>C19+D19+E19</f>
        <v/>
      </c>
      <c r="G19" s="72" t="inlineStr">
        <is>
          <t>CMMC compliance tools and monitoring; FFP subcontract</t>
        </is>
      </c>
    </row>
    <row r="20">
      <c r="B20" s="69" t="inlineStr">
        <is>
          <t>Specialized Testing Lab</t>
        </is>
      </c>
      <c r="C20" s="70" t="n">
        <v>75000</v>
      </c>
      <c r="D20" s="70" t="n">
        <v>75000</v>
      </c>
      <c r="E20" s="70" t="n">
        <v>50000</v>
      </c>
      <c r="F20" s="71">
        <f>C20+D20+E20</f>
        <v/>
      </c>
      <c r="G20" s="72" t="inlineStr">
        <is>
          <t>IV&amp;V testing; reduced Y3 as system matures</t>
        </is>
      </c>
    </row>
    <row r="21">
      <c r="B21" s="73" t="inlineStr">
        <is>
          <t>Subcontracts Subtotal</t>
        </is>
      </c>
      <c r="C21" s="74">
        <f>SUM(C19:C20)</f>
        <v/>
      </c>
      <c r="D21" s="74">
        <f>SUM(D19:D20)</f>
        <v/>
      </c>
      <c r="E21" s="74">
        <f>SUM(E19:E20)</f>
        <v/>
      </c>
      <c r="F21" s="74">
        <f>SUM(F19:F20)</f>
        <v/>
      </c>
    </row>
    <row r="23">
      <c r="B23" s="67" t="inlineStr">
        <is>
          <t>OTHER</t>
        </is>
      </c>
      <c r="C23" s="68" t="n"/>
      <c r="D23" s="68" t="n"/>
      <c r="E23" s="68" t="n"/>
      <c r="F23" s="68" t="n"/>
      <c r="G23" s="68" t="n"/>
    </row>
    <row r="24">
      <c r="B24" s="69" t="inlineStr">
        <is>
          <t>Training &amp; Certification</t>
        </is>
      </c>
      <c r="C24" s="70" t="n">
        <v>20000</v>
      </c>
      <c r="D24" s="70" t="n">
        <v>15000</v>
      </c>
      <c r="E24" s="70" t="n">
        <v>15000</v>
      </c>
      <c r="F24" s="71">
        <f>C24+D24+E24</f>
        <v/>
      </c>
      <c r="G24" s="72" t="inlineStr">
        <is>
          <t>PMP, ITIL, Security+ certifications; initial ramp Y1</t>
        </is>
      </c>
    </row>
    <row r="25">
      <c r="B25" s="69" t="inlineStr">
        <is>
          <t>Communications (SIPR/NIPR)</t>
        </is>
      </c>
      <c r="C25" s="70" t="n">
        <v>18000</v>
      </c>
      <c r="D25" s="70" t="n">
        <v>18000</v>
      </c>
      <c r="E25" s="70" t="n">
        <v>18000</v>
      </c>
      <c r="F25" s="71">
        <f>C25+D25+E25</f>
        <v/>
      </c>
      <c r="G25" s="72" t="inlineStr">
        <is>
          <t>Secure communication lines and VPN services</t>
        </is>
      </c>
    </row>
    <row r="26">
      <c r="B26" s="73" t="inlineStr">
        <is>
          <t>Other Subtotal</t>
        </is>
      </c>
      <c r="C26" s="74">
        <f>SUM(C24:C25)</f>
        <v/>
      </c>
      <c r="D26" s="74">
        <f>SUM(D24:D25)</f>
        <v/>
      </c>
      <c r="E26" s="74">
        <f>SUM(E24:E25)</f>
        <v/>
      </c>
      <c r="F26" s="74">
        <f>SUM(F24:F25)</f>
        <v/>
      </c>
    </row>
    <row r="28">
      <c r="B28" s="75" t="inlineStr">
        <is>
          <t>TOTAL ODC &amp; TRAVEL</t>
        </is>
      </c>
      <c r="C28" s="76">
        <f>C9+C16+C21+C26</f>
        <v/>
      </c>
      <c r="D28" s="76">
        <f>D9+D16+D21+D26</f>
        <v/>
      </c>
      <c r="E28" s="76">
        <f>E9+E16+E21+E26</f>
        <v/>
      </c>
      <c r="F28" s="76">
        <f>F9+F16+F21+F26</f>
        <v/>
      </c>
    </row>
    <row r="31">
      <c r="B31" s="77" t="inlineStr">
        <is>
          <t>Template by Acqlerate — Defense Acquisitions Academy | www.acqlerate.com</t>
        </is>
      </c>
    </row>
    <row r="32">
      <c r="B32" s="77" t="inlineStr">
        <is>
          <t>Generated: September 2026 | Updated: FAC 2025-06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F47"/>
  <sheetViews>
    <sheetView workbookViewId="0">
      <selection activeCell="A1" sqref="A1"/>
    </sheetView>
  </sheetViews>
  <sheetFormatPr baseColWidth="8" defaultRowHeight="15"/>
  <cols>
    <col width="2.5" customWidth="1" style="31" min="1" max="1"/>
    <col width="30" customWidth="1" style="31" min="2" max="2"/>
    <col width="14" customWidth="1" style="31" min="3" max="3"/>
    <col width="14" customWidth="1" style="31" min="4" max="4"/>
    <col width="14" customWidth="1" style="31" min="5" max="5"/>
    <col width="14" customWidth="1" style="31" min="6" max="6"/>
  </cols>
  <sheetData>
    <row r="2">
      <c r="B2" s="78" t="inlineStr">
        <is>
          <t>IGCE Summary — Total Program Estimate</t>
        </is>
      </c>
    </row>
    <row r="3">
      <c r="B3" s="79" t="inlineStr">
        <is>
          <t>Rolls up Labor and ODC estimates by cost category for the total independent government cost estimate</t>
        </is>
      </c>
    </row>
    <row r="5">
      <c r="B5" s="66" t="inlineStr">
        <is>
          <t>Cost Element</t>
        </is>
      </c>
      <c r="C5" s="66" t="inlineStr">
        <is>
          <t>Year 1</t>
        </is>
      </c>
      <c r="D5" s="66" t="inlineStr">
        <is>
          <t>Year 2</t>
        </is>
      </c>
      <c r="E5" s="66" t="inlineStr">
        <is>
          <t>Year 3</t>
        </is>
      </c>
      <c r="F5" s="66" t="inlineStr">
        <is>
          <t>Total</t>
        </is>
      </c>
    </row>
    <row r="6">
      <c r="B6" s="69" t="inlineStr">
        <is>
          <t>Labor (Loaded)</t>
        </is>
      </c>
      <c r="C6" s="71">
        <f>'Labor Estimate'!K17</f>
        <v/>
      </c>
      <c r="D6" s="71">
        <f>'Labor Estimate'!L17</f>
        <v/>
      </c>
      <c r="E6" s="71">
        <f>'Labor Estimate'!M17</f>
        <v/>
      </c>
      <c r="F6" s="71">
        <f>'Labor Estimate'!N17</f>
        <v/>
      </c>
    </row>
    <row r="7">
      <c r="B7" s="69" t="inlineStr">
        <is>
          <t>Materials</t>
        </is>
      </c>
      <c r="C7" s="71">
        <f>'ODC &amp; Travel'!C9</f>
        <v/>
      </c>
      <c r="D7" s="71">
        <f>'ODC &amp; Travel'!D9</f>
        <v/>
      </c>
      <c r="E7" s="71">
        <f>'ODC &amp; Travel'!E9</f>
        <v/>
      </c>
      <c r="F7" s="71">
        <f>'ODC &amp; Travel'!F9</f>
        <v/>
      </c>
    </row>
    <row r="8">
      <c r="B8" s="69" t="inlineStr">
        <is>
          <t>Travel</t>
        </is>
      </c>
      <c r="C8" s="71">
        <f>'ODC &amp; Travel'!C16</f>
        <v/>
      </c>
      <c r="D8" s="71">
        <f>'ODC &amp; Travel'!D16</f>
        <v/>
      </c>
      <c r="E8" s="71">
        <f>'ODC &amp; Travel'!E16</f>
        <v/>
      </c>
      <c r="F8" s="71">
        <f>'ODC &amp; Travel'!F16</f>
        <v/>
      </c>
    </row>
    <row r="9">
      <c r="B9" s="69" t="inlineStr">
        <is>
          <t>Subcontracts</t>
        </is>
      </c>
      <c r="C9" s="71">
        <f>'ODC &amp; Travel'!C21</f>
        <v/>
      </c>
      <c r="D9" s="71">
        <f>'ODC &amp; Travel'!D21</f>
        <v/>
      </c>
      <c r="E9" s="71">
        <f>'ODC &amp; Travel'!E21</f>
        <v/>
      </c>
      <c r="F9" s="71">
        <f>'ODC &amp; Travel'!F21</f>
        <v/>
      </c>
    </row>
    <row r="10">
      <c r="B10" s="69" t="inlineStr">
        <is>
          <t>Other</t>
        </is>
      </c>
      <c r="C10" s="71">
        <f>'ODC &amp; Travel'!C26</f>
        <v/>
      </c>
      <c r="D10" s="71">
        <f>'ODC &amp; Travel'!D26</f>
        <v/>
      </c>
      <c r="E10" s="71">
        <f>'ODC &amp; Travel'!E26</f>
        <v/>
      </c>
      <c r="F10" s="71">
        <f>'ODC &amp; Travel'!F26</f>
        <v/>
      </c>
    </row>
    <row r="12">
      <c r="B12" s="75" t="inlineStr">
        <is>
          <t>GRAND TOTAL (IGCE)</t>
        </is>
      </c>
      <c r="C12" s="76">
        <f>SUM(C6:C10)</f>
        <v/>
      </c>
      <c r="D12" s="76">
        <f>SUM(D6:D10)</f>
        <v/>
      </c>
      <c r="E12" s="76">
        <f>SUM(E6:E10)</f>
        <v/>
      </c>
      <c r="F12" s="76">
        <f>SUM(F6:F10)</f>
        <v/>
      </c>
    </row>
    <row r="32">
      <c r="B32" s="80" t="inlineStr">
        <is>
          <t>IGCE Requirements &amp; Notes</t>
        </is>
      </c>
    </row>
    <row r="33">
      <c r="B33" s="81" t="inlineStr">
        <is>
          <t>1. This IGCE was prepared in accordance with FAR 36.203 and agency IGCE guidelines. It represents the government's best estimate of anticipated contract costs.</t>
        </is>
      </c>
    </row>
    <row r="34">
      <c r="B34" s="81" t="inlineStr">
        <is>
          <t>2. Labor rates are based on market research of comparable DoD contracts, GSA Schedule rates, and Bureau of Labor Statistics (BLS) occupational data.</t>
        </is>
      </c>
    </row>
    <row r="35">
      <c r="B35" s="81" t="inlineStr">
        <is>
          <t>3. Indirect rates (fringe, overhead, G&amp;A) are estimated based on DCAA audit data for similarly sized defense contractors in the applicable geographic region.</t>
        </is>
      </c>
    </row>
    <row r="36">
      <c r="B36" s="81" t="inlineStr">
        <is>
          <t>4. Travel estimates are based on Joint Travel Regulations (JTR) per diem rates and General Services Administration (GSA) city pair airfares.</t>
        </is>
      </c>
    </row>
    <row r="37">
      <c r="B37" s="81" t="inlineStr">
        <is>
          <t>5. Fee/profit is NOT included. For cost-reimbursement contracts, fee will be negotiated per FAR 15.404-4 (weighted guidelines method).</t>
        </is>
      </c>
    </row>
    <row r="38">
      <c r="B38" s="81" t="inlineStr">
        <is>
          <t>6. A ±10% accuracy range is expected for this estimate. Final negotiated costs may vary based on contractor proposals and competitive dynamics.</t>
        </is>
      </c>
    </row>
    <row r="39">
      <c r="B39" s="81" t="inlineStr">
        <is>
          <t>7. This IGCE should be updated whenever significant changes occur to the PWS/SOW, period of performance, or economic conditions.</t>
        </is>
      </c>
    </row>
    <row r="40">
      <c r="B40" s="81" t="inlineStr">
        <is>
          <t>8. The IGCE is procurement-sensitive and should be marked FOUO / Source Selection Sensitive until after contract award.</t>
        </is>
      </c>
    </row>
    <row r="43">
      <c r="B43" s="77" t="inlineStr">
        <is>
          <t>Template by Acqlerate — Defense Acquisitions Academy | www.acqlerate.com</t>
        </is>
      </c>
    </row>
    <row r="44">
      <c r="B44" s="77" t="inlineStr">
        <is>
          <t>Generated: September 2026 | Updated: FAC 2025-06</t>
        </is>
      </c>
    </row>
    <row r="46">
      <c r="B46" s="82" t="inlineStr">
        <is>
          <t>License &amp; Use</t>
        </is>
      </c>
    </row>
    <row r="47">
      <c r="B47" s="83" t="inlineStr">
        <is>
          <t>This template is licensed for use on one program, by one organization, under your Acqlerate purchase. Customize the text, branding, and layout freely for your own program. Deploying it company-wide, sharing it outside your organization, or reselling it requires an Acqlerate Team License (acqlerate.com/team).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2026-03-23T14:38:14Z</dcterms:created>
  <dcterms:modified xmlns:dcterms="http://purl.org/dc/terms/" xmlns:xsi="http://www.w3.org/2001/XMLSchema-instance" xsi:type="dcterms:W3CDTF">2026-09-13T10:20:34Z</dcterms:modified>
  <cp:revision>0</cp:revision>
</cp:coreProperties>
</file>