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abor Estimate" sheetId="1" state="visible" r:id="rId3"/>
    <sheet name="ODC &amp; Travel" sheetId="2" state="visible" r:id="rId4"/>
    <sheet name="IGCE Summar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<sst xmlns="http://schemas.openxmlformats.org/spreadsheetml/2006/main" count="94" uniqueCount="88">
  <si>
    <t xml:space="preserve">Independent Government Cost Estimate (IGCE) — Labor</t>
  </si>
  <si>
    <t xml:space="preserve">Cost-reimbursement contract labor estimate with indirect rate build-up</t>
  </si>
  <si>
    <t xml:space="preserve">LCAT</t>
  </si>
  <si>
    <t xml:space="preserve">Description</t>
  </si>
  <si>
    <t xml:space="preserve">Hours Yr 1</t>
  </si>
  <si>
    <t xml:space="preserve">Hours Yr 2</t>
  </si>
  <si>
    <t xml:space="preserve">Hours Yr 3</t>
  </si>
  <si>
    <t xml:space="preserve">Hourly Rate</t>
  </si>
  <si>
    <t xml:space="preserve">Fringe %</t>
  </si>
  <si>
    <t xml:space="preserve">Overhead %</t>
  </si>
  <si>
    <t xml:space="preserve">G&amp;A %</t>
  </si>
  <si>
    <t xml:space="preserve">Total Yr 1</t>
  </si>
  <si>
    <t xml:space="preserve">Total Yr 2</t>
  </si>
  <si>
    <t xml:space="preserve">Total Yr 3</t>
  </si>
  <si>
    <t xml:space="preserve">Total 3-Year</t>
  </si>
  <si>
    <t xml:space="preserve">Program Manager</t>
  </si>
  <si>
    <t xml:space="preserve">Overall program leadership, status reporting, EVM oversight</t>
  </si>
  <si>
    <t xml:space="preserve">Systems Engineer Sr</t>
  </si>
  <si>
    <t xml:space="preserve">Systems architecture, requirements analysis, design reviews</t>
  </si>
  <si>
    <t xml:space="preserve">Systems Engineer Jr</t>
  </si>
  <si>
    <t xml:space="preserve">Requirements traceability, test support, documentation</t>
  </si>
  <si>
    <t xml:space="preserve">Contracts Specialist</t>
  </si>
  <si>
    <t xml:space="preserve">Contract administration, modifications, compliance monitoring</t>
  </si>
  <si>
    <t xml:space="preserve">Financial Analyst</t>
  </si>
  <si>
    <t xml:space="preserve">EVM analysis, cost reporting, budget tracking, variance analysis</t>
  </si>
  <si>
    <t xml:space="preserve">Technical Writer</t>
  </si>
  <si>
    <t xml:space="preserve">CDRL preparation, documentation, SOPs, user manuals</t>
  </si>
  <si>
    <t xml:space="preserve">Quality Assurance Spec</t>
  </si>
  <si>
    <t xml:space="preserve">Quality management, audits, CMMI compliance, process improvement</t>
  </si>
  <si>
    <t xml:space="preserve">Administrative Support</t>
  </si>
  <si>
    <t xml:space="preserve">Program office administration, travel coordination, records management</t>
  </si>
  <si>
    <t xml:space="preserve">Subcontract Manager</t>
  </si>
  <si>
    <t xml:space="preserve">Subcontractor oversight, performance monitoring, consent coordination</t>
  </si>
  <si>
    <t xml:space="preserve">IT Specialist</t>
  </si>
  <si>
    <t xml:space="preserve">Network administration, cybersecurity compliance, system maintenance</t>
  </si>
  <si>
    <t xml:space="preserve">TOTAL LABOR</t>
  </si>
  <si>
    <t xml:space="preserve">Note: Fee/profit is NOT included in this estimate. Fee will be evaluated separately per FAR 15.404-4. Indirect rates shown are estimated; actual rates will be determined during contract negotiations and subject to DCAA audit.</t>
  </si>
  <si>
    <t xml:space="preserve">Template by Acqlerate — Defense Acquisitions Academy | www.acqlerate.com</t>
  </si>
  <si>
    <t xml:space="preserve">Other Direct Costs (ODC) &amp; Travel Estimate</t>
  </si>
  <si>
    <t xml:space="preserve">Item</t>
  </si>
  <si>
    <t xml:space="preserve">Year 1</t>
  </si>
  <si>
    <t xml:space="preserve">Year 2</t>
  </si>
  <si>
    <t xml:space="preserve">Year 3</t>
  </si>
  <si>
    <t xml:space="preserve">Total</t>
  </si>
  <si>
    <t xml:space="preserve">Notes</t>
  </si>
  <si>
    <t xml:space="preserve">MATERIALS</t>
  </si>
  <si>
    <t xml:space="preserve">Software Licenses (COTS)</t>
  </si>
  <si>
    <t xml:space="preserve">Annual licenses for JIRA, Confluence, MS Project; 3% annual escalation</t>
  </si>
  <si>
    <t xml:space="preserve">Hardware/Equipment</t>
  </si>
  <si>
    <t xml:space="preserve">Initial workstation setup Y1; replacement/refresh Y2-Y3</t>
  </si>
  <si>
    <t xml:space="preserve">Office Supplies &amp; Consumables</t>
  </si>
  <si>
    <t xml:space="preserve">Program office supplies, printing, reproduction</t>
  </si>
  <si>
    <t xml:space="preserve">TRAVEL</t>
  </si>
  <si>
    <t xml:space="preserve">CONUS Travel — Program Reviews</t>
  </si>
  <si>
    <t xml:space="preserve">6 trips/yr × 2 travelers × $3,000/trip (per JTR rates)</t>
  </si>
  <si>
    <t xml:space="preserve">CONUS Travel — Test Events</t>
  </si>
  <si>
    <t xml:space="preserve">4 test events/yr × 2 travelers × $3,000/trip</t>
  </si>
  <si>
    <t xml:space="preserve">OCONUS Travel</t>
  </si>
  <si>
    <t xml:space="preserve">1 trip/yr × 2 travelers to theater for site assessment</t>
  </si>
  <si>
    <t xml:space="preserve">Local Travel</t>
  </si>
  <si>
    <t xml:space="preserve">Monthly travel to government site; mileage per GSA rate</t>
  </si>
  <si>
    <t xml:space="preserve">SUBCONTRACTS</t>
  </si>
  <si>
    <t xml:space="preserve">Cybersecurity Toolset Provider</t>
  </si>
  <si>
    <t xml:space="preserve">CMMC compliance tools and monitoring; FFP subcontract</t>
  </si>
  <si>
    <t xml:space="preserve">Specialized Testing Lab</t>
  </si>
  <si>
    <t xml:space="preserve">IV&amp;V testing; reduced Y3 as system matures</t>
  </si>
  <si>
    <t xml:space="preserve">OTHER</t>
  </si>
  <si>
    <t xml:space="preserve">Training &amp; Certification</t>
  </si>
  <si>
    <t xml:space="preserve">PMP, ITIL, Security+ certifications; initial ramp Y1</t>
  </si>
  <si>
    <t xml:space="preserve">Communications (SIPR/NIPR)</t>
  </si>
  <si>
    <t xml:space="preserve">Secure communication lines and VPN services</t>
  </si>
  <si>
    <t xml:space="preserve">TOTAL ODC &amp; TRAVEL</t>
  </si>
  <si>
    <t xml:space="preserve">IGCE Summary — Total Program Estimate</t>
  </si>
  <si>
    <t xml:space="preserve">Rolls up Labor and ODC estimates for total independent government cost estimate</t>
  </si>
  <si>
    <t xml:space="preserve">Cost Element</t>
  </si>
  <si>
    <t xml:space="preserve">Total Labor (Loaded)</t>
  </si>
  <si>
    <t xml:space="preserve">Total ODC &amp; Travel</t>
  </si>
  <si>
    <t xml:space="preserve">GRAND TOTAL (IGCE)</t>
  </si>
  <si>
    <t xml:space="preserve">IGCE Requirements &amp; Notes</t>
  </si>
  <si>
    <t xml:space="preserve">1. This IGCE was prepared in accordance with FAR 36.203 and agency IGCE guidelines. It represents the government's best estimate of anticipated contract costs.</t>
  </si>
  <si>
    <t xml:space="preserve">2. Labor rates are based on market research of comparable DoD contracts, GSA Schedule rates, and Bureau of Labor Statistics (BLS) occupational data.</t>
  </si>
  <si>
    <t xml:space="preserve">3. Indirect rates (fringe, overhead, G&amp;A) are estimated based on DCAA audit data for similarly sized defense contractors in the applicable geographic region.</t>
  </si>
  <si>
    <t xml:space="preserve">4. Travel estimates are based on Joint Travel Regulations (JTR) per diem rates and General Services Administration (GSA) city pair airfares.</t>
  </si>
  <si>
    <t xml:space="preserve">5. Fee/profit is NOT included. For cost-reimbursement contracts, fee will be negotiated per FAR 15.404-4 (weighted guidelines method).</t>
  </si>
  <si>
    <t xml:space="preserve">6. A ±10% accuracy range is expected for this estimate. Final negotiated costs may vary based on contractor proposals and competitive dynamics.</t>
  </si>
  <si>
    <t xml:space="preserve">7. This IGCE should be updated whenever significant changes occur to the PWS/SOW, period of performance, or economic conditions.</t>
  </si>
  <si>
    <t xml:space="preserve">8. The IGCE is procurement-sensitive and should be marked FOUO / Source Selection Sensitive until after contract award.</t>
  </si>
  <si>
    <t xml:space="preserve">Generated: 2026-03-23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</si>
</sst>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\$#,##0.00"/>
    <numFmt numFmtId="167" formatCode="0.0%"/>
    <numFmt numFmtId="168" formatCode="\$#,##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D1B2A"/>
      <name val="Arial"/>
      <family val="0"/>
      <charset val="1"/>
    </font>
    <font>
      <i val="true"/>
      <sz val="10"/>
      <color rgb="FF7A797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0D1B2A"/>
      <name val="Arial"/>
      <family val="0"/>
      <charset val="1"/>
    </font>
    <font>
      <i val="true"/>
      <sz val="9"/>
      <color rgb="FF7A7974"/>
      <name val="Arial"/>
      <family val="0"/>
      <charset val="1"/>
    </font>
    <font>
      <i val="true"/>
      <sz val="8"/>
      <color rgb="FF7A7974"/>
      <name val="Arial"/>
      <family val="0"/>
      <charset val="1"/>
    </font>
    <font>
      <b val="true"/>
      <sz val="10"/>
      <color rgb="FF01696F"/>
      <name val="Arial"/>
      <family val="0"/>
      <charset val="1"/>
    </font>
    <font>
      <sz val="9"/>
      <color rgb="FF555555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2"/>
      <color rgb="FF0D1B2A"/>
      <name val="Arial"/>
      <family val="0"/>
      <charset val="1"/>
    </font>
    <font>
      <b val="true"/>
      <sz val="13"/>
      <color rgb="FF01696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D1B2A"/>
        <bgColor rgb="FF000000"/>
      </patternFill>
    </fill>
    <fill>
      <patternFill patternType="solid">
        <fgColor rgb="FFF2F2F2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double">
        <color rgb="FF0D1B2A"/>
      </top>
      <bottom style="double">
        <color rgb="FF0D1B2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3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0" fillId="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4" fillId="0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3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6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1696F"/>
      <rgbColor rgb="FFBFBFBF"/>
      <rgbColor rgb="FF7A7974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D1B2A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35"/>
    <col collapsed="false" customWidth="true" hidden="false" outlineLevel="0" max="7" min="4" style="0" width="12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10"/>
    <col collapsed="false" customWidth="true" hidden="false" outlineLevel="0" max="13" min="11" style="0" width="16"/>
    <col collapsed="false" customWidth="true" hidden="false" outlineLevel="0" max="14" min="14" style="0" width="18"/>
  </cols>
  <sheetData>
    <row r="2" customFormat="false" ht="30" hidden="false" customHeight="true" outlineLevel="0" collapsed="false">
      <c r="B2" s="1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customFormat="false" ht="15" hidden="false" customHeight="false" outlineLevel="0" collapsed="false">
      <c r="B3" s="2" t="s">
        <v>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5" customFormat="false" ht="30" hidden="false" customHeight="true" outlineLevel="0" collapsed="false">
      <c r="B5" s="3" t="s">
        <v>2</v>
      </c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10</v>
      </c>
      <c r="K5" s="3" t="s">
        <v>11</v>
      </c>
      <c r="L5" s="3" t="s">
        <v>12</v>
      </c>
      <c r="M5" s="3" t="s">
        <v>13</v>
      </c>
      <c r="N5" s="3" t="s">
        <v>14</v>
      </c>
    </row>
    <row r="6" customFormat="false" ht="30" hidden="false" customHeight="true" outlineLevel="0" collapsed="false">
      <c r="B6" s="4" t="s">
        <v>15</v>
      </c>
      <c r="C6" s="5" t="s">
        <v>16</v>
      </c>
      <c r="D6" s="6" t="n">
        <v>1920</v>
      </c>
      <c r="E6" s="6" t="n">
        <v>1920</v>
      </c>
      <c r="F6" s="6" t="n">
        <v>1920</v>
      </c>
      <c r="G6" s="7" t="n">
        <v>165</v>
      </c>
      <c r="H6" s="8" t="n">
        <v>0.32</v>
      </c>
      <c r="I6" s="8" t="n">
        <v>0.45</v>
      </c>
      <c r="J6" s="8" t="n">
        <v>0.08</v>
      </c>
      <c r="K6" s="9" t="n">
        <f aca="false">D6*G6*(1+H6)*(1+I6)*(1+J6)</f>
        <v>654863.616</v>
      </c>
      <c r="L6" s="9" t="n">
        <f aca="false">E6*G6*(1+H6)*(1+I6)*(1+J6)</f>
        <v>654863.616</v>
      </c>
      <c r="M6" s="9" t="n">
        <f aca="false">F6*G6*(1+H6)*(1+I6)*(1+J6)</f>
        <v>654863.616</v>
      </c>
      <c r="N6" s="10" t="n">
        <f aca="false">K6+L6+M6</f>
        <v>1964590.848</v>
      </c>
    </row>
    <row r="7" customFormat="false" ht="30" hidden="false" customHeight="true" outlineLevel="0" collapsed="false">
      <c r="B7" s="4" t="s">
        <v>17</v>
      </c>
      <c r="C7" s="5" t="s">
        <v>18</v>
      </c>
      <c r="D7" s="6" t="n">
        <v>1880</v>
      </c>
      <c r="E7" s="6" t="n">
        <v>1880</v>
      </c>
      <c r="F7" s="6" t="n">
        <v>1880</v>
      </c>
      <c r="G7" s="7" t="n">
        <v>145</v>
      </c>
      <c r="H7" s="8" t="n">
        <v>0.32</v>
      </c>
      <c r="I7" s="8" t="n">
        <v>0.45</v>
      </c>
      <c r="J7" s="8" t="n">
        <v>0.08</v>
      </c>
      <c r="K7" s="9" t="n">
        <f aca="false">D7*G7*(1+H7)*(1+I7)*(1+J7)</f>
        <v>563496.912</v>
      </c>
      <c r="L7" s="9" t="n">
        <f aca="false">E7*G7*(1+H7)*(1+I7)*(1+J7)</f>
        <v>563496.912</v>
      </c>
      <c r="M7" s="9" t="n">
        <f aca="false">F7*G7*(1+H7)*(1+I7)*(1+J7)</f>
        <v>563496.912</v>
      </c>
      <c r="N7" s="10" t="n">
        <f aca="false">K7+L7+M7</f>
        <v>1690490.736</v>
      </c>
    </row>
    <row r="8" customFormat="false" ht="30" hidden="false" customHeight="true" outlineLevel="0" collapsed="false">
      <c r="B8" s="4" t="s">
        <v>19</v>
      </c>
      <c r="C8" s="5" t="s">
        <v>20</v>
      </c>
      <c r="D8" s="6" t="n">
        <v>1920</v>
      </c>
      <c r="E8" s="6" t="n">
        <v>1920</v>
      </c>
      <c r="F8" s="6" t="n">
        <v>1920</v>
      </c>
      <c r="G8" s="7" t="n">
        <v>95</v>
      </c>
      <c r="H8" s="8" t="n">
        <v>0.32</v>
      </c>
      <c r="I8" s="8" t="n">
        <v>0.45</v>
      </c>
      <c r="J8" s="8" t="n">
        <v>0.08</v>
      </c>
      <c r="K8" s="9" t="n">
        <f aca="false">D8*G8*(1+H8)*(1+I8)*(1+J8)</f>
        <v>377042.688</v>
      </c>
      <c r="L8" s="9" t="n">
        <f aca="false">E8*G8*(1+H8)*(1+I8)*(1+J8)</f>
        <v>377042.688</v>
      </c>
      <c r="M8" s="9" t="n">
        <f aca="false">F8*G8*(1+H8)*(1+I8)*(1+J8)</f>
        <v>377042.688</v>
      </c>
      <c r="N8" s="10" t="n">
        <f aca="false">K8+L8+M8</f>
        <v>1131128.064</v>
      </c>
    </row>
    <row r="9" customFormat="false" ht="30" hidden="false" customHeight="true" outlineLevel="0" collapsed="false">
      <c r="B9" s="4" t="s">
        <v>21</v>
      </c>
      <c r="C9" s="5" t="s">
        <v>22</v>
      </c>
      <c r="D9" s="6" t="n">
        <v>960</v>
      </c>
      <c r="E9" s="6" t="n">
        <v>960</v>
      </c>
      <c r="F9" s="6" t="n">
        <v>960</v>
      </c>
      <c r="G9" s="7" t="n">
        <v>110</v>
      </c>
      <c r="H9" s="8" t="n">
        <v>0.32</v>
      </c>
      <c r="I9" s="8" t="n">
        <v>0.45</v>
      </c>
      <c r="J9" s="8" t="n">
        <v>0.08</v>
      </c>
      <c r="K9" s="9" t="n">
        <f aca="false">D9*G9*(1+H9)*(1+I9)*(1+J9)</f>
        <v>218287.872</v>
      </c>
      <c r="L9" s="9" t="n">
        <f aca="false">E9*G9*(1+H9)*(1+I9)*(1+J9)</f>
        <v>218287.872</v>
      </c>
      <c r="M9" s="9" t="n">
        <f aca="false">F9*G9*(1+H9)*(1+I9)*(1+J9)</f>
        <v>218287.872</v>
      </c>
      <c r="N9" s="10" t="n">
        <f aca="false">K9+L9+M9</f>
        <v>654863.616</v>
      </c>
    </row>
    <row r="10" customFormat="false" ht="30" hidden="false" customHeight="true" outlineLevel="0" collapsed="false">
      <c r="B10" s="4" t="s">
        <v>23</v>
      </c>
      <c r="C10" s="5" t="s">
        <v>24</v>
      </c>
      <c r="D10" s="6" t="n">
        <v>1920</v>
      </c>
      <c r="E10" s="6" t="n">
        <v>1920</v>
      </c>
      <c r="F10" s="6" t="n">
        <v>1920</v>
      </c>
      <c r="G10" s="7" t="n">
        <v>105</v>
      </c>
      <c r="H10" s="8" t="n">
        <v>0.32</v>
      </c>
      <c r="I10" s="8" t="n">
        <v>0.45</v>
      </c>
      <c r="J10" s="8" t="n">
        <v>0.08</v>
      </c>
      <c r="K10" s="9" t="n">
        <f aca="false">D10*G10*(1+H10)*(1+I10)*(1+J10)</f>
        <v>416731.392</v>
      </c>
      <c r="L10" s="9" t="n">
        <f aca="false">E10*G10*(1+H10)*(1+I10)*(1+J10)</f>
        <v>416731.392</v>
      </c>
      <c r="M10" s="9" t="n">
        <f aca="false">F10*G10*(1+H10)*(1+I10)*(1+J10)</f>
        <v>416731.392</v>
      </c>
      <c r="N10" s="10" t="n">
        <f aca="false">K10+L10+M10</f>
        <v>1250194.176</v>
      </c>
    </row>
    <row r="11" customFormat="false" ht="30" hidden="false" customHeight="true" outlineLevel="0" collapsed="false">
      <c r="B11" s="4" t="s">
        <v>25</v>
      </c>
      <c r="C11" s="5" t="s">
        <v>26</v>
      </c>
      <c r="D11" s="6" t="n">
        <v>1440</v>
      </c>
      <c r="E11" s="6" t="n">
        <v>1440</v>
      </c>
      <c r="F11" s="6" t="n">
        <v>1440</v>
      </c>
      <c r="G11" s="7" t="n">
        <v>75</v>
      </c>
      <c r="H11" s="8" t="n">
        <v>0.32</v>
      </c>
      <c r="I11" s="8" t="n">
        <v>0.45</v>
      </c>
      <c r="J11" s="8" t="n">
        <v>0.08</v>
      </c>
      <c r="K11" s="9" t="n">
        <f aca="false">D11*G11*(1+H11)*(1+I11)*(1+J11)</f>
        <v>223248.96</v>
      </c>
      <c r="L11" s="9" t="n">
        <f aca="false">E11*G11*(1+H11)*(1+I11)*(1+J11)</f>
        <v>223248.96</v>
      </c>
      <c r="M11" s="9" t="n">
        <f aca="false">F11*G11*(1+H11)*(1+I11)*(1+J11)</f>
        <v>223248.96</v>
      </c>
      <c r="N11" s="10" t="n">
        <f aca="false">K11+L11+M11</f>
        <v>669746.88</v>
      </c>
    </row>
    <row r="12" customFormat="false" ht="30" hidden="false" customHeight="true" outlineLevel="0" collapsed="false">
      <c r="B12" s="4" t="s">
        <v>27</v>
      </c>
      <c r="C12" s="5" t="s">
        <v>28</v>
      </c>
      <c r="D12" s="6" t="n">
        <v>960</v>
      </c>
      <c r="E12" s="6" t="n">
        <v>960</v>
      </c>
      <c r="F12" s="6" t="n">
        <v>960</v>
      </c>
      <c r="G12" s="7" t="n">
        <v>100</v>
      </c>
      <c r="H12" s="8" t="n">
        <v>0.32</v>
      </c>
      <c r="I12" s="8" t="n">
        <v>0.45</v>
      </c>
      <c r="J12" s="8" t="n">
        <v>0.08</v>
      </c>
      <c r="K12" s="9" t="n">
        <f aca="false">D12*G12*(1+H12)*(1+I12)*(1+J12)</f>
        <v>198443.52</v>
      </c>
      <c r="L12" s="9" t="n">
        <f aca="false">E12*G12*(1+H12)*(1+I12)*(1+J12)</f>
        <v>198443.52</v>
      </c>
      <c r="M12" s="9" t="n">
        <f aca="false">F12*G12*(1+H12)*(1+I12)*(1+J12)</f>
        <v>198443.52</v>
      </c>
      <c r="N12" s="10" t="n">
        <f aca="false">K12+L12+M12</f>
        <v>595330.56</v>
      </c>
    </row>
    <row r="13" customFormat="false" ht="30" hidden="false" customHeight="true" outlineLevel="0" collapsed="false">
      <c r="B13" s="4" t="s">
        <v>29</v>
      </c>
      <c r="C13" s="5" t="s">
        <v>30</v>
      </c>
      <c r="D13" s="6" t="n">
        <v>1920</v>
      </c>
      <c r="E13" s="6" t="n">
        <v>1920</v>
      </c>
      <c r="F13" s="6" t="n">
        <v>1920</v>
      </c>
      <c r="G13" s="7" t="n">
        <v>55</v>
      </c>
      <c r="H13" s="8" t="n">
        <v>0.32</v>
      </c>
      <c r="I13" s="8" t="n">
        <v>0.45</v>
      </c>
      <c r="J13" s="8" t="n">
        <v>0.08</v>
      </c>
      <c r="K13" s="9" t="n">
        <f aca="false">D13*G13*(1+H13)*(1+I13)*(1+J13)</f>
        <v>218287.872</v>
      </c>
      <c r="L13" s="9" t="n">
        <f aca="false">E13*G13*(1+H13)*(1+I13)*(1+J13)</f>
        <v>218287.872</v>
      </c>
      <c r="M13" s="9" t="n">
        <f aca="false">F13*G13*(1+H13)*(1+I13)*(1+J13)</f>
        <v>218287.872</v>
      </c>
      <c r="N13" s="10" t="n">
        <f aca="false">K13+L13+M13</f>
        <v>654863.616</v>
      </c>
    </row>
    <row r="14" customFormat="false" ht="30" hidden="false" customHeight="true" outlineLevel="0" collapsed="false">
      <c r="B14" s="4" t="s">
        <v>31</v>
      </c>
      <c r="C14" s="5" t="s">
        <v>32</v>
      </c>
      <c r="D14" s="6" t="n">
        <v>960</v>
      </c>
      <c r="E14" s="6" t="n">
        <v>960</v>
      </c>
      <c r="F14" s="6" t="n">
        <v>960</v>
      </c>
      <c r="G14" s="7" t="n">
        <v>120</v>
      </c>
      <c r="H14" s="8" t="n">
        <v>0.32</v>
      </c>
      <c r="I14" s="8" t="n">
        <v>0.45</v>
      </c>
      <c r="J14" s="8" t="n">
        <v>0.08</v>
      </c>
      <c r="K14" s="9" t="n">
        <f aca="false">D14*G14*(1+H14)*(1+I14)*(1+J14)</f>
        <v>238132.224</v>
      </c>
      <c r="L14" s="9" t="n">
        <f aca="false">E14*G14*(1+H14)*(1+I14)*(1+J14)</f>
        <v>238132.224</v>
      </c>
      <c r="M14" s="9" t="n">
        <f aca="false">F14*G14*(1+H14)*(1+I14)*(1+J14)</f>
        <v>238132.224</v>
      </c>
      <c r="N14" s="10" t="n">
        <f aca="false">K14+L14+M14</f>
        <v>714396.672</v>
      </c>
    </row>
    <row r="15" customFormat="false" ht="30" hidden="false" customHeight="true" outlineLevel="0" collapsed="false">
      <c r="B15" s="4" t="s">
        <v>33</v>
      </c>
      <c r="C15" s="5" t="s">
        <v>34</v>
      </c>
      <c r="D15" s="6" t="n">
        <v>1920</v>
      </c>
      <c r="E15" s="6" t="n">
        <v>1920</v>
      </c>
      <c r="F15" s="6" t="n">
        <v>1920</v>
      </c>
      <c r="G15" s="7" t="n">
        <v>115</v>
      </c>
      <c r="H15" s="8" t="n">
        <v>0.32</v>
      </c>
      <c r="I15" s="8" t="n">
        <v>0.45</v>
      </c>
      <c r="J15" s="8" t="n">
        <v>0.08</v>
      </c>
      <c r="K15" s="9" t="n">
        <f aca="false">D15*G15*(1+H15)*(1+I15)*(1+J15)</f>
        <v>456420.096</v>
      </c>
      <c r="L15" s="9" t="n">
        <f aca="false">E15*G15*(1+H15)*(1+I15)*(1+J15)</f>
        <v>456420.096</v>
      </c>
      <c r="M15" s="9" t="n">
        <f aca="false">F15*G15*(1+H15)*(1+I15)*(1+J15)</f>
        <v>456420.096</v>
      </c>
      <c r="N15" s="10" t="n">
        <f aca="false">K15+L15+M15</f>
        <v>1369260.288</v>
      </c>
    </row>
    <row r="17" customFormat="false" ht="24.75" hidden="false" customHeight="true" outlineLevel="0" collapsed="false">
      <c r="B17" s="11" t="s">
        <v>35</v>
      </c>
      <c r="C17" s="12"/>
      <c r="D17" s="13" t="n">
        <f aca="false">SUM(D6:D15)</f>
        <v>15800</v>
      </c>
      <c r="E17" s="13" t="n">
        <f aca="false">SUM(E6:E15)</f>
        <v>15800</v>
      </c>
      <c r="F17" s="13" t="n">
        <f aca="false">SUM(F6:F15)</f>
        <v>15800</v>
      </c>
      <c r="G17" s="12"/>
      <c r="H17" s="12"/>
      <c r="I17" s="12"/>
      <c r="J17" s="12"/>
      <c r="K17" s="14" t="n">
        <f aca="false">SUM(K6:K15)</f>
        <v>3564955.152</v>
      </c>
      <c r="L17" s="14" t="n">
        <f aca="false">SUM(L6:L15)</f>
        <v>3564955.152</v>
      </c>
      <c r="M17" s="14" t="n">
        <f aca="false">SUM(M6:M15)</f>
        <v>3564955.152</v>
      </c>
      <c r="N17" s="14" t="n">
        <f aca="false">SUM(N6:N15)</f>
        <v>10694865.456</v>
      </c>
    </row>
    <row r="19" customFormat="false" ht="34.5" hidden="false" customHeight="true" outlineLevel="0" collapsed="false">
      <c r="B19" s="15" t="s">
        <v>36</v>
      </c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</row>
    <row r="21" customFormat="false" ht="15" hidden="false" customHeight="false" outlineLevel="0" collapsed="false">
      <c r="B21" s="16" t="s">
        <v>37</v>
      </c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</row>
  </sheetData>
  <mergeCells count="4">
    <mergeCell ref="B2:N2"/>
    <mergeCell ref="B3:N3"/>
    <mergeCell ref="B19:N19"/>
    <mergeCell ref="B21:N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5" min="3" style="0" width="14"/>
    <col collapsed="false" customWidth="true" hidden="false" outlineLevel="0" max="6" min="6" style="0" width="16"/>
    <col collapsed="false" customWidth="true" hidden="false" outlineLevel="0" max="7" min="7" style="0" width="40"/>
  </cols>
  <sheetData>
    <row r="2" customFormat="false" ht="30" hidden="false" customHeight="true" outlineLevel="0" collapsed="false">
      <c r="B2" s="1" t="s">
        <v>38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7" t="s">
        <v>39</v>
      </c>
      <c r="C4" s="17" t="s">
        <v>40</v>
      </c>
      <c r="D4" s="17" t="s">
        <v>41</v>
      </c>
      <c r="E4" s="17" t="s">
        <v>42</v>
      </c>
      <c r="F4" s="17" t="s">
        <v>43</v>
      </c>
      <c r="G4" s="17" t="s">
        <v>44</v>
      </c>
    </row>
    <row r="5" customFormat="false" ht="21.75" hidden="false" customHeight="true" outlineLevel="0" collapsed="false">
      <c r="B5" s="18" t="s">
        <v>45</v>
      </c>
    </row>
    <row r="6" customFormat="false" ht="30" hidden="false" customHeight="true" outlineLevel="0" collapsed="false">
      <c r="B6" s="19" t="s">
        <v>46</v>
      </c>
      <c r="C6" s="9" t="n">
        <v>85000</v>
      </c>
      <c r="D6" s="9" t="n">
        <v>87550</v>
      </c>
      <c r="E6" s="9" t="n">
        <v>90177</v>
      </c>
      <c r="F6" s="10" t="n">
        <f aca="false">C6+D6+E6</f>
        <v>262727</v>
      </c>
      <c r="G6" s="20" t="s">
        <v>47</v>
      </c>
    </row>
    <row r="7" customFormat="false" ht="30" hidden="false" customHeight="true" outlineLevel="0" collapsed="false">
      <c r="B7" s="19" t="s">
        <v>48</v>
      </c>
      <c r="C7" s="9" t="n">
        <v>45000</v>
      </c>
      <c r="D7" s="9" t="n">
        <v>15000</v>
      </c>
      <c r="E7" s="9" t="n">
        <v>15000</v>
      </c>
      <c r="F7" s="10" t="n">
        <f aca="false">C7+D7+E7</f>
        <v>75000</v>
      </c>
      <c r="G7" s="20" t="s">
        <v>49</v>
      </c>
    </row>
    <row r="8" customFormat="false" ht="30" hidden="false" customHeight="true" outlineLevel="0" collapsed="false">
      <c r="B8" s="19" t="s">
        <v>50</v>
      </c>
      <c r="C8" s="9" t="n">
        <v>8000</v>
      </c>
      <c r="D8" s="9" t="n">
        <v>8000</v>
      </c>
      <c r="E8" s="9" t="n">
        <v>8000</v>
      </c>
      <c r="F8" s="10" t="n">
        <f aca="false">C8+D8+E8</f>
        <v>24000</v>
      </c>
      <c r="G8" s="20" t="s">
        <v>51</v>
      </c>
    </row>
    <row r="10" customFormat="false" ht="21.75" hidden="false" customHeight="true" outlineLevel="0" collapsed="false">
      <c r="B10" s="18" t="s">
        <v>52</v>
      </c>
    </row>
    <row r="11" customFormat="false" ht="30" hidden="false" customHeight="true" outlineLevel="0" collapsed="false">
      <c r="B11" s="19" t="s">
        <v>53</v>
      </c>
      <c r="C11" s="9" t="n">
        <v>36000</v>
      </c>
      <c r="D11" s="9" t="n">
        <v>36000</v>
      </c>
      <c r="E11" s="9" t="n">
        <v>36000</v>
      </c>
      <c r="F11" s="10" t="n">
        <f aca="false">C11+D11+E11</f>
        <v>108000</v>
      </c>
      <c r="G11" s="20" t="s">
        <v>54</v>
      </c>
    </row>
    <row r="12" customFormat="false" ht="30" hidden="false" customHeight="true" outlineLevel="0" collapsed="false">
      <c r="B12" s="19" t="s">
        <v>55</v>
      </c>
      <c r="C12" s="9" t="n">
        <v>24000</v>
      </c>
      <c r="D12" s="9" t="n">
        <v>24000</v>
      </c>
      <c r="E12" s="9" t="n">
        <v>24000</v>
      </c>
      <c r="F12" s="10" t="n">
        <f aca="false">C12+D12+E12</f>
        <v>72000</v>
      </c>
      <c r="G12" s="20" t="s">
        <v>56</v>
      </c>
    </row>
    <row r="13" customFormat="false" ht="30" hidden="false" customHeight="true" outlineLevel="0" collapsed="false">
      <c r="B13" s="19" t="s">
        <v>57</v>
      </c>
      <c r="C13" s="9" t="n">
        <v>15000</v>
      </c>
      <c r="D13" s="9" t="n">
        <v>15000</v>
      </c>
      <c r="E13" s="9" t="n">
        <v>15000</v>
      </c>
      <c r="F13" s="10" t="n">
        <f aca="false">C13+D13+E13</f>
        <v>45000</v>
      </c>
      <c r="G13" s="20" t="s">
        <v>58</v>
      </c>
    </row>
    <row r="14" customFormat="false" ht="30" hidden="false" customHeight="true" outlineLevel="0" collapsed="false">
      <c r="B14" s="19" t="s">
        <v>59</v>
      </c>
      <c r="C14" s="9" t="n">
        <v>6000</v>
      </c>
      <c r="D14" s="9" t="n">
        <v>6000</v>
      </c>
      <c r="E14" s="9" t="n">
        <v>6000</v>
      </c>
      <c r="F14" s="10" t="n">
        <f aca="false">C14+D14+E14</f>
        <v>18000</v>
      </c>
      <c r="G14" s="20" t="s">
        <v>60</v>
      </c>
    </row>
    <row r="16" customFormat="false" ht="21.75" hidden="false" customHeight="true" outlineLevel="0" collapsed="false">
      <c r="B16" s="18" t="s">
        <v>61</v>
      </c>
    </row>
    <row r="17" customFormat="false" ht="30" hidden="false" customHeight="true" outlineLevel="0" collapsed="false">
      <c r="B17" s="19" t="s">
        <v>62</v>
      </c>
      <c r="C17" s="9" t="n">
        <v>250000</v>
      </c>
      <c r="D17" s="9" t="n">
        <v>250000</v>
      </c>
      <c r="E17" s="9" t="n">
        <v>250000</v>
      </c>
      <c r="F17" s="10" t="n">
        <f aca="false">C17+D17+E17</f>
        <v>750000</v>
      </c>
      <c r="G17" s="20" t="s">
        <v>63</v>
      </c>
    </row>
    <row r="18" customFormat="false" ht="30" hidden="false" customHeight="true" outlineLevel="0" collapsed="false">
      <c r="B18" s="19" t="s">
        <v>64</v>
      </c>
      <c r="C18" s="9" t="n">
        <v>75000</v>
      </c>
      <c r="D18" s="9" t="n">
        <v>75000</v>
      </c>
      <c r="E18" s="9" t="n">
        <v>50000</v>
      </c>
      <c r="F18" s="10" t="n">
        <f aca="false">C18+D18+E18</f>
        <v>200000</v>
      </c>
      <c r="G18" s="20" t="s">
        <v>65</v>
      </c>
    </row>
    <row r="20" customFormat="false" ht="21.75" hidden="false" customHeight="true" outlineLevel="0" collapsed="false">
      <c r="B20" s="18" t="s">
        <v>66</v>
      </c>
    </row>
    <row r="21" customFormat="false" ht="30" hidden="false" customHeight="true" outlineLevel="0" collapsed="false">
      <c r="B21" s="19" t="s">
        <v>67</v>
      </c>
      <c r="C21" s="9" t="n">
        <v>20000</v>
      </c>
      <c r="D21" s="9" t="n">
        <v>15000</v>
      </c>
      <c r="E21" s="9" t="n">
        <v>15000</v>
      </c>
      <c r="F21" s="10" t="n">
        <f aca="false">C21+D21+E21</f>
        <v>50000</v>
      </c>
      <c r="G21" s="20" t="s">
        <v>68</v>
      </c>
    </row>
    <row r="22" customFormat="false" ht="30" hidden="false" customHeight="true" outlineLevel="0" collapsed="false">
      <c r="B22" s="19" t="s">
        <v>69</v>
      </c>
      <c r="C22" s="9" t="n">
        <v>18000</v>
      </c>
      <c r="D22" s="9" t="n">
        <v>18000</v>
      </c>
      <c r="E22" s="9" t="n">
        <v>18000</v>
      </c>
      <c r="F22" s="10" t="n">
        <f aca="false">C22+D22+E22</f>
        <v>54000</v>
      </c>
      <c r="G22" s="20" t="s">
        <v>70</v>
      </c>
    </row>
    <row r="24" customFormat="false" ht="15" hidden="false" customHeight="false" outlineLevel="0" collapsed="false">
      <c r="B24" s="21" t="s">
        <v>71</v>
      </c>
      <c r="C24" s="22" t="n">
        <f aca="false">SUM(C5:C22)</f>
        <v>582000</v>
      </c>
      <c r="D24" s="22" t="n">
        <f aca="false">SUM(D5:D22)</f>
        <v>549550</v>
      </c>
      <c r="E24" s="22" t="n">
        <f aca="false">SUM(E5:E22)</f>
        <v>527177</v>
      </c>
      <c r="F24" s="22" t="n">
        <f aca="false">SUM(F5:F22)</f>
        <v>1658727</v>
      </c>
      <c r="G24" s="12"/>
    </row>
    <row r="27" customFormat="false" ht="15" hidden="false" customHeight="false" outlineLevel="0" collapsed="false">
      <c r="B27" s="16" t="s">
        <v>37</v>
      </c>
      <c r="C27" s="16"/>
      <c r="D27" s="16"/>
      <c r="E27" s="16"/>
      <c r="F27" s="16"/>
      <c r="G27" s="16"/>
    </row>
  </sheetData>
  <mergeCells count="2">
    <mergeCell ref="B2:G2"/>
    <mergeCell ref="B27:G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5" min="3" style="0" width="16"/>
    <col collapsed="false" customWidth="true" hidden="false" outlineLevel="0" max="6" min="6" style="0" width="18"/>
  </cols>
  <sheetData>
    <row r="2" customFormat="false" ht="30" hidden="false" customHeight="true" outlineLevel="0" collapsed="false">
      <c r="B2" s="1" t="s">
        <v>72</v>
      </c>
      <c r="C2" s="1"/>
      <c r="D2" s="1"/>
      <c r="E2" s="1"/>
      <c r="F2" s="1"/>
    </row>
    <row r="3" customFormat="false" ht="15" hidden="false" customHeight="false" outlineLevel="0" collapsed="false">
      <c r="B3" s="2" t="s">
        <v>73</v>
      </c>
      <c r="C3" s="2"/>
      <c r="D3" s="2"/>
      <c r="E3" s="2"/>
      <c r="F3" s="2"/>
    </row>
    <row r="5" customFormat="false" ht="15" hidden="false" customHeight="false" outlineLevel="0" collapsed="false">
      <c r="B5" s="17" t="s">
        <v>74</v>
      </c>
      <c r="C5" s="17" t="s">
        <v>40</v>
      </c>
      <c r="D5" s="17" t="s">
        <v>41</v>
      </c>
      <c r="E5" s="17" t="s">
        <v>42</v>
      </c>
      <c r="F5" s="17" t="s">
        <v>43</v>
      </c>
    </row>
    <row r="6" customFormat="false" ht="15" hidden="false" customHeight="false" outlineLevel="0" collapsed="false">
      <c r="B6" s="23" t="s">
        <v>75</v>
      </c>
      <c r="C6" s="24" t="n">
        <f aca="false">'Labor Estimate'!K17</f>
        <v>3564955.152</v>
      </c>
      <c r="D6" s="24" t="n">
        <f aca="false">'Labor Estimate'!L17</f>
        <v>3564955.152</v>
      </c>
      <c r="E6" s="24" t="n">
        <f aca="false">'Labor Estimate'!M17</f>
        <v>3564955.152</v>
      </c>
      <c r="F6" s="24" t="n">
        <f aca="false">'Labor Estimate'!N17</f>
        <v>10694865.456</v>
      </c>
    </row>
    <row r="7" customFormat="false" ht="15" hidden="false" customHeight="false" outlineLevel="0" collapsed="false">
      <c r="B7" s="23" t="s">
        <v>76</v>
      </c>
      <c r="C7" s="24" t="n">
        <f aca="false">'ODC &amp; Travel'!C24</f>
        <v>582000</v>
      </c>
      <c r="D7" s="24" t="n">
        <f aca="false">'ODC &amp; Travel'!D24</f>
        <v>549550</v>
      </c>
      <c r="E7" s="24" t="n">
        <f aca="false">'ODC &amp; Travel'!E24</f>
        <v>527177</v>
      </c>
      <c r="F7" s="24" t="n">
        <f aca="false">'ODC &amp; Travel'!F24</f>
        <v>1658727</v>
      </c>
    </row>
    <row r="9" customFormat="false" ht="15" hidden="false" customHeight="false" outlineLevel="0" collapsed="false">
      <c r="B9" s="25" t="s">
        <v>77</v>
      </c>
      <c r="C9" s="26" t="n">
        <f aca="false">SUM(C6:C7)</f>
        <v>4146955.152</v>
      </c>
      <c r="D9" s="26" t="n">
        <f aca="false">SUM(D6:D7)</f>
        <v>4114505.152</v>
      </c>
      <c r="E9" s="26" t="n">
        <f aca="false">SUM(E6:E7)</f>
        <v>4092132.152</v>
      </c>
      <c r="F9" s="26" t="n">
        <f aca="false">SUM(F6:F7)</f>
        <v>12353592.456</v>
      </c>
    </row>
    <row r="12" customFormat="false" ht="16.15" hidden="false" customHeight="false" outlineLevel="0" collapsed="false">
      <c r="B12" s="27" t="s">
        <v>78</v>
      </c>
    </row>
    <row r="13" customFormat="false" ht="30" hidden="false" customHeight="true" outlineLevel="0" collapsed="false">
      <c r="B13" s="28" t="s">
        <v>79</v>
      </c>
      <c r="C13" s="28"/>
      <c r="D13" s="28"/>
      <c r="E13" s="28"/>
      <c r="F13" s="28"/>
    </row>
    <row r="14" customFormat="false" ht="30" hidden="false" customHeight="true" outlineLevel="0" collapsed="false">
      <c r="B14" s="28" t="s">
        <v>80</v>
      </c>
      <c r="C14" s="28"/>
      <c r="D14" s="28"/>
      <c r="E14" s="28"/>
      <c r="F14" s="28"/>
    </row>
    <row r="15" customFormat="false" ht="30" hidden="false" customHeight="true" outlineLevel="0" collapsed="false">
      <c r="B15" s="28" t="s">
        <v>81</v>
      </c>
      <c r="C15" s="28"/>
      <c r="D15" s="28"/>
      <c r="E15" s="28"/>
      <c r="F15" s="28"/>
    </row>
    <row r="16" customFormat="false" ht="30" hidden="false" customHeight="true" outlineLevel="0" collapsed="false">
      <c r="B16" s="28" t="s">
        <v>82</v>
      </c>
      <c r="C16" s="28"/>
      <c r="D16" s="28"/>
      <c r="E16" s="28"/>
      <c r="F16" s="28"/>
    </row>
    <row r="17" customFormat="false" ht="30" hidden="false" customHeight="true" outlineLevel="0" collapsed="false">
      <c r="B17" s="28" t="s">
        <v>83</v>
      </c>
      <c r="C17" s="28"/>
      <c r="D17" s="28"/>
      <c r="E17" s="28"/>
      <c r="F17" s="28"/>
    </row>
    <row r="18" customFormat="false" ht="30" hidden="false" customHeight="true" outlineLevel="0" collapsed="false">
      <c r="B18" s="28" t="s">
        <v>84</v>
      </c>
      <c r="C18" s="28"/>
      <c r="D18" s="28"/>
      <c r="E18" s="28"/>
      <c r="F18" s="28"/>
    </row>
    <row r="19" customFormat="false" ht="30" hidden="false" customHeight="true" outlineLevel="0" collapsed="false">
      <c r="B19" s="28" t="s">
        <v>85</v>
      </c>
      <c r="C19" s="28"/>
      <c r="D19" s="28"/>
      <c r="E19" s="28"/>
      <c r="F19" s="28"/>
    </row>
    <row r="20" customFormat="false" ht="30" hidden="false" customHeight="true" outlineLevel="0" collapsed="false">
      <c r="B20" s="28" t="s">
        <v>86</v>
      </c>
      <c r="C20" s="28"/>
      <c r="D20" s="28"/>
      <c r="E20" s="28"/>
      <c r="F20" s="28"/>
    </row>
    <row r="23" customFormat="false" ht="15" hidden="false" customHeight="false" outlineLevel="0" collapsed="false">
      <c r="B23" s="16" t="s">
        <v>37</v>
      </c>
      <c r="C23" s="16"/>
      <c r="D23" s="16"/>
      <c r="E23" s="16"/>
      <c r="F23" s="16"/>
    </row>
    <row r="24" customFormat="false" ht="15" hidden="false" customHeight="false" outlineLevel="0" collapsed="false">
      <c r="B24" s="29" t="s">
        <v>87</v>
      </c>
    </row>
  </sheetData>
  <mergeCells count="11">
    <mergeCell ref="B2:F2"/>
    <mergeCell ref="B3:F3"/>
    <mergeCell ref="B13:F13"/>
    <mergeCell ref="B14:F14"/>
    <mergeCell ref="B15:F15"/>
    <mergeCell ref="B16:F16"/>
    <mergeCell ref="B17:F17"/>
    <mergeCell ref="B18:F18"/>
    <mergeCell ref="B19:F19"/>
    <mergeCell ref="B20:F20"/>
    <mergeCell ref="B23:F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2026-03-23T14:38:14Z</dcterms:created>
  <dc:creator>openpyxl</dc:creator>
  <dc:description/>
  <dc:language>en-US</dc:language>
  <cp:lastModifiedBy/>
  <dcterms:modified xsi:type="dcterms:W3CDTF">2026-03-23T14:38:14Z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