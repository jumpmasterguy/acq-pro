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First 90 Days" sheetId="3" state="visible" r:id="rId3"/>
    <sheet xmlns:r="http://schemas.openxmlformats.org/officeDocument/2006/relationships" name="Spend Plan" sheetId="4" state="visible" r:id="rId4"/>
    <sheet xmlns:r="http://schemas.openxmlformats.org/officeDocument/2006/relationships" name="Risk Register" sheetId="5" state="visible" r:id="rId5"/>
    <sheet xmlns:r="http://schemas.openxmlformats.org/officeDocument/2006/relationships" name="Risk Map" sheetId="6" state="visible" r:id="rId6"/>
    <sheet xmlns:r="http://schemas.openxmlformats.org/officeDocument/2006/relationships" name="RACI" sheetId="7" state="visible" r:id="rId7"/>
    <sheet xmlns:r="http://schemas.openxmlformats.org/officeDocument/2006/relationships" name="RACI Instructions" sheetId="8" state="visible" r:id="rId8"/>
  </sheets>
  <definedNames>
    <definedName name="_xlnm.Print_Area" localSheetId="1">'Dashboard'!$A$1:$H$28</definedName>
    <definedName name="_xlnm.Print_Area" localSheetId="5">'Risk Map'!$A$1:$H$34</definedName>
    <definedName name="_xlnm.Print_Area" localSheetId="6">'RACI'!$A$1:$F$35</definedName>
  </definedNames>
  <calcPr calcId="124519" fullCalcOnLoad="1"/>
</workbook>
</file>

<file path=xl/styles.xml><?xml version="1.0" encoding="utf-8"?>
<styleSheet xmlns="http://schemas.openxmlformats.org/spreadsheetml/2006/main">
  <numFmts count="5">
    <numFmt numFmtId="164" formatCode="mmm d, yyyy"/>
    <numFmt numFmtId="165" formatCode="$#,##0"/>
    <numFmt numFmtId="166" formatCode="$#,##0;[Red]-$#,##0"/>
    <numFmt numFmtId="167" formatCode="0%;[Red]-0%"/>
    <numFmt numFmtId="168" formatCode="mm/dd/yyyy"/>
  </numFmts>
  <fonts count="42">
    <font>
      <name val="Calibri"/>
      <family val="2"/>
      <color theme="1"/>
      <sz val="11"/>
      <scheme val="minor"/>
    </font>
    <font>
      <b val="1"/>
      <color rgb="FF0D1B2A"/>
      <sz val="15"/>
    </font>
    <font>
      <color rgb="00333333"/>
      <sz val="10"/>
    </font>
    <font>
      <b val="1"/>
      <color rgb="FF0D1B2A"/>
      <sz val="12"/>
    </font>
    <font>
      <name val="Arial"/>
      <charset val="1"/>
      <family val="0"/>
      <b val="1"/>
      <color rgb="FF0D1B2A"/>
      <sz val="16"/>
    </font>
    <font>
      <name val="Arial"/>
      <charset val="1"/>
      <family val="0"/>
      <i val="1"/>
      <color rgb="FF7A7974"/>
      <sz val="10"/>
    </font>
    <font>
      <name val="Arial"/>
      <charset val="1"/>
      <family val="0"/>
      <b val="1"/>
      <color rgb="FF01696F"/>
      <sz val="11"/>
    </font>
    <font>
      <name val="Arial"/>
      <charset val="1"/>
      <family val="0"/>
      <b val="1"/>
      <sz val="10"/>
    </font>
    <font>
      <name val="Arial"/>
      <charset val="1"/>
      <family val="0"/>
      <b val="1"/>
      <sz val="11"/>
    </font>
    <font>
      <name val="Arial"/>
      <charset val="1"/>
      <family val="0"/>
      <sz val="10"/>
    </font>
    <font>
      <name val="Arial"/>
      <charset val="1"/>
      <family val="0"/>
      <i val="1"/>
      <color rgb="FF7A7974"/>
      <sz val="8"/>
    </font>
    <font>
      <name val="Calibri"/>
      <charset val="1"/>
      <family val="2"/>
      <color theme="1"/>
      <sz val="11"/>
    </font>
    <font>
      <name val="Arial"/>
      <charset val="1"/>
      <family val="0"/>
      <b val="1"/>
      <color rgb="FF0D1B2A"/>
      <sz val="10"/>
    </font>
    <font>
      <name val="Arial"/>
      <charset val="1"/>
      <family val="0"/>
      <b val="1"/>
      <color rgb="FFFFFFFF"/>
      <sz val="10"/>
    </font>
    <font>
      <name val="Arial"/>
      <charset val="1"/>
      <family val="0"/>
      <b val="1"/>
      <color rgb="FF006100"/>
      <sz val="14"/>
    </font>
    <font>
      <name val="Arial"/>
      <charset val="1"/>
      <family val="0"/>
      <b val="1"/>
      <color rgb="FF9C6500"/>
      <sz val="14"/>
    </font>
    <font>
      <name val="Arial"/>
      <charset val="1"/>
      <family val="0"/>
      <b val="1"/>
      <color rgb="FF9C0006"/>
      <sz val="14"/>
    </font>
    <font>
      <name val="Arial"/>
      <charset val="1"/>
      <family val="0"/>
      <b val="1"/>
      <color rgb="FF9C0006"/>
      <sz val="10"/>
    </font>
    <font>
      <name val="Arial"/>
      <charset val="1"/>
      <family val="0"/>
      <b val="1"/>
      <color rgb="FF9C6500"/>
      <sz val="10"/>
    </font>
    <font>
      <name val="Arial"/>
      <charset val="1"/>
      <family val="0"/>
      <b val="1"/>
      <color rgb="FF006100"/>
      <sz val="10"/>
    </font>
    <font>
      <b val="1"/>
      <color rgb="FF0D1B2A"/>
      <sz val="13"/>
    </font>
    <font>
      <i val="1"/>
      <color rgb="FF6B7280"/>
      <sz val="9"/>
    </font>
    <font>
      <b val="1"/>
      <sz val="9"/>
    </font>
    <font>
      <b val="1"/>
      <color rgb="FF1f2937"/>
      <sz val="9"/>
    </font>
    <font>
      <i val="1"/>
      <color rgb="FF9CA3AF"/>
      <sz val="8"/>
    </font>
    <font>
      <b val="1"/>
      <color rgb="FF0D1B2A"/>
      <sz val="11"/>
    </font>
    <font>
      <b val="1"/>
      <color rgb="FF0D1B2A"/>
      <sz val="14"/>
    </font>
    <font>
      <i val="1"/>
      <color rgb="FF6B7280"/>
      <sz val="10"/>
    </font>
    <font>
      <color rgb="FF444444"/>
      <sz val="9"/>
    </font>
    <font>
      <b val="1"/>
      <color rgb="0001696F"/>
    </font>
    <font>
      <color rgb="FF6B7280"/>
      <sz val="9"/>
    </font>
    <font>
      <b val="1"/>
      <color rgb="FFFFFFFF"/>
      <sz val="10"/>
    </font>
    <font>
      <b val="1"/>
      <sz val="10"/>
    </font>
    <font>
      <sz val="10"/>
    </font>
    <font>
      <b val="1"/>
      <color rgb="0001696F"/>
      <sz val="10"/>
    </font>
    <font>
      <i val="1"/>
      <color rgb="FF6B7280"/>
      <sz val="8"/>
    </font>
    <font>
      <color rgb="00333333"/>
      <sz val="8"/>
    </font>
    <font>
      <b val="1"/>
    </font>
    <font>
      <b val="1"/>
      <color rgb="FF0D1B2A"/>
      <sz val="16"/>
    </font>
    <font>
      <b val="1"/>
      <color rgb="FFFFFFFF"/>
      <sz val="11"/>
    </font>
    <font>
      <sz val="9"/>
    </font>
    <font>
      <color rgb="00333333"/>
      <sz val="9"/>
    </font>
  </fonts>
  <fills count="13">
    <fill>
      <patternFill/>
    </fill>
    <fill>
      <patternFill patternType="gray125"/>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0D1B2A"/>
        <bgColor rgb="FF000000"/>
      </patternFill>
    </fill>
    <fill>
      <patternFill patternType="solid">
        <fgColor rgb="FFC6EFCE"/>
      </patternFill>
    </fill>
    <fill>
      <patternFill patternType="solid">
        <fgColor rgb="FFFFEB9C"/>
      </patternFill>
    </fill>
    <fill>
      <patternFill patternType="solid">
        <fgColor rgb="FFFFC7CE"/>
      </patternFill>
    </fill>
    <fill>
      <patternFill patternType="solid">
        <fgColor rgb="FF0D1B2A"/>
      </patternFill>
    </fill>
    <fill>
      <patternFill patternType="solid">
        <fgColor rgb="FFF9FAFB"/>
      </patternFill>
    </fill>
    <fill>
      <patternFill patternType="solid">
        <fgColor rgb="FFFFFBEB"/>
      </patternFill>
    </fill>
    <fill>
      <patternFill patternType="solid">
        <fgColor rgb="FF01696F"/>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border>
    <border>
      <left style="thin">
        <color rgb="FFE5E7EB"/>
      </left>
      <right style="thin">
        <color rgb="FFE5E7EB"/>
      </right>
      <top style="thin">
        <color rgb="FFE5E7EB"/>
      </top>
      <bottom style="thin">
        <color rgb="FFE5E7EB"/>
      </bottom>
    </border>
    <border>
      <left/>
      <right/>
      <top style="thin">
        <color rgb="FFE5E7EB"/>
      </top>
      <bottom/>
      <diagonal/>
    </border>
    <border>
      <left style="thin">
        <color rgb="FFE5E7EB"/>
      </left>
      <right/>
      <top/>
      <bottom/>
      <diagonal/>
    </border>
    <border>
      <left/>
      <right style="thin">
        <color rgb="FFE5E7EB"/>
      </right>
      <top style="thin">
        <color rgb="FFE5E7EB"/>
      </top>
      <bottom/>
      <diagonal/>
    </border>
    <border>
      <left/>
      <right style="thin">
        <color rgb="FFE5E7EB"/>
      </right>
      <top/>
      <bottom/>
      <diagonal/>
    </border>
    <border>
      <left style="thin">
        <color rgb="FFE5E7EB"/>
      </left>
      <right/>
      <top/>
      <bottom style="thin">
        <color rgb="FFE5E7EB"/>
      </bottom>
      <diagonal/>
    </border>
    <border>
      <left/>
      <right style="thin">
        <color rgb="FFE5E7EB"/>
      </right>
      <top/>
      <bottom style="thin">
        <color rgb="FFE5E7EB"/>
      </bottom>
      <diagonal/>
    </border>
  </borders>
  <cellStyleXfs count="1">
    <xf numFmtId="0" fontId="0" fillId="0" borderId="0"/>
  </cellStyleXfs>
  <cellXfs count="10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8" fillId="0" borderId="0" pivotButton="0" quotePrefix="0" xfId="0"/>
    <xf numFmtId="0" fontId="27" fillId="0" borderId="0" pivotButton="0" quotePrefix="0" xfId="0"/>
    <xf numFmtId="0" fontId="32" fillId="0" borderId="0" pivotButton="0" quotePrefix="0" xfId="0"/>
    <xf numFmtId="0" fontId="0" fillId="11" borderId="3" applyProtection="1" pivotButton="0" quotePrefix="0" xfId="0">
      <protection locked="0" hidden="0"/>
    </xf>
    <xf numFmtId="164" fontId="0" fillId="11" borderId="3" applyProtection="1" pivotButton="0" quotePrefix="0" xfId="0">
      <protection locked="0" hidden="0"/>
    </xf>
    <xf numFmtId="0" fontId="39" fillId="12" borderId="0" pivotButton="0" quotePrefix="0" xfId="0"/>
    <xf numFmtId="0" fontId="0" fillId="12" borderId="0" pivotButton="0" quotePrefix="0" xfId="0"/>
    <xf numFmtId="0" fontId="25" fillId="0" borderId="0" pivotButton="0" quotePrefix="0" xfId="0"/>
    <xf numFmtId="0" fontId="33" fillId="0" borderId="0" pivotButton="0" quotePrefix="0" xfId="0"/>
    <xf numFmtId="49" fontId="33" fillId="0" borderId="3" applyAlignment="1" pivotButton="0" quotePrefix="0" xfId="0">
      <alignment horizontal="right"/>
    </xf>
    <xf numFmtId="1" fontId="33" fillId="0" borderId="3" applyAlignment="1" pivotButton="0" quotePrefix="0" xfId="0">
      <alignment horizontal="right"/>
    </xf>
    <xf numFmtId="0" fontId="41" fillId="0" borderId="0" applyAlignment="1" pivotButton="0" quotePrefix="0" xfId="0">
      <alignment vertical="top" wrapText="1"/>
    </xf>
    <xf numFmtId="165" fontId="33" fillId="0" borderId="3" applyAlignment="1" pivotButton="0" quotePrefix="0" xfId="0">
      <alignment horizontal="right"/>
    </xf>
    <xf numFmtId="9" fontId="33" fillId="0" borderId="3" applyAlignment="1" pivotButton="0" quotePrefix="0" xfId="0">
      <alignment horizontal="right"/>
    </xf>
    <xf numFmtId="49" fontId="32" fillId="0" borderId="3" applyAlignment="1" pivotButton="0" quotePrefix="0" xfId="0">
      <alignment horizontal="center"/>
    </xf>
    <xf numFmtId="0" fontId="40" fillId="0" borderId="3" applyAlignment="1" pivotButton="0" quotePrefix="0" xfId="0">
      <alignment vertical="top" wrapText="1"/>
    </xf>
    <xf numFmtId="9" fontId="32" fillId="0" borderId="3" applyAlignment="1" pivotButton="0" quotePrefix="0" xfId="0">
      <alignment horizontal="right"/>
    </xf>
    <xf numFmtId="0" fontId="35" fillId="0" borderId="0" pivotButton="0" quotePrefix="0" xfId="0"/>
    <xf numFmtId="0" fontId="26" fillId="0" borderId="0" pivotButton="0" quotePrefix="0" xfId="0"/>
    <xf numFmtId="0" fontId="31" fillId="9" borderId="3" applyAlignment="1" pivotButton="0" quotePrefix="0" xfId="0">
      <alignment vertical="center" wrapText="1"/>
    </xf>
    <xf numFmtId="0" fontId="0" fillId="10" borderId="3" pivotButton="0" quotePrefix="0" xfId="0"/>
    <xf numFmtId="0" fontId="0" fillId="10" borderId="3" applyAlignment="1" applyProtection="1" pivotButton="0" quotePrefix="0" xfId="0">
      <alignment vertical="top" wrapText="1"/>
      <protection locked="0" hidden="0"/>
    </xf>
    <xf numFmtId="0" fontId="0" fillId="10" borderId="3" applyProtection="1" pivotButton="0" quotePrefix="0" xfId="0">
      <protection locked="0" hidden="0"/>
    </xf>
    <xf numFmtId="0" fontId="0" fillId="10" borderId="3" applyAlignment="1" applyProtection="1" pivotButton="0" quotePrefix="0" xfId="0">
      <alignment horizontal="center"/>
      <protection locked="0" hidden="0"/>
    </xf>
    <xf numFmtId="0" fontId="0" fillId="0" borderId="3" pivotButton="0" quotePrefix="0" xfId="0"/>
    <xf numFmtId="0" fontId="0" fillId="0" borderId="3" applyAlignment="1" applyProtection="1" pivotButton="0" quotePrefix="0" xfId="0">
      <alignment vertical="top" wrapText="1"/>
      <protection locked="0" hidden="0"/>
    </xf>
    <xf numFmtId="0" fontId="0" fillId="0" borderId="3" applyProtection="1" pivotButton="0" quotePrefix="0" xfId="0">
      <protection locked="0" hidden="0"/>
    </xf>
    <xf numFmtId="0" fontId="0" fillId="0" borderId="3" applyAlignment="1" applyProtection="1" pivotButton="0" quotePrefix="0" xfId="0">
      <alignment horizontal="center"/>
      <protection locked="0" hidden="0"/>
    </xf>
    <xf numFmtId="9" fontId="0" fillId="0" borderId="3" pivotButton="0" quotePrefix="0" xfId="0"/>
    <xf numFmtId="0" fontId="37" fillId="0" borderId="0" pivotButton="0" quotePrefix="0" xfId="0"/>
    <xf numFmtId="9" fontId="29" fillId="0" borderId="0" pivotButton="0" quotePrefix="0" xfId="0"/>
    <xf numFmtId="165" fontId="0" fillId="0" borderId="3" applyProtection="1" pivotButton="0" quotePrefix="0" xfId="0">
      <protection locked="0" hidden="0"/>
    </xf>
    <xf numFmtId="165" fontId="0" fillId="0" borderId="3" pivotButton="0" quotePrefix="0" xfId="0"/>
    <xf numFmtId="166" fontId="0" fillId="0" borderId="3" pivotButton="0" quotePrefix="0" xfId="0"/>
    <xf numFmtId="167" fontId="0" fillId="0" borderId="3" pivotButton="0" quotePrefix="0" xfId="0"/>
    <xf numFmtId="0" fontId="22" fillId="0" borderId="3" applyAlignment="1" pivotButton="0" quotePrefix="0" xfId="0">
      <alignment horizontal="center"/>
    </xf>
    <xf numFmtId="1" fontId="0" fillId="0" borderId="3" pivotButton="0" quotePrefix="0" xfId="0"/>
    <xf numFmtId="49" fontId="0" fillId="0" borderId="3" pivotButton="0" quotePrefix="0" xfId="0"/>
    <xf numFmtId="0" fontId="21"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left" vertical="center" indent="1"/>
      <protection locked="0" hidden="0"/>
    </xf>
    <xf numFmtId="0" fontId="9" fillId="0" borderId="0" applyAlignment="1" applyProtection="1" pivotButton="0" quotePrefix="0" xfId="0">
      <alignment horizontal="left" vertical="center" wrapText="1" indent="1"/>
      <protection locked="0" hidden="0"/>
    </xf>
    <xf numFmtId="0" fontId="7" fillId="0" borderId="0" applyAlignment="1" pivotButton="0" quotePrefix="0" xfId="0">
      <alignment horizontal="center" vertical="center"/>
    </xf>
    <xf numFmtId="168" fontId="9" fillId="0" borderId="0" applyAlignment="1" applyProtection="1" pivotButton="0" quotePrefix="0" xfId="0">
      <alignment horizontal="center" vertical="center"/>
      <protection locked="0" hidden="0"/>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4" fillId="0" borderId="0" applyAlignment="1" pivotButton="0" quotePrefix="0" xfId="0">
      <alignment horizontal="general" vertical="bottom"/>
    </xf>
    <xf numFmtId="0" fontId="12" fillId="0" borderId="0" applyAlignment="1" pivotButton="0" quotePrefix="0" xfId="0">
      <alignment horizontal="center" vertical="center"/>
    </xf>
    <xf numFmtId="0" fontId="13" fillId="5" borderId="0" applyAlignment="1" pivotButton="0" quotePrefix="0" xfId="0">
      <alignment horizontal="center" vertical="center"/>
    </xf>
    <xf numFmtId="0" fontId="14" fillId="4" borderId="1" applyAlignment="1" pivotButton="0" quotePrefix="0" xfId="0">
      <alignment horizontal="center" vertical="center"/>
    </xf>
    <xf numFmtId="0" fontId="15" fillId="3" borderId="1" applyAlignment="1" pivotButton="0" quotePrefix="0" xfId="0">
      <alignment horizontal="center" vertical="center"/>
    </xf>
    <xf numFmtId="0" fontId="16" fillId="2" borderId="1" applyAlignment="1" pivotButton="0" quotePrefix="0" xfId="0">
      <alignment horizontal="center" vertical="center"/>
    </xf>
    <xf numFmtId="0" fontId="17" fillId="2" borderId="0" applyAlignment="1" pivotButton="0" quotePrefix="0" xfId="0">
      <alignment horizontal="center" vertical="center"/>
    </xf>
    <xf numFmtId="0" fontId="9" fillId="0" borderId="0" applyAlignment="1" pivotButton="0" quotePrefix="0" xfId="0">
      <alignment horizontal="left" vertical="center" indent="1"/>
    </xf>
    <xf numFmtId="0" fontId="18" fillId="3" borderId="0" applyAlignment="1" pivotButton="0" quotePrefix="0" xfId="0">
      <alignment horizontal="center" vertical="center"/>
    </xf>
    <xf numFmtId="0" fontId="19" fillId="4" borderId="0" applyAlignment="1" pivotButton="0" quotePrefix="0" xfId="0">
      <alignment horizontal="center" vertical="center"/>
    </xf>
    <xf numFmtId="0" fontId="20" fillId="0" borderId="0" pivotButton="0" quotePrefix="0" xfId="0"/>
    <xf numFmtId="0" fontId="22" fillId="0" borderId="0" pivotButton="0" quotePrefix="0" xfId="0"/>
    <xf numFmtId="0" fontId="22" fillId="0" borderId="2" applyAlignment="1" pivotButton="0" quotePrefix="0" xfId="0">
      <alignment horizontal="center" wrapText="1"/>
    </xf>
    <xf numFmtId="0" fontId="22" fillId="0" borderId="2" pivotButton="0" quotePrefix="0" xfId="0"/>
    <xf numFmtId="0" fontId="23" fillId="6" borderId="2" applyAlignment="1" pivotButton="0" quotePrefix="0" xfId="0">
      <alignment horizontal="center" vertical="center" wrapText="1"/>
    </xf>
    <xf numFmtId="0" fontId="23" fillId="7" borderId="2" applyAlignment="1" pivotButton="0" quotePrefix="0" xfId="0">
      <alignment horizontal="center" vertical="center" wrapText="1"/>
    </xf>
    <xf numFmtId="0" fontId="23" fillId="8" borderId="2" applyAlignment="1" pivotButton="0" quotePrefix="0" xfId="0">
      <alignment horizontal="center" vertical="center" wrapText="1"/>
    </xf>
    <xf numFmtId="0" fontId="24" fillId="0" borderId="0" pivotButton="0" quotePrefix="0" xfId="0"/>
    <xf numFmtId="0" fontId="28" fillId="0" borderId="0" pivotButton="0" quotePrefix="0" xfId="0"/>
    <xf numFmtId="0" fontId="29" fillId="0" borderId="0" pivotButton="0" quotePrefix="0" xfId="0"/>
    <xf numFmtId="0" fontId="30" fillId="0" borderId="0" pivotButton="0" quotePrefix="0" xfId="0"/>
    <xf numFmtId="0" fontId="32" fillId="10" borderId="3" applyAlignment="1" applyProtection="1" pivotButton="0" quotePrefix="0" xfId="0">
      <alignment vertical="center" wrapText="1"/>
      <protection locked="0" hidden="0"/>
    </xf>
    <xf numFmtId="0" fontId="33" fillId="10" borderId="3" applyAlignment="1" applyProtection="1" pivotButton="0" quotePrefix="0" xfId="0">
      <alignment vertical="center" wrapText="1"/>
      <protection locked="0" hidden="0"/>
    </xf>
    <xf numFmtId="0" fontId="34" fillId="10" borderId="3" applyAlignment="1" applyProtection="1" pivotButton="0" quotePrefix="0" xfId="0">
      <alignment vertical="center" wrapText="1"/>
      <protection locked="0" hidden="0"/>
    </xf>
    <xf numFmtId="0" fontId="32" fillId="0" borderId="3" applyAlignment="1" applyProtection="1" pivotButton="0" quotePrefix="0" xfId="0">
      <alignment vertical="center" wrapText="1"/>
      <protection locked="0" hidden="0"/>
    </xf>
    <xf numFmtId="0" fontId="33" fillId="0" borderId="3" applyAlignment="1" applyProtection="1" pivotButton="0" quotePrefix="0" xfId="0">
      <alignment vertical="center" wrapText="1"/>
      <protection locked="0" hidden="0"/>
    </xf>
    <xf numFmtId="0" fontId="34" fillId="0" borderId="3" applyAlignment="1" applyProtection="1" pivotButton="0" quotePrefix="0" xfId="0">
      <alignment vertical="center" wrapText="1"/>
      <protection locked="0" hidden="0"/>
    </xf>
    <xf numFmtId="0" fontId="20" fillId="0" borderId="0" applyAlignment="1" pivotButton="0" quotePrefix="0" xfId="0">
      <alignment vertical="top" wrapText="1"/>
    </xf>
    <xf numFmtId="0" fontId="25" fillId="0" borderId="0" applyAlignment="1" pivotButton="0" quotePrefix="0" xfId="0">
      <alignment vertical="top" wrapText="1"/>
    </xf>
    <xf numFmtId="0" fontId="36" fillId="0" borderId="0" applyAlignment="1" pivotButton="0" quotePrefix="0" xfId="0">
      <alignment vertical="top" wrapText="1"/>
    </xf>
    <xf numFmtId="164" fontId="0" fillId="11" borderId="3" applyProtection="1" pivotButton="0" quotePrefix="0" xfId="0">
      <protection locked="0" hidden="0"/>
    </xf>
    <xf numFmtId="165" fontId="33" fillId="0" borderId="3" applyAlignment="1" pivotButton="0" quotePrefix="0" xfId="0">
      <alignment horizontal="right"/>
    </xf>
    <xf numFmtId="0" fontId="0" fillId="0" borderId="6"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165" fontId="0" fillId="0" borderId="3" applyProtection="1" pivotButton="0" quotePrefix="0" xfId="0">
      <protection locked="0" hidden="0"/>
    </xf>
    <xf numFmtId="165" fontId="0" fillId="0" borderId="3" pivotButton="0" quotePrefix="0" xfId="0"/>
    <xf numFmtId="166" fontId="0" fillId="0" borderId="3" pivotButton="0" quotePrefix="0" xfId="0"/>
    <xf numFmtId="167" fontId="0" fillId="0" borderId="3" pivotButton="0" quotePrefix="0" xfId="0"/>
    <xf numFmtId="0" fontId="31" fillId="9" borderId="3" applyAlignment="1" pivotButton="0" quotePrefix="0" xfId="0">
      <alignment horizontal="center" vertical="center" wrapText="1"/>
    </xf>
    <xf numFmtId="168"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left" vertical="center" wrapText="1"/>
      <protection locked="0" hidden="0"/>
    </xf>
  </cellXfs>
  <cellStyles count="1">
    <cellStyle name="Normal" xfId="0" builtinId="0" hidden="0"/>
  </cellStyles>
  <dxfs count="6">
    <dxf>
      <font>
        <b val="1"/>
        <color rgb="FF9C0006"/>
      </font>
      <fill>
        <patternFill patternType="solid">
          <fgColor rgb="FFFFC7CE"/>
        </patternFill>
      </fill>
    </dxf>
    <dxf>
      <font>
        <b val="1"/>
        <color rgb="FF9C5700"/>
      </font>
      <fill>
        <patternFill patternType="solid">
          <fgColor rgb="FFFFEB9C"/>
        </patternFill>
      </fill>
    </dxf>
    <dxf>
      <font>
        <b val="1"/>
        <color rgb="FF006100"/>
      </font>
      <fill>
        <patternFill patternType="solid">
          <fgColor rgb="FFC6EFCE"/>
        </patternFill>
      </fill>
    </dxf>
    <dxf>
      <font>
        <b val="1"/>
        <color rgb="FF9C0006"/>
      </font>
      <fill>
        <patternFill>
          <bgColor rgb="FFFFC7CE"/>
        </patternFill>
      </fill>
    </dxf>
    <dxf>
      <font>
        <b val="1"/>
        <color rgb="FF9C6500"/>
      </font>
      <fill>
        <patternFill>
          <bgColor rgb="FFFFEB9C"/>
        </patternFill>
      </fill>
    </dxf>
    <dxf>
      <font>
        <b val="1"/>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5"/>
  <sheetViews>
    <sheetView workbookViewId="0">
      <selection activeCell="A1" sqref="A1"/>
    </sheetView>
  </sheetViews>
  <sheetFormatPr baseColWidth="8" defaultRowHeight="15"/>
  <cols>
    <col width="2.5" customWidth="1" min="1" max="1"/>
    <col width="110" customWidth="1" min="2" max="2"/>
  </cols>
  <sheetData>
    <row r="2">
      <c r="B2" s="1" t="inlineStr">
        <is>
          <t>PM Essentials — Your First 90 Days as a DoD Program Manager</t>
        </is>
      </c>
    </row>
    <row r="3">
      <c r="B3" s="2" t="inlineStr">
        <is>
          <t>One workbook. Fill in the tabs, and the Dashboard builds your program status for you.</t>
        </is>
      </c>
    </row>
    <row r="4">
      <c r="B4" s="2" t="inlineStr"/>
    </row>
    <row r="5">
      <c r="B5" s="3" t="inlineStr">
        <is>
          <t>How this workbook fits together</t>
        </is>
      </c>
    </row>
    <row r="6">
      <c r="B6" s="2" t="inlineStr">
        <is>
          <t>1. Dashboard — reads every other tab and gives you a one-page program status. Print it for your PEO. You fill in only the header (program, PM, as-of date).</t>
        </is>
      </c>
    </row>
    <row r="7">
      <c r="B7" s="2" t="inlineStr">
        <is>
          <t>2. First 90 Days — the 30 things to do when you inherit a program, in order. Mark them off; the Dashboard tracks your progress.</t>
        </is>
      </c>
    </row>
    <row r="8">
      <c r="B8" s="2" t="inlineStr">
        <is>
          <t>3. Spend Plan — monthly obligation and expenditure plan vs. actuals for the fiscal year, against your appropriation’s obligation goal. This is the tab you will live in.</t>
        </is>
      </c>
    </row>
    <row r="9">
      <c r="B9" s="2" t="inlineStr">
        <is>
          <t>4. Risk Register — 16 pre-loaded risks that actually kill DoD programs, scored and with mitigations. Rescore them for your program; the Risk Map redraws itself.</t>
        </is>
      </c>
    </row>
    <row r="10">
      <c r="B10" s="2" t="inlineStr">
        <is>
          <t>5. Risk Map — your risks plotted on the 5×5 grid. Print this page for the weekly review.</t>
        </is>
      </c>
    </row>
    <row r="11">
      <c r="B11" s="2" t="inlineStr">
        <is>
          <t>6. RACI — 25 program decisions with who is Responsible, Accountable, Consulted, Informed. One row per decision, four fields, no grid to maintain.</t>
        </is>
      </c>
    </row>
    <row r="12">
      <c r="B12" s="2" t="inlineStr">
        <is>
          <t>7. PM Briefing Deck (separate PowerPoint) — 12 slides with the questions leadership will actually ask, in the speaker notes.</t>
        </is>
      </c>
    </row>
    <row r="13">
      <c r="B13" s="2" t="inlineStr"/>
    </row>
    <row r="14">
      <c r="B14" s="3" t="inlineStr">
        <is>
          <t>Where each tool is taught</t>
        </is>
      </c>
    </row>
    <row r="15">
      <c r="B15" s="2" t="inlineStr">
        <is>
          <t>Spend Plan and color of money → Module 2: Defense Finance &amp; Budgeting, Lesson 1 and Lesson 8</t>
        </is>
      </c>
    </row>
    <row r="16">
      <c r="B16" s="2" t="inlineStr">
        <is>
          <t>Risk Register and Risk Map → Module 1: Foundations, Lesson 6 and Lesson 8</t>
        </is>
      </c>
    </row>
    <row r="17">
      <c r="B17" s="2" t="inlineStr">
        <is>
          <t>RACI and stakeholders → Module 6: Operations &amp; Leadership, Lesson 5</t>
        </is>
      </c>
    </row>
    <row r="18">
      <c r="B18" s="2" t="inlineStr">
        <is>
          <t>Briefing Deck and the PMR → Module 6: Operations &amp; Leadership, Lesson 8</t>
        </is>
      </c>
    </row>
    <row r="19">
      <c r="B19" s="2" t="inlineStr">
        <is>
          <t>Log in at acqlerate.com/app to open the lesson next to the tool.</t>
        </is>
      </c>
    </row>
    <row r="20">
      <c r="B20" s="2" t="inlineStr"/>
    </row>
    <row r="21">
      <c r="B21" s="3" t="inlineStr">
        <is>
          <t>Currency</t>
        </is>
      </c>
    </row>
    <row r="22">
      <c r="B22" s="2" t="inlineStr">
        <is>
          <t>Thresholds reflect FAC 2025-06 (SAT $350K, MPT $15K, effective Oct 1, 2025), EVM at $50M and a validated EVMS at $100M (DFARS class deviation 2026-O0011), and CMMC as of September 2026: Phase 1 self-assessments are in contracts; Phase 2 third-party (C3PAO) assessments were suspended July 13, 2026 with no new date. When these move we update the file, and your download link always serves the current edition.</t>
        </is>
      </c>
    </row>
    <row r="23">
      <c r="B23" s="2" t="inlineStr"/>
    </row>
    <row r="24">
      <c r="B24" s="3" t="inlineStr">
        <is>
          <t>License &amp; Use</t>
        </is>
      </c>
    </row>
    <row r="25">
      <c r="B25" s="2" t="inlineStr">
        <is>
          <t>Licensed for use on one program, by one organization. Customize text, branding, and layout freely. Company-wide deployment, sharing outside your organization, or resale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H28"/>
  <sheetViews>
    <sheetView workbookViewId="0">
      <selection activeCell="A1" sqref="A1"/>
    </sheetView>
  </sheetViews>
  <sheetFormatPr baseColWidth="8" defaultRowHeight="15"/>
  <cols>
    <col width="2.5" customWidth="1" min="1" max="1"/>
    <col width="26" customWidth="1" min="2" max="2"/>
    <col width="22" customWidth="1" min="3" max="3"/>
    <col width="4" customWidth="1" min="4" max="4"/>
    <col width="26" customWidth="1" min="5" max="5"/>
    <col width="22" customWidth="1" min="6" max="6"/>
    <col width="4" customWidth="1" min="7" max="7"/>
    <col width="30" customWidth="1" min="8" max="8"/>
  </cols>
  <sheetData>
    <row r="2">
      <c r="B2" s="4" t="inlineStr">
        <is>
          <t>PROGRAM DASHBOARD</t>
        </is>
      </c>
    </row>
    <row r="3">
      <c r="B3" s="5" t="inlineStr">
        <is>
          <t>Builds itself from the other tabs. Fill in the three header cells, then print this page for your PEO.</t>
        </is>
      </c>
    </row>
    <row r="5">
      <c r="B5" s="6" t="inlineStr">
        <is>
          <t>Program</t>
        </is>
      </c>
      <c r="C5" s="7" t="inlineStr">
        <is>
          <t>[Program Name]</t>
        </is>
      </c>
    </row>
    <row r="6">
      <c r="B6" s="6" t="inlineStr">
        <is>
          <t>Program Manager</t>
        </is>
      </c>
      <c r="C6" s="7" t="inlineStr">
        <is>
          <t>[Your Name]</t>
        </is>
      </c>
    </row>
    <row r="7">
      <c r="B7" s="6" t="inlineStr">
        <is>
          <t>As of</t>
        </is>
      </c>
      <c r="C7" s="89" t="n">
        <v>46280</v>
      </c>
    </row>
    <row r="9">
      <c r="B9" s="9" t="inlineStr">
        <is>
          <t>MONEY</t>
        </is>
      </c>
      <c r="C9" s="10" t="n"/>
      <c r="E9" s="9" t="inlineStr">
        <is>
          <t>RISK</t>
        </is>
      </c>
      <c r="F9" s="10" t="n"/>
      <c r="H9" s="11" t="inlineStr">
        <is>
          <t>HOW TO READ THIS</t>
        </is>
      </c>
    </row>
    <row r="10">
      <c r="B10" s="12" t="inlineStr">
        <is>
          <t>Appropriation</t>
        </is>
      </c>
      <c r="C10" s="13">
        <f>'Spend Plan'!C6</f>
        <v/>
      </c>
      <c r="E10" s="12" t="inlineStr">
        <is>
          <t>HIGH</t>
        </is>
      </c>
      <c r="F10" s="14">
        <f>COUNTIF('Risk Register'!I16:I31,"HIGH")</f>
        <v/>
      </c>
      <c r="H10" s="15" t="inlineStr">
        <is>
          <t>MONEY goes red when cumulative obligations fall more than 10% behind plan. If the appropriation expires this FY, that is the slide to lead with.</t>
        </is>
      </c>
    </row>
    <row r="11">
      <c r="B11" s="12" t="inlineStr">
        <is>
          <t>Budget Authority</t>
        </is>
      </c>
      <c r="C11" s="90">
        <f>'Spend Plan'!C7</f>
        <v/>
      </c>
      <c r="E11" s="12" t="inlineStr">
        <is>
          <t>MEDIUM</t>
        </is>
      </c>
      <c r="F11" s="14">
        <f>COUNTIF('Risk Register'!I16:I31,"MEDIUM")</f>
        <v/>
      </c>
    </row>
    <row r="12">
      <c r="B12" s="12" t="inlineStr">
        <is>
          <t>Obligated to date</t>
        </is>
      </c>
      <c r="C12" s="90">
        <f>'Spend Plan'!C29</f>
        <v/>
      </c>
      <c r="E12" s="12" t="inlineStr">
        <is>
          <t>LOW</t>
        </is>
      </c>
      <c r="F12" s="14">
        <f>COUNTIF('Risk Register'!I16:I31,"LOW")</f>
        <v/>
      </c>
    </row>
    <row r="13">
      <c r="B13" s="12" t="inlineStr">
        <is>
          <t>% of BA obligated</t>
        </is>
      </c>
      <c r="C13" s="17">
        <f>'Spend Plan'!C30</f>
        <v/>
      </c>
      <c r="E13" s="12" t="inlineStr">
        <is>
          <t>Open</t>
        </is>
      </c>
      <c r="F13" s="14">
        <f>COUNTIF('Risk Register'!N16:N31,"Open")</f>
        <v/>
      </c>
      <c r="H13" s="15" t="inlineStr">
        <is>
          <t>RISK is red at three or more HIGH risks. The list shows every open HIGH — each one needs a mitigation owner named on the register.</t>
        </is>
      </c>
    </row>
    <row r="14">
      <c r="B14" s="12" t="inlineStr">
        <is>
          <t>% of plan achieved</t>
        </is>
      </c>
      <c r="C14" s="17">
        <f>'Spend Plan'!C31</f>
        <v/>
      </c>
      <c r="E14" s="6" t="inlineStr">
        <is>
          <t>Status</t>
        </is>
      </c>
      <c r="F14" s="18">
        <f>IF(F10&gt;=3,"RED",IF(F10&gt;=1,"AMBER","GREEN"))</f>
        <v/>
      </c>
    </row>
    <row r="15">
      <c r="B15" s="12" t="inlineStr">
        <is>
          <t>Remaining to Yr-1 goal</t>
        </is>
      </c>
      <c r="C15" s="90">
        <f>'Spend Plan'!C32</f>
        <v/>
      </c>
      <c r="E15" s="6" t="inlineStr">
        <is>
          <t>HIGH risks (open)</t>
        </is>
      </c>
    </row>
    <row r="16">
      <c r="B16" s="6" t="inlineStr">
        <is>
          <t>Status</t>
        </is>
      </c>
      <c r="C16" s="18">
        <f>'Spend Plan'!C34</f>
        <v/>
      </c>
      <c r="E16" s="19">
        <f t="array" ref="E16">_xlfn.TEXTJOIN(CHAR(10),TRUE,IF(('Risk Register'!$I$16:$I$31="HIGH")*('Risk Register'!$N$16:$N$31="Open"),'Risk Register'!$B$16:$B$31&amp;" "&amp;'Risk Register'!$C$16:$C$31,""))</f>
        <v/>
      </c>
      <c r="F16" s="91" t="n"/>
      <c r="H16" s="15" t="inlineStr">
        <is>
          <t>FIRST 90 DAYS shows where you are in taking over the program. Below 50% on Orient after day 30 means you are still finding out things you should already know.</t>
        </is>
      </c>
    </row>
    <row r="17">
      <c r="E17" s="92" t="n"/>
      <c r="F17" s="93" t="n"/>
    </row>
    <row r="18">
      <c r="E18" s="92" t="n"/>
      <c r="F18" s="93" t="n"/>
    </row>
    <row r="19">
      <c r="E19" s="94" t="n"/>
      <c r="F19" s="95" t="n"/>
      <c r="H19" s="15" t="inlineStr">
        <is>
          <t>ACCOUNTABILITY is red if any decision in the RACI has no Accountable owner. That is the gap that turns into “I thought you had that.”</t>
        </is>
      </c>
    </row>
    <row r="20"/>
    <row r="21">
      <c r="B21" s="9" t="inlineStr">
        <is>
          <t>FIRST 90 DAYS</t>
        </is>
      </c>
      <c r="C21" s="10" t="n"/>
      <c r="E21" s="9" t="inlineStr">
        <is>
          <t>ACCOUNTABILITY</t>
        </is>
      </c>
      <c r="F21" s="10" t="n"/>
    </row>
    <row r="22">
      <c r="B22" s="12" t="inlineStr">
        <is>
          <t>Orient (1–30)</t>
        </is>
      </c>
      <c r="C22" s="17">
        <f>'First 90 Days'!F39</f>
        <v/>
      </c>
      <c r="E22" s="12" t="inlineStr">
        <is>
          <t>Decisions tracked</t>
        </is>
      </c>
      <c r="F22" s="14">
        <f>COUNTA('RACI'!B8:B32)</f>
        <v/>
      </c>
    </row>
    <row r="23">
      <c r="B23" s="12" t="inlineStr">
        <is>
          <t>Assess (31–60)</t>
        </is>
      </c>
      <c r="C23" s="17">
        <f>'First 90 Days'!F40</f>
        <v/>
      </c>
      <c r="E23" s="12" t="inlineStr">
        <is>
          <t>Missing an Accountable</t>
        </is>
      </c>
      <c r="F23" s="14">
        <f>COUNTBLANK('RACI'!D8:D32)</f>
        <v/>
      </c>
    </row>
    <row r="24">
      <c r="B24" s="12" t="inlineStr">
        <is>
          <t>Act (61–90)</t>
        </is>
      </c>
      <c r="C24" s="17">
        <f>'First 90 Days'!F41</f>
        <v/>
      </c>
      <c r="E24" s="6" t="inlineStr">
        <is>
          <t>Status</t>
        </is>
      </c>
      <c r="F24" s="18">
        <f>IF(F23=0,"GREEN","RED")</f>
        <v/>
      </c>
    </row>
    <row r="25">
      <c r="B25" s="6" t="inlineStr">
        <is>
          <t>Overall</t>
        </is>
      </c>
      <c r="C25" s="20">
        <f>'First 90 Days'!F42</f>
        <v/>
      </c>
    </row>
    <row r="28">
      <c r="B28"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mergeCells count="5">
    <mergeCell ref="H19:H21"/>
    <mergeCell ref="H16:H18"/>
    <mergeCell ref="E16:F19"/>
    <mergeCell ref="H10:H12"/>
    <mergeCell ref="H13:H15"/>
  </mergeCells>
  <conditionalFormatting sqref="C16">
    <cfRule type="expression" priority="1" dxfId="0">
      <formula>OR(C16="RED",LEFT(C16,6)="BEHIND")</formula>
    </cfRule>
    <cfRule type="expression" priority="2" dxfId="1">
      <formula>OR(C16="AMBER",LEFT(C16,5)="AHEAD")</formula>
    </cfRule>
    <cfRule type="expression" priority="3" dxfId="2">
      <formula>OR(C16="GREEN",C16="ON PLAN")</formula>
    </cfRule>
  </conditionalFormatting>
  <conditionalFormatting sqref="F14">
    <cfRule type="expression" priority="4" dxfId="0">
      <formula>OR(F14="RED",LEFT(F14,6)="BEHIND")</formula>
    </cfRule>
    <cfRule type="expression" priority="5" dxfId="1">
      <formula>OR(F14="AMBER",LEFT(F14,5)="AHEAD")</formula>
    </cfRule>
    <cfRule type="expression" priority="6" dxfId="2">
      <formula>OR(F14="GREEN",F14="ON PLAN")</formula>
    </cfRule>
  </conditionalFormatting>
  <conditionalFormatting sqref="F24">
    <cfRule type="expression" priority="7" dxfId="0">
      <formula>OR(F24="RED",LEFT(F24,6)="BEHIND")</formula>
    </cfRule>
    <cfRule type="expression" priority="8" dxfId="1">
      <formula>OR(F24="AMBER",LEFT(F24,5)="AHEAD")</formula>
    </cfRule>
    <cfRule type="expression" priority="9" dxfId="2">
      <formula>OR(F24="GREEN",F24="ON PLAN")</formula>
    </cfRule>
  </conditionalFormatting>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B2:G4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8" customWidth="1" min="2" max="2"/>
    <col width="52" customWidth="1" min="3" max="3"/>
    <col width="22" customWidth="1" min="4" max="4"/>
    <col width="16" customWidth="1" min="5" max="5"/>
    <col width="18" customWidth="1" min="6" max="6"/>
    <col width="40" customWidth="1" min="7" max="7"/>
  </cols>
  <sheetData>
    <row r="2">
      <c r="B2" s="22" t="inlineStr">
        <is>
          <t>First 90 Days — Inheriting a DoD Program</t>
        </is>
      </c>
    </row>
    <row r="3">
      <c r="B3" s="5" t="inlineStr">
        <is>
          <t>Thirty things to do, in order. Mark Status as you go; the Dashboard tracks each phase.</t>
        </is>
      </c>
    </row>
    <row r="5">
      <c r="B5" s="23" t="inlineStr">
        <is>
          <t>#</t>
        </is>
      </c>
      <c r="C5" s="23" t="inlineStr">
        <is>
          <t>Action</t>
        </is>
      </c>
      <c r="D5" s="23" t="inlineStr">
        <is>
          <t>Phase</t>
        </is>
      </c>
      <c r="E5" s="23" t="inlineStr">
        <is>
          <t>Status</t>
        </is>
      </c>
      <c r="F5" s="23" t="inlineStr">
        <is>
          <t>Owner</t>
        </is>
      </c>
      <c r="G5" s="23" t="inlineStr">
        <is>
          <t>Notes / Evidence</t>
        </is>
      </c>
    </row>
    <row r="6" ht="42" customHeight="1">
      <c r="B6" s="24" t="n">
        <v>1</v>
      </c>
      <c r="C6" s="25" t="inlineStr">
        <is>
          <t>Read the Acquisition Program Baseline and Acquisition Strategy. Know your cost, schedule, and performance thresholds before anyone asks.</t>
        </is>
      </c>
      <c r="D6" s="26" t="inlineStr">
        <is>
          <t>Orient (Days 1–30)</t>
        </is>
      </c>
      <c r="E6" s="27" t="inlineStr">
        <is>
          <t>Not Started</t>
        </is>
      </c>
      <c r="F6" s="26" t="n"/>
      <c r="G6" s="26" t="n"/>
    </row>
    <row r="7" ht="42" customHeight="1">
      <c r="B7" s="28" t="n">
        <v>2</v>
      </c>
      <c r="C7" s="29" t="inlineStr">
        <is>
          <t>Schedule 1:1s in week one with your PEO, Contracting Officer, COR, and the contractor PM. Ask each: what worries you most?</t>
        </is>
      </c>
      <c r="D7" s="30" t="inlineStr">
        <is>
          <t>Orient (Days 1–30)</t>
        </is>
      </c>
      <c r="E7" s="31" t="inlineStr">
        <is>
          <t>Not Started</t>
        </is>
      </c>
      <c r="F7" s="30" t="n"/>
      <c r="G7" s="30" t="n"/>
    </row>
    <row r="8" ht="42" customHeight="1">
      <c r="B8" s="24" t="n">
        <v>3</v>
      </c>
      <c r="C8" s="25" t="inlineStr">
        <is>
          <t>Pull the last three PMR decks. Read the risk and cost slides first — that is where the truth lives.</t>
        </is>
      </c>
      <c r="D8" s="26" t="inlineStr">
        <is>
          <t>Orient (Days 1–30)</t>
        </is>
      </c>
      <c r="E8" s="27" t="inlineStr">
        <is>
          <t>Not Started</t>
        </is>
      </c>
      <c r="F8" s="26" t="n"/>
      <c r="G8" s="26" t="n"/>
    </row>
    <row r="9" ht="42" customHeight="1">
      <c r="B9" s="28" t="n">
        <v>4</v>
      </c>
      <c r="C9" s="29" t="inlineStr">
        <is>
          <t>Find the current spend plan and obligation status. Know your color of money and when each appropriation expires.</t>
        </is>
      </c>
      <c r="D9" s="30" t="inlineStr">
        <is>
          <t>Orient (Days 1–30)</t>
        </is>
      </c>
      <c r="E9" s="31" t="inlineStr">
        <is>
          <t>Not Started</t>
        </is>
      </c>
      <c r="F9" s="30" t="n"/>
      <c r="G9" s="30" t="n"/>
    </row>
    <row r="10" ht="42" customHeight="1">
      <c r="B10" s="24" t="n">
        <v>5</v>
      </c>
      <c r="C10" s="25" t="inlineStr">
        <is>
          <t>Get read-in on every active contract: type, period of performance, CLIN structure, remaining options, ceiling.</t>
        </is>
      </c>
      <c r="D10" s="26" t="inlineStr">
        <is>
          <t>Orient (Days 1–30)</t>
        </is>
      </c>
      <c r="E10" s="27" t="inlineStr">
        <is>
          <t>Not Started</t>
        </is>
      </c>
      <c r="F10" s="26" t="n"/>
      <c r="G10" s="26" t="n"/>
    </row>
    <row r="11" ht="42" customHeight="1">
      <c r="B11" s="28" t="n">
        <v>6</v>
      </c>
      <c r="C11" s="29" t="inlineStr">
        <is>
          <t>Review the contractor’s last two CPARS and every open CAR or deficiency report.</t>
        </is>
      </c>
      <c r="D11" s="30" t="inlineStr">
        <is>
          <t>Orient (Days 1–30)</t>
        </is>
      </c>
      <c r="E11" s="31" t="inlineStr">
        <is>
          <t>Not Started</t>
        </is>
      </c>
      <c r="F11" s="30" t="n"/>
      <c r="G11" s="30" t="n"/>
    </row>
    <row r="12" ht="42" customHeight="1">
      <c r="B12" s="24" t="n">
        <v>7</v>
      </c>
      <c r="C12" s="25" t="inlineStr">
        <is>
          <t>Confirm the RACI (RACI tab): who is Accountable for each decision. Fix the blanks now, not in a crisis.</t>
        </is>
      </c>
      <c r="D12" s="26" t="inlineStr">
        <is>
          <t>Orient (Days 1–30)</t>
        </is>
      </c>
      <c r="E12" s="27" t="inlineStr">
        <is>
          <t>Not Started</t>
        </is>
      </c>
      <c r="F12" s="26" t="n"/>
      <c r="G12" s="26" t="n"/>
    </row>
    <row r="13" ht="42" customHeight="1">
      <c r="B13" s="28" t="n">
        <v>8</v>
      </c>
      <c r="C13" s="29" t="inlineStr">
        <is>
          <t>List every milestone, decision, and test event inside the next 90 days. These are your forcing functions.</t>
        </is>
      </c>
      <c r="D13" s="30" t="inlineStr">
        <is>
          <t>Orient (Days 1–30)</t>
        </is>
      </c>
      <c r="E13" s="31" t="inlineStr">
        <is>
          <t>Not Started</t>
        </is>
      </c>
      <c r="F13" s="30" t="n"/>
      <c r="G13" s="30" t="n"/>
    </row>
    <row r="14" ht="42" customHeight="1">
      <c r="B14" s="24" t="n">
        <v>9</v>
      </c>
      <c r="C14" s="25" t="inlineStr">
        <is>
          <t>Verify CMMC on every contract handling FCI or CUI: the required level, and a current status posted in SPRS for the contractor and each covered sub. Phase 2 C3PAO assessments are suspended (July 2026); check for a new date before you plan around one.</t>
        </is>
      </c>
      <c r="D14" s="26" t="inlineStr">
        <is>
          <t>Orient (Days 1–30)</t>
        </is>
      </c>
      <c r="E14" s="27" t="inlineStr">
        <is>
          <t>Not Started</t>
        </is>
      </c>
      <c r="F14" s="26" t="n"/>
      <c r="G14" s="26" t="n"/>
    </row>
    <row r="15" ht="42" customHeight="1">
      <c r="B15" s="28" t="n">
        <v>10</v>
      </c>
      <c r="C15" s="29" t="inlineStr">
        <is>
          <t>Stand up the Risk Register (Risk Register tab) with the outgoing PM’s top ten. Do not rescore yet — just capture.</t>
        </is>
      </c>
      <c r="D15" s="30" t="inlineStr">
        <is>
          <t>Orient (Days 1–30)</t>
        </is>
      </c>
      <c r="E15" s="31" t="inlineStr">
        <is>
          <t>Not Started</t>
        </is>
      </c>
      <c r="F15" s="30" t="n"/>
      <c r="G15" s="30" t="n"/>
    </row>
    <row r="16" ht="42" customHeight="1">
      <c r="B16" s="24" t="n">
        <v>11</v>
      </c>
      <c r="C16" s="25" t="inlineStr">
        <is>
          <t>Rescore every risk with your own probability and impact. Brief the Risk Map to your PEO within the phase.</t>
        </is>
      </c>
      <c r="D16" s="26" t="inlineStr">
        <is>
          <t>Assess (Days 31–60)</t>
        </is>
      </c>
      <c r="E16" s="27" t="inlineStr">
        <is>
          <t>Not Started</t>
        </is>
      </c>
      <c r="F16" s="26" t="n"/>
      <c r="G16" s="26" t="n"/>
    </row>
    <row r="17" ht="42" customHeight="1">
      <c r="B17" s="28" t="n">
        <v>12</v>
      </c>
      <c r="C17" s="29" t="inlineStr">
        <is>
          <t>Reconcile obligations against plan (Spend Plan tab). Flag any appropriation at risk of expiring unobligated.</t>
        </is>
      </c>
      <c r="D17" s="30" t="inlineStr">
        <is>
          <t>Assess (Days 31–60)</t>
        </is>
      </c>
      <c r="E17" s="31" t="inlineStr">
        <is>
          <t>Not Started</t>
        </is>
      </c>
      <c r="F17" s="30" t="n"/>
      <c r="G17" s="30" t="n"/>
    </row>
    <row r="18" ht="42" customHeight="1">
      <c r="B18" s="24" t="n">
        <v>13</v>
      </c>
      <c r="C18" s="25" t="inlineStr">
        <is>
          <t>Walk the Integrated Master Schedule with the contractor. Validate the critical path and where the float actually is.</t>
        </is>
      </c>
      <c r="D18" s="26" t="inlineStr">
        <is>
          <t>Assess (Days 31–60)</t>
        </is>
      </c>
      <c r="E18" s="27" t="inlineStr">
        <is>
          <t>Not Started</t>
        </is>
      </c>
      <c r="F18" s="26" t="n"/>
      <c r="G18" s="26" t="n"/>
    </row>
    <row r="19" ht="42" customHeight="1">
      <c r="B19" s="28" t="n">
        <v>14</v>
      </c>
      <c r="C19" s="29" t="inlineStr">
        <is>
          <t>If EVM applies ($50M and up on cost or incentive contracts; validated EVMS at $100M, DFARS class deviation 2026-O0011), review CPI and SPI trends and the contractor’s VAC. Ask what changed since the last report.</t>
        </is>
      </c>
      <c r="D19" s="30" t="inlineStr">
        <is>
          <t>Assess (Days 31–60)</t>
        </is>
      </c>
      <c r="E19" s="31" t="inlineStr">
        <is>
          <t>Not Started</t>
        </is>
      </c>
      <c r="F19" s="30" t="n"/>
      <c r="G19" s="30" t="n"/>
    </row>
    <row r="20" ht="42" customHeight="1">
      <c r="B20" s="24" t="n">
        <v>15</v>
      </c>
      <c r="C20" s="25" t="inlineStr">
        <is>
          <t>Audit CDRL delivery status. Which deliverables are late, and does the government owe review comments?</t>
        </is>
      </c>
      <c r="D20" s="26" t="inlineStr">
        <is>
          <t>Assess (Days 31–60)</t>
        </is>
      </c>
      <c r="E20" s="27" t="inlineStr">
        <is>
          <t>Not Started</t>
        </is>
      </c>
      <c r="F20" s="26" t="n"/>
      <c r="G20" s="26" t="n"/>
    </row>
    <row r="21" ht="42" customHeight="1">
      <c r="B21" s="28" t="n">
        <v>16</v>
      </c>
      <c r="C21" s="29" t="inlineStr">
        <is>
          <t>Meet your DCMA and DCAA counterparts if assigned. Ask what they see in the contractor’s systems.</t>
        </is>
      </c>
      <c r="D21" s="30" t="inlineStr">
        <is>
          <t>Assess (Days 31–60)</t>
        </is>
      </c>
      <c r="E21" s="31" t="inlineStr">
        <is>
          <t>Not Started</t>
        </is>
      </c>
      <c r="F21" s="30" t="n"/>
      <c r="G21" s="30" t="n"/>
    </row>
    <row r="22" ht="42" customHeight="1">
      <c r="B22" s="24" t="n">
        <v>17</v>
      </c>
      <c r="C22" s="25" t="inlineStr">
        <is>
          <t>Assess staffing: gaps on the government team, and whether the contractor’s key personnel are the ones proposed.</t>
        </is>
      </c>
      <c r="D22" s="26" t="inlineStr">
        <is>
          <t>Assess (Days 31–60)</t>
        </is>
      </c>
      <c r="E22" s="27" t="inlineStr">
        <is>
          <t>Not Started</t>
        </is>
      </c>
      <c r="F22" s="26" t="n"/>
      <c r="G22" s="26" t="n"/>
    </row>
    <row r="23" ht="42" customHeight="1">
      <c r="B23" s="28" t="n">
        <v>18</v>
      </c>
      <c r="C23" s="29" t="inlineStr">
        <is>
          <t>Review every ECP and contract modification in the queue. Is each funded, and by which appropriation?</t>
        </is>
      </c>
      <c r="D23" s="30" t="inlineStr">
        <is>
          <t>Assess (Days 31–60)</t>
        </is>
      </c>
      <c r="E23" s="31" t="inlineStr">
        <is>
          <t>Not Started</t>
        </is>
      </c>
      <c r="F23" s="30" t="n"/>
      <c r="G23" s="30" t="n"/>
    </row>
    <row r="24" ht="42" customHeight="1">
      <c r="B24" s="24" t="n">
        <v>19</v>
      </c>
      <c r="C24" s="25" t="inlineStr">
        <is>
          <t>Confirm test events in the next six months and whether entrance criteria are defined and owned.</t>
        </is>
      </c>
      <c r="D24" s="26" t="inlineStr">
        <is>
          <t>Assess (Days 31–60)</t>
        </is>
      </c>
      <c r="E24" s="27" t="inlineStr">
        <is>
          <t>Not Started</t>
        </is>
      </c>
      <c r="F24" s="26" t="n"/>
      <c r="G24" s="26" t="n"/>
    </row>
    <row r="25" ht="42" customHeight="1">
      <c r="B25" s="28" t="n">
        <v>20</v>
      </c>
      <c r="C25" s="29" t="inlineStr">
        <is>
          <t>Draft your first PMR in your own format (Briefing Deck). Lead with risk and money.</t>
        </is>
      </c>
      <c r="D25" s="30" t="inlineStr">
        <is>
          <t>Assess (Days 31–60)</t>
        </is>
      </c>
      <c r="E25" s="31" t="inlineStr">
        <is>
          <t>Not Started</t>
        </is>
      </c>
      <c r="F25" s="30" t="n"/>
      <c r="G25" s="30" t="n"/>
    </row>
    <row r="26" ht="42" customHeight="1">
      <c r="B26" s="24" t="n">
        <v>21</v>
      </c>
      <c r="C26" s="25" t="inlineStr">
        <is>
          <t>Deliver your first PMR. Every red light gets a sentence on cause and a sentence on the fix.</t>
        </is>
      </c>
      <c r="D26" s="26" t="inlineStr">
        <is>
          <t>Act (Days 61–90)</t>
        </is>
      </c>
      <c r="E26" s="27" t="inlineStr">
        <is>
          <t>Not Started</t>
        </is>
      </c>
      <c r="F26" s="26" t="n"/>
      <c r="G26" s="26" t="n"/>
    </row>
    <row r="27" ht="42" customHeight="1">
      <c r="B27" s="28" t="n">
        <v>22</v>
      </c>
      <c r="C27" s="29" t="inlineStr">
        <is>
          <t>Publish the program battle rhythm: IPR cadence, risk board, spend reviews, and who attends each.</t>
        </is>
      </c>
      <c r="D27" s="30" t="inlineStr">
        <is>
          <t>Act (Days 61–90)</t>
        </is>
      </c>
      <c r="E27" s="31" t="inlineStr">
        <is>
          <t>Not Started</t>
        </is>
      </c>
      <c r="F27" s="30" t="n"/>
      <c r="G27" s="30" t="n"/>
    </row>
    <row r="28" ht="42" customHeight="1">
      <c r="B28" s="24" t="n">
        <v>23</v>
      </c>
      <c r="C28" s="25" t="inlineStr">
        <is>
          <t>Close or re-scope stale risks. Open new ones from your assessment. The register should look different than day 1.</t>
        </is>
      </c>
      <c r="D28" s="26" t="inlineStr">
        <is>
          <t>Act (Days 61–90)</t>
        </is>
      </c>
      <c r="E28" s="27" t="inlineStr">
        <is>
          <t>Not Started</t>
        </is>
      </c>
      <c r="F28" s="26" t="n"/>
      <c r="G28" s="26" t="n"/>
    </row>
    <row r="29" ht="42" customHeight="1">
      <c r="B29" s="28" t="n">
        <v>24</v>
      </c>
      <c r="C29" s="29" t="inlineStr">
        <is>
          <t>Submit spend plan adjustments to your resource manager before the next obligation review.</t>
        </is>
      </c>
      <c r="D29" s="30" t="inlineStr">
        <is>
          <t>Act (Days 61–90)</t>
        </is>
      </c>
      <c r="E29" s="31" t="inlineStr">
        <is>
          <t>Not Started</t>
        </is>
      </c>
      <c r="F29" s="30" t="n"/>
      <c r="G29" s="30" t="n"/>
    </row>
    <row r="30" ht="42" customHeight="1">
      <c r="B30" s="24" t="n">
        <v>25</v>
      </c>
      <c r="C30" s="25" t="inlineStr">
        <is>
          <t>Set interim CPARS expectations with the contractor in writing. No surprises at the annual rating.</t>
        </is>
      </c>
      <c r="D30" s="26" t="inlineStr">
        <is>
          <t>Act (Days 61–90)</t>
        </is>
      </c>
      <c r="E30" s="27" t="inlineStr">
        <is>
          <t>Not Started</t>
        </is>
      </c>
      <c r="F30" s="26" t="n"/>
      <c r="G30" s="26" t="n"/>
    </row>
    <row r="31" ht="42" customHeight="1">
      <c r="B31" s="28" t="n">
        <v>26</v>
      </c>
      <c r="C31" s="29" t="inlineStr">
        <is>
          <t>Lock the next milestone’s entrance criteria and assign an owner to each one in the RACI.</t>
        </is>
      </c>
      <c r="D31" s="30" t="inlineStr">
        <is>
          <t>Act (Days 61–90)</t>
        </is>
      </c>
      <c r="E31" s="31" t="inlineStr">
        <is>
          <t>Not Started</t>
        </is>
      </c>
      <c r="F31" s="30" t="n"/>
      <c r="G31" s="30" t="n"/>
    </row>
    <row r="32" ht="42" customHeight="1">
      <c r="B32" s="24" t="n">
        <v>27</v>
      </c>
      <c r="C32" s="25" t="inlineStr">
        <is>
          <t>Start a decision log. Every decision in your first 90 days, dated, with who made it.</t>
        </is>
      </c>
      <c r="D32" s="26" t="inlineStr">
        <is>
          <t>Act (Days 61–90)</t>
        </is>
      </c>
      <c r="E32" s="27" t="inlineStr">
        <is>
          <t>Not Started</t>
        </is>
      </c>
      <c r="F32" s="26" t="n"/>
      <c r="G32" s="26" t="n"/>
    </row>
    <row r="33" ht="42" customHeight="1">
      <c r="B33" s="28" t="n">
        <v>28</v>
      </c>
      <c r="C33" s="29" t="inlineStr">
        <is>
          <t>Brief lessons learned to your PEO. Ask directly: what do you want done differently?</t>
        </is>
      </c>
      <c r="D33" s="30" t="inlineStr">
        <is>
          <t>Act (Days 61–90)</t>
        </is>
      </c>
      <c r="E33" s="31" t="inlineStr">
        <is>
          <t>Not Started</t>
        </is>
      </c>
      <c r="F33" s="30" t="n"/>
      <c r="G33" s="30" t="n"/>
    </row>
    <row r="34" ht="42" customHeight="1">
      <c r="B34" s="24" t="n">
        <v>29</v>
      </c>
      <c r="C34" s="25" t="inlineStr">
        <is>
          <t>Update the RACI for any role changes since day one.</t>
        </is>
      </c>
      <c r="D34" s="26" t="inlineStr">
        <is>
          <t>Act (Days 61–90)</t>
        </is>
      </c>
      <c r="E34" s="27" t="inlineStr">
        <is>
          <t>Not Started</t>
        </is>
      </c>
      <c r="F34" s="26" t="n"/>
      <c r="G34" s="26" t="n"/>
    </row>
    <row r="35" ht="42" customHeight="1">
      <c r="B35" s="28" t="n">
        <v>30</v>
      </c>
      <c r="C35" s="29" t="inlineStr">
        <is>
          <t>Schedule the six-month look-ahead review and put the date on the Dashboard.</t>
        </is>
      </c>
      <c r="D35" s="30" t="inlineStr">
        <is>
          <t>Act (Days 61–90)</t>
        </is>
      </c>
      <c r="E35" s="31" t="inlineStr">
        <is>
          <t>Not Started</t>
        </is>
      </c>
      <c r="F35" s="30" t="n"/>
      <c r="G35" s="30" t="n"/>
    </row>
    <row r="37">
      <c r="B37" s="11" t="inlineStr">
        <is>
          <t>PROGRESS</t>
        </is>
      </c>
    </row>
    <row r="38">
      <c r="C38" s="23" t="inlineStr">
        <is>
          <t>Phase</t>
        </is>
      </c>
      <c r="D38" s="23" t="inlineStr">
        <is>
          <t>Done</t>
        </is>
      </c>
      <c r="E38" s="23" t="inlineStr">
        <is>
          <t>Total</t>
        </is>
      </c>
      <c r="F38" s="23" t="inlineStr">
        <is>
          <t>% Complete</t>
        </is>
      </c>
    </row>
    <row r="39">
      <c r="C39" s="28" t="inlineStr">
        <is>
          <t>Orient (Days 1–30)</t>
        </is>
      </c>
      <c r="D39" s="28">
        <f>COUNTIF(E6:E15,"Done")</f>
        <v/>
      </c>
      <c r="E39" s="28">
        <f>COUNTA(E6:E15)-COUNTIF(E6:E15,"N/A")</f>
        <v/>
      </c>
      <c r="F39" s="32">
        <f>IF(E39=0,0,D39/E39)</f>
        <v/>
      </c>
    </row>
    <row r="40">
      <c r="C40" s="28" t="inlineStr">
        <is>
          <t>Assess (Days 31–60)</t>
        </is>
      </c>
      <c r="D40" s="28">
        <f>COUNTIF(E16:E25,"Done")</f>
        <v/>
      </c>
      <c r="E40" s="28">
        <f>COUNTA(E16:E25)-COUNTIF(E16:E25,"N/A")</f>
        <v/>
      </c>
      <c r="F40" s="32">
        <f>IF(E40=0,0,D40/E40)</f>
        <v/>
      </c>
    </row>
    <row r="41">
      <c r="C41" s="28" t="inlineStr">
        <is>
          <t>Act (Days 61–90)</t>
        </is>
      </c>
      <c r="D41" s="28">
        <f>COUNTIF(E26:E35,"Done")</f>
        <v/>
      </c>
      <c r="E41" s="28">
        <f>COUNTA(E26:E35)-COUNTIF(E26:E35,"N/A")</f>
        <v/>
      </c>
      <c r="F41" s="32">
        <f>IF(E41=0,0,D41/E41)</f>
        <v/>
      </c>
    </row>
    <row r="42">
      <c r="C42" s="33" t="inlineStr">
        <is>
          <t>OVERALL</t>
        </is>
      </c>
      <c r="D42" s="33">
        <f>SUM(D39:D41)</f>
        <v/>
      </c>
      <c r="E42" s="33">
        <f>SUM(E39:E41)</f>
        <v/>
      </c>
      <c r="F42" s="34">
        <f>IF(E42=0,0,D42/E42)</f>
        <v/>
      </c>
    </row>
    <row r="44">
      <c r="B44"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conditionalFormatting sqref="E6:E35">
    <cfRule type="expression" priority="1" dxfId="2">
      <formula>E6="Done"</formula>
    </cfRule>
    <cfRule type="expression" priority="2" dxfId="1">
      <formula>E6="In Progress"</formula>
    </cfRule>
  </conditionalFormatting>
  <dataValidations count="1">
    <dataValidation sqref="E6:E35" showDropDown="0" showInputMessage="0" showErrorMessage="0" allowBlank="1" type="list">
      <formula1>"Not Started,In Progress,Done,N/A"</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M38"/>
  <sheetViews>
    <sheetView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14" customWidth="1" min="2" max="2"/>
    <col width="16" customWidth="1" min="3" max="3"/>
    <col width="16" customWidth="1" min="4" max="4"/>
    <col width="16" customWidth="1" min="5" max="5"/>
    <col width="16" customWidth="1" min="6" max="6"/>
    <col width="15" customWidth="1" min="7" max="7"/>
    <col width="13" customWidth="1" min="8" max="8"/>
    <col width="13" customWidth="1" min="9" max="9"/>
    <col width="16" customWidth="1" min="10" max="10"/>
    <col width="16" customWidth="1" min="11" max="11"/>
    <col width="16" customWidth="1" min="12" max="12"/>
    <col width="16" customWidth="1" min="13" max="13"/>
  </cols>
  <sheetData>
    <row r="2">
      <c r="B2" s="22" t="inlineStr">
        <is>
          <t>Spend Plan — Obligations &amp; Expenditures vs. Plan</t>
        </is>
      </c>
    </row>
    <row r="3">
      <c r="B3" s="5" t="inlineStr">
        <is>
          <t>One fiscal year, one appropriation line. Enter the plan, then post actuals each month. Status and the Dashboard update themselves.</t>
        </is>
      </c>
    </row>
    <row r="4">
      <c r="I4" s="23" t="inlineStr">
        <is>
          <t>Appropriation</t>
        </is>
      </c>
      <c r="J4" s="23" t="inlineStr">
        <is>
          <t>Yrs Available</t>
        </is>
      </c>
      <c r="K4" s="23" t="inlineStr">
        <is>
          <t>Yr-1 Oblig Goal</t>
        </is>
      </c>
    </row>
    <row r="5">
      <c r="B5" s="6" t="inlineStr">
        <is>
          <t>Fiscal Year</t>
        </is>
      </c>
      <c r="C5" s="30" t="inlineStr">
        <is>
          <t>FY2027</t>
        </is>
      </c>
      <c r="I5" s="28" t="inlineStr">
        <is>
          <t>O&amp;M</t>
        </is>
      </c>
      <c r="J5" s="28" t="n">
        <v>1</v>
      </c>
      <c r="K5" s="32" t="n">
        <v>1</v>
      </c>
    </row>
    <row r="6">
      <c r="B6" s="6" t="inlineStr">
        <is>
          <t>Appropriation</t>
        </is>
      </c>
      <c r="C6" s="30" t="inlineStr">
        <is>
          <t>O&amp;M</t>
        </is>
      </c>
      <c r="I6" s="28" t="inlineStr">
        <is>
          <t>RDT&amp;E</t>
        </is>
      </c>
      <c r="J6" s="28" t="n">
        <v>2</v>
      </c>
      <c r="K6" s="32" t="n">
        <v>0.9</v>
      </c>
    </row>
    <row r="7">
      <c r="B7" s="6" t="inlineStr">
        <is>
          <t>Total Budget Authority</t>
        </is>
      </c>
      <c r="C7" s="96" t="n">
        <v>4150000</v>
      </c>
      <c r="I7" s="28" t="inlineStr">
        <is>
          <t>Procurement</t>
        </is>
      </c>
      <c r="J7" s="28" t="n">
        <v>3</v>
      </c>
      <c r="K7" s="32" t="n">
        <v>0.8</v>
      </c>
    </row>
    <row r="8">
      <c r="B8" s="6" t="inlineStr">
        <is>
          <t>Years Available</t>
        </is>
      </c>
      <c r="C8" s="28">
        <f>VLOOKUP(C6,$I$5:$K$8,2,FALSE)</f>
        <v/>
      </c>
      <c r="I8" s="21" t="inlineStr">
        <is>
          <t>Typical OSD first-year obligation goals. Verify against your Component’s current guidance — they change.</t>
        </is>
      </c>
    </row>
    <row r="9">
      <c r="B9" s="6" t="inlineStr">
        <is>
          <t>Obligation Goal (Yr 1)</t>
        </is>
      </c>
      <c r="C9" s="32">
        <f>VLOOKUP(C6,$I$5:$K$8,3,FALSE)</f>
        <v/>
      </c>
    </row>
    <row r="10">
      <c r="B10" s="6" t="inlineStr">
        <is>
          <t>Goal $ (Yr 1)</t>
        </is>
      </c>
      <c r="C10" s="97">
        <f>C7*C9</f>
        <v/>
      </c>
    </row>
    <row r="12">
      <c r="B12" s="23" t="inlineStr">
        <is>
          <t>Month</t>
        </is>
      </c>
      <c r="C12" s="23" t="inlineStr">
        <is>
          <t>Planned Oblig</t>
        </is>
      </c>
      <c r="D12" s="23" t="inlineStr">
        <is>
          <t>Actual Oblig</t>
        </is>
      </c>
      <c r="E12" s="23" t="inlineStr">
        <is>
          <t>Cum Planned</t>
        </is>
      </c>
      <c r="F12" s="23" t="inlineStr">
        <is>
          <t>Cum Actual</t>
        </is>
      </c>
      <c r="G12" s="23" t="inlineStr">
        <is>
          <t>Variance $</t>
        </is>
      </c>
      <c r="H12" s="23" t="inlineStr">
        <is>
          <t>Variance %</t>
        </is>
      </c>
      <c r="I12" s="23" t="inlineStr">
        <is>
          <t>Status</t>
        </is>
      </c>
      <c r="J12" s="23" t="inlineStr">
        <is>
          <t>Planned Exp</t>
        </is>
      </c>
      <c r="K12" s="23" t="inlineStr">
        <is>
          <t>Actual Exp</t>
        </is>
      </c>
      <c r="L12" s="23" t="inlineStr">
        <is>
          <t>Cum Plan Exp</t>
        </is>
      </c>
      <c r="M12" s="23" t="inlineStr">
        <is>
          <t>Cum Act Exp</t>
        </is>
      </c>
    </row>
    <row r="13">
      <c r="B13" s="28" t="inlineStr">
        <is>
          <t>Oct</t>
        </is>
      </c>
      <c r="C13" s="96" t="n">
        <v>249000</v>
      </c>
      <c r="D13" s="96" t="n">
        <v>207500</v>
      </c>
      <c r="E13" s="97">
        <f>C13+0</f>
        <v/>
      </c>
      <c r="F13" s="97">
        <f>IF(D13="","",D13+N(0))</f>
        <v/>
      </c>
      <c r="G13" s="98">
        <f>IF(F13="","",F13-E13)</f>
        <v/>
      </c>
      <c r="H13" s="99">
        <f>IF(F13="","",IF(E13=0,0,(F13-E13)/E13))</f>
        <v/>
      </c>
      <c r="I13" s="39">
        <f>IF(F13="","",IF(H13&lt;-0.1,"BEHIND",IF(H13&gt;0.1,"AHEAD","ON PLAN")))</f>
        <v/>
      </c>
      <c r="J13" s="96" t="n">
        <v>83000</v>
      </c>
      <c r="K13" s="96" t="n">
        <v>83000</v>
      </c>
      <c r="L13" s="97">
        <f>J13+0</f>
        <v/>
      </c>
      <c r="M13" s="97">
        <f>IF(K13="","",K13+N(0))</f>
        <v/>
      </c>
    </row>
    <row r="14">
      <c r="B14" s="28" t="inlineStr">
        <is>
          <t>Nov</t>
        </is>
      </c>
      <c r="C14" s="96" t="n">
        <v>332000</v>
      </c>
      <c r="D14" s="96" t="n">
        <v>290500</v>
      </c>
      <c r="E14" s="97">
        <f>C14+E13</f>
        <v/>
      </c>
      <c r="F14" s="97">
        <f>IF(D14="","",D14+N(F13))</f>
        <v/>
      </c>
      <c r="G14" s="98">
        <f>IF(F14="","",F14-E14)</f>
        <v/>
      </c>
      <c r="H14" s="99">
        <f>IF(F14="","",IF(E14=0,0,(F14-E14)/E14))</f>
        <v/>
      </c>
      <c r="I14" s="39">
        <f>IF(F14="","",IF(H14&lt;-0.1,"BEHIND",IF(H14&gt;0.1,"AHEAD","ON PLAN")))</f>
        <v/>
      </c>
      <c r="J14" s="96" t="n">
        <v>166000</v>
      </c>
      <c r="K14" s="96" t="n">
        <v>124500</v>
      </c>
      <c r="L14" s="97">
        <f>J14+L13</f>
        <v/>
      </c>
      <c r="M14" s="97">
        <f>IF(K14="","",K14+N(M13))</f>
        <v/>
      </c>
    </row>
    <row r="15">
      <c r="B15" s="28" t="inlineStr">
        <is>
          <t>Dec</t>
        </is>
      </c>
      <c r="C15" s="96" t="n">
        <v>415000</v>
      </c>
      <c r="D15" s="96" t="n">
        <v>456500</v>
      </c>
      <c r="E15" s="97">
        <f>C15+E14</f>
        <v/>
      </c>
      <c r="F15" s="97">
        <f>IF(D15="","",D15+N(F14))</f>
        <v/>
      </c>
      <c r="G15" s="98">
        <f>IF(F15="","",F15-E15)</f>
        <v/>
      </c>
      <c r="H15" s="99">
        <f>IF(F15="","",IF(E15=0,0,(F15-E15)/E15))</f>
        <v/>
      </c>
      <c r="I15" s="39">
        <f>IF(F15="","",IF(H15&lt;-0.1,"BEHIND",IF(H15&gt;0.1,"AHEAD","ON PLAN")))</f>
        <v/>
      </c>
      <c r="J15" s="96" t="n">
        <v>249000</v>
      </c>
      <c r="K15" s="96" t="n">
        <v>207500</v>
      </c>
      <c r="L15" s="97">
        <f>J15+L14</f>
        <v/>
      </c>
      <c r="M15" s="97">
        <f>IF(K15="","",K15+N(M14))</f>
        <v/>
      </c>
    </row>
    <row r="16">
      <c r="B16" s="28" t="inlineStr">
        <is>
          <t>Jan</t>
        </is>
      </c>
      <c r="C16" s="96" t="n">
        <v>373500</v>
      </c>
      <c r="D16" s="96" t="n">
        <v>332000</v>
      </c>
      <c r="E16" s="97">
        <f>C16+E15</f>
        <v/>
      </c>
      <c r="F16" s="97">
        <f>IF(D16="","",D16+N(F15))</f>
        <v/>
      </c>
      <c r="G16" s="98">
        <f>IF(F16="","",F16-E16)</f>
        <v/>
      </c>
      <c r="H16" s="99">
        <f>IF(F16="","",IF(E16=0,0,(F16-E16)/E16))</f>
        <v/>
      </c>
      <c r="I16" s="39">
        <f>IF(F16="","",IF(H16&lt;-0.1,"BEHIND",IF(H16&gt;0.1,"AHEAD","ON PLAN")))</f>
        <v/>
      </c>
      <c r="J16" s="96" t="n">
        <v>332000</v>
      </c>
      <c r="K16" s="96" t="n">
        <v>290500</v>
      </c>
      <c r="L16" s="97">
        <f>J16+L15</f>
        <v/>
      </c>
      <c r="M16" s="97">
        <f>IF(K16="","",K16+N(M15))</f>
        <v/>
      </c>
    </row>
    <row r="17">
      <c r="B17" s="28" t="inlineStr">
        <is>
          <t>Feb</t>
        </is>
      </c>
      <c r="C17" s="96" t="n">
        <v>373500</v>
      </c>
      <c r="D17" s="96" t="n">
        <v>415000</v>
      </c>
      <c r="E17" s="97">
        <f>C17+E16</f>
        <v/>
      </c>
      <c r="F17" s="97">
        <f>IF(D17="","",D17+N(F16))</f>
        <v/>
      </c>
      <c r="G17" s="98">
        <f>IF(F17="","",F17-E17)</f>
        <v/>
      </c>
      <c r="H17" s="99">
        <f>IF(F17="","",IF(E17=0,0,(F17-E17)/E17))</f>
        <v/>
      </c>
      <c r="I17" s="39">
        <f>IF(F17="","",IF(H17&lt;-0.1,"BEHIND",IF(H17&gt;0.1,"AHEAD","ON PLAN")))</f>
        <v/>
      </c>
      <c r="J17" s="96" t="n">
        <v>373500</v>
      </c>
      <c r="K17" s="96" t="n">
        <v>373500</v>
      </c>
      <c r="L17" s="97">
        <f>J17+L16</f>
        <v/>
      </c>
      <c r="M17" s="97">
        <f>IF(K17="","",K17+N(M16))</f>
        <v/>
      </c>
    </row>
    <row r="18">
      <c r="B18" s="28" t="inlineStr">
        <is>
          <t>Mar</t>
        </is>
      </c>
      <c r="C18" s="96" t="n">
        <v>373500</v>
      </c>
      <c r="D18" s="96" t="n">
        <v>332000</v>
      </c>
      <c r="E18" s="97">
        <f>C18+E17</f>
        <v/>
      </c>
      <c r="F18" s="97">
        <f>IF(D18="","",D18+N(F17))</f>
        <v/>
      </c>
      <c r="G18" s="98">
        <f>IF(F18="","",F18-E18)</f>
        <v/>
      </c>
      <c r="H18" s="99">
        <f>IF(F18="","",IF(E18=0,0,(F18-E18)/E18))</f>
        <v/>
      </c>
      <c r="I18" s="39">
        <f>IF(F18="","",IF(H18&lt;-0.1,"BEHIND",IF(H18&gt;0.1,"AHEAD","ON PLAN")))</f>
        <v/>
      </c>
      <c r="J18" s="96" t="n">
        <v>415000</v>
      </c>
      <c r="K18" s="96" t="n">
        <v>373500</v>
      </c>
      <c r="L18" s="97">
        <f>J18+L17</f>
        <v/>
      </c>
      <c r="M18" s="97">
        <f>IF(K18="","",K18+N(M17))</f>
        <v/>
      </c>
    </row>
    <row r="19">
      <c r="B19" s="28" t="inlineStr">
        <is>
          <t>Apr</t>
        </is>
      </c>
      <c r="C19" s="96" t="n">
        <v>373500</v>
      </c>
      <c r="D19" s="96" t="n"/>
      <c r="E19" s="97">
        <f>C19+E18</f>
        <v/>
      </c>
      <c r="F19" s="97">
        <f>IF(D19="","",D19+N(F18))</f>
        <v/>
      </c>
      <c r="G19" s="98">
        <f>IF(F19="","",F19-E19)</f>
        <v/>
      </c>
      <c r="H19" s="99">
        <f>IF(F19="","",IF(E19=0,0,(F19-E19)/E19))</f>
        <v/>
      </c>
      <c r="I19" s="39">
        <f>IF(F19="","",IF(H19&lt;-0.1,"BEHIND",IF(H19&gt;0.1,"AHEAD","ON PLAN")))</f>
        <v/>
      </c>
      <c r="J19" s="96" t="n">
        <v>415000</v>
      </c>
      <c r="K19" s="96" t="n"/>
      <c r="L19" s="97">
        <f>J19+L18</f>
        <v/>
      </c>
      <c r="M19" s="97">
        <f>IF(K19="","",K19+N(M18))</f>
        <v/>
      </c>
    </row>
    <row r="20">
      <c r="B20" s="28" t="inlineStr">
        <is>
          <t>May</t>
        </is>
      </c>
      <c r="C20" s="96" t="n">
        <v>373500</v>
      </c>
      <c r="D20" s="96" t="n"/>
      <c r="E20" s="97">
        <f>C20+E19</f>
        <v/>
      </c>
      <c r="F20" s="97">
        <f>IF(D20="","",D20+N(F19))</f>
        <v/>
      </c>
      <c r="G20" s="98">
        <f>IF(F20="","",F20-E20)</f>
        <v/>
      </c>
      <c r="H20" s="99">
        <f>IF(F20="","",IF(E20=0,0,(F20-E20)/E20))</f>
        <v/>
      </c>
      <c r="I20" s="39">
        <f>IF(F20="","",IF(H20&lt;-0.1,"BEHIND",IF(H20&gt;0.1,"AHEAD","ON PLAN")))</f>
        <v/>
      </c>
      <c r="J20" s="96" t="n">
        <v>415000</v>
      </c>
      <c r="K20" s="96" t="n"/>
      <c r="L20" s="97">
        <f>J20+L19</f>
        <v/>
      </c>
      <c r="M20" s="97">
        <f>IF(K20="","",K20+N(M19))</f>
        <v/>
      </c>
    </row>
    <row r="21">
      <c r="B21" s="28" t="inlineStr">
        <is>
          <t>Jun</t>
        </is>
      </c>
      <c r="C21" s="96" t="n">
        <v>373500</v>
      </c>
      <c r="D21" s="96" t="n"/>
      <c r="E21" s="97">
        <f>C21+E20</f>
        <v/>
      </c>
      <c r="F21" s="97">
        <f>IF(D21="","",D21+N(F20))</f>
        <v/>
      </c>
      <c r="G21" s="98">
        <f>IF(F21="","",F21-E21)</f>
        <v/>
      </c>
      <c r="H21" s="99">
        <f>IF(F21="","",IF(E21=0,0,(F21-E21)/E21))</f>
        <v/>
      </c>
      <c r="I21" s="39">
        <f>IF(F21="","",IF(H21&lt;-0.1,"BEHIND",IF(H21&gt;0.1,"AHEAD","ON PLAN")))</f>
        <v/>
      </c>
      <c r="J21" s="96" t="n">
        <v>415000</v>
      </c>
      <c r="K21" s="96" t="n"/>
      <c r="L21" s="97">
        <f>J21+L20</f>
        <v/>
      </c>
      <c r="M21" s="97">
        <f>IF(K21="","",K21+N(M20))</f>
        <v/>
      </c>
    </row>
    <row r="22">
      <c r="B22" s="28" t="inlineStr">
        <is>
          <t>Jul</t>
        </is>
      </c>
      <c r="C22" s="96" t="n">
        <v>332000</v>
      </c>
      <c r="D22" s="96" t="n"/>
      <c r="E22" s="97">
        <f>C22+E21</f>
        <v/>
      </c>
      <c r="F22" s="97">
        <f>IF(D22="","",D22+N(F21))</f>
        <v/>
      </c>
      <c r="G22" s="98">
        <f>IF(F22="","",F22-E22)</f>
        <v/>
      </c>
      <c r="H22" s="99">
        <f>IF(F22="","",IF(E22=0,0,(F22-E22)/E22))</f>
        <v/>
      </c>
      <c r="I22" s="39">
        <f>IF(F22="","",IF(H22&lt;-0.1,"BEHIND",IF(H22&gt;0.1,"AHEAD","ON PLAN")))</f>
        <v/>
      </c>
      <c r="J22" s="96" t="n">
        <v>415000</v>
      </c>
      <c r="K22" s="96" t="n"/>
      <c r="L22" s="97">
        <f>J22+L21</f>
        <v/>
      </c>
      <c r="M22" s="97">
        <f>IF(K22="","",K22+N(M21))</f>
        <v/>
      </c>
    </row>
    <row r="23">
      <c r="B23" s="28" t="inlineStr">
        <is>
          <t>Aug</t>
        </is>
      </c>
      <c r="C23" s="96" t="n">
        <v>290500</v>
      </c>
      <c r="D23" s="96" t="n"/>
      <c r="E23" s="97">
        <f>C23+E22</f>
        <v/>
      </c>
      <c r="F23" s="97">
        <f>IF(D23="","",D23+N(F22))</f>
        <v/>
      </c>
      <c r="G23" s="98">
        <f>IF(F23="","",F23-E23)</f>
        <v/>
      </c>
      <c r="H23" s="99">
        <f>IF(F23="","",IF(E23=0,0,(F23-E23)/E23))</f>
        <v/>
      </c>
      <c r="I23" s="39">
        <f>IF(F23="","",IF(H23&lt;-0.1,"BEHIND",IF(H23&gt;0.1,"AHEAD","ON PLAN")))</f>
        <v/>
      </c>
      <c r="J23" s="96" t="n">
        <v>456500</v>
      </c>
      <c r="K23" s="96" t="n"/>
      <c r="L23" s="97">
        <f>J23+L22</f>
        <v/>
      </c>
      <c r="M23" s="97">
        <f>IF(K23="","",K23+N(M22))</f>
        <v/>
      </c>
    </row>
    <row r="24">
      <c r="B24" s="28" t="inlineStr">
        <is>
          <t>Sep</t>
        </is>
      </c>
      <c r="C24" s="96" t="n">
        <v>290500</v>
      </c>
      <c r="D24" s="96" t="n"/>
      <c r="E24" s="97">
        <f>C24+E23</f>
        <v/>
      </c>
      <c r="F24" s="97">
        <f>IF(D24="","",D24+N(F23))</f>
        <v/>
      </c>
      <c r="G24" s="98">
        <f>IF(F24="","",F24-E24)</f>
        <v/>
      </c>
      <c r="H24" s="99">
        <f>IF(F24="","",IF(E24=0,0,(F24-E24)/E24))</f>
        <v/>
      </c>
      <c r="I24" s="39">
        <f>IF(F24="","",IF(H24&lt;-0.1,"BEHIND",IF(H24&gt;0.1,"AHEAD","ON PLAN")))</f>
        <v/>
      </c>
      <c r="J24" s="96" t="n">
        <v>415000</v>
      </c>
      <c r="K24" s="96" t="n"/>
      <c r="L24" s="97">
        <f>J24+L23</f>
        <v/>
      </c>
      <c r="M24" s="97">
        <f>IF(K24="","",K24+N(M23))</f>
        <v/>
      </c>
    </row>
    <row r="26">
      <c r="B26" s="11" t="inlineStr">
        <is>
          <t>YEAR-TO-DATE</t>
        </is>
      </c>
    </row>
    <row r="27">
      <c r="B27" s="6" t="inlineStr">
        <is>
          <t>Months posted</t>
        </is>
      </c>
      <c r="C27" s="40">
        <f>COUNT(D13:D24)</f>
        <v/>
      </c>
    </row>
    <row r="28">
      <c r="B28" s="6" t="inlineStr">
        <is>
          <t>Planned to date</t>
        </is>
      </c>
      <c r="C28" s="97">
        <f>IF(C27=0,0,INDEX(E13:E24,C27))</f>
        <v/>
      </c>
    </row>
    <row r="29">
      <c r="B29" s="6" t="inlineStr">
        <is>
          <t>Obligated to date</t>
        </is>
      </c>
      <c r="C29" s="97">
        <f>IF(C27=0,0,INDEX(F13:F24,C27))</f>
        <v/>
      </c>
    </row>
    <row r="30">
      <c r="B30" s="6" t="inlineStr">
        <is>
          <t>% of BA obligated</t>
        </is>
      </c>
      <c r="C30" s="32">
        <f>IF(C7=0,0,C29/C7)</f>
        <v/>
      </c>
    </row>
    <row r="31">
      <c r="B31" s="6" t="inlineStr">
        <is>
          <t>% of plan achieved</t>
        </is>
      </c>
      <c r="C31" s="32">
        <f>IF(C28=0,0,C29/C28)</f>
        <v/>
      </c>
    </row>
    <row r="32">
      <c r="B32" s="6" t="inlineStr">
        <is>
          <t>Remaining to Yr-1 goal</t>
        </is>
      </c>
      <c r="C32" s="97">
        <f>MAX(0,C10-C29)</f>
        <v/>
      </c>
    </row>
    <row r="33">
      <c r="B33" s="6" t="inlineStr">
        <is>
          <t>Expended to date</t>
        </is>
      </c>
      <c r="C33" s="97">
        <f>IF(C27=0,0,INDEX(M13:M24,C27))</f>
        <v/>
      </c>
    </row>
    <row r="34">
      <c r="B34" s="6" t="inlineStr">
        <is>
          <t>Overall status</t>
        </is>
      </c>
      <c r="C34" s="41">
        <f>IF(C27=0,"No actuals posted",IF(C31&lt;0.9,"BEHIND PLAN",IF(C31&gt;1.1,"AHEAD OF PLAN","ON PLAN")))</f>
        <v/>
      </c>
    </row>
    <row r="36">
      <c r="B36" s="42" t="inlineStr">
        <is>
          <t>BEHIND / AHEAD trip at ±10% of cumulative plan. An expiring appropriation that is BEHIND in Q3 is the number-one avoidable failure in program finance — act in Q2.</t>
        </is>
      </c>
    </row>
    <row r="38">
      <c r="B38"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conditionalFormatting sqref="I13:I24">
    <cfRule type="expression" priority="1" dxfId="0">
      <formula>I13="BEHIND"</formula>
    </cfRule>
    <cfRule type="expression" priority="2" dxfId="1">
      <formula>I13="AHEAD"</formula>
    </cfRule>
    <cfRule type="expression" priority="3" dxfId="2">
      <formula>I13="ON PLAN"</formula>
    </cfRule>
  </conditionalFormatting>
  <conditionalFormatting sqref="C34">
    <cfRule type="expression" priority="4" dxfId="0">
      <formula>LEFT(C34,6)="BEHIND"</formula>
    </cfRule>
    <cfRule type="expression" priority="5" dxfId="2">
      <formula>C34="ON PLAN"</formula>
    </cfRule>
  </conditionalFormatting>
  <dataValidations count="1">
    <dataValidation sqref="C6" showDropDown="0" showInputMessage="0" showErrorMessage="0" allowBlank="0" type="list">
      <formula1>"O&amp;M,RDT&amp;E,Procurement"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0"/>
  </sheetPr>
  <dimension ref="B2:O34"/>
  <sheetViews>
    <sheetView workbookViewId="0">
      <pane xSplit="1" ySplit="15" topLeftCell="B1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2" customWidth="1" min="3" max="3"/>
    <col width="14" customWidth="1" min="4" max="4"/>
    <col width="40" customWidth="1" min="5" max="5"/>
    <col width="14" customWidth="1" min="6" max="6"/>
    <col width="12" customWidth="1" min="7" max="7"/>
    <col width="11" customWidth="1" min="8" max="8"/>
    <col width="10" customWidth="1" min="9" max="9"/>
    <col width="35" customWidth="1" min="10" max="10"/>
    <col width="30" customWidth="1" min="11" max="11"/>
    <col width="16" customWidth="1" min="12" max="12"/>
    <col width="14" customWidth="1" min="13" max="13"/>
    <col width="12" customWidth="1" min="14" max="14"/>
    <col width="14" customWidth="1" min="15" max="15"/>
  </cols>
  <sheetData>
    <row r="2" ht="30" customHeight="1">
      <c r="B2" s="43" t="inlineStr">
        <is>
          <t>DoD Program Risk Register</t>
        </is>
      </c>
    </row>
    <row r="3" ht="15" customHeight="1">
      <c r="B3" s="44" t="inlineStr">
        <is>
          <t>Track, assess, and mitigate program risks per DoD Risk Management Framework</t>
        </is>
      </c>
    </row>
    <row r="5" ht="15" customHeight="1">
      <c r="B5" s="45" t="inlineStr">
        <is>
          <t>Risk Summary</t>
        </is>
      </c>
    </row>
    <row r="6" ht="15" customHeight="1">
      <c r="B6" s="46" t="inlineStr">
        <is>
          <t>By Risk Level</t>
        </is>
      </c>
      <c r="E6" s="46" t="inlineStr">
        <is>
          <t>By Category</t>
        </is>
      </c>
      <c r="H6" s="46" t="inlineStr">
        <is>
          <t>By Status</t>
        </is>
      </c>
    </row>
    <row r="7" ht="15" customHeight="1">
      <c r="B7" s="47" t="inlineStr">
        <is>
          <t>HIGH</t>
        </is>
      </c>
      <c r="C7" s="48">
        <f>COUNTIF(I16:I31,"HIGH")</f>
        <v/>
      </c>
      <c r="E7" s="49" t="inlineStr">
        <is>
          <t>Technical</t>
        </is>
      </c>
      <c r="F7" s="48">
        <f>COUNTIF(D16:D31,"Technical")</f>
        <v/>
      </c>
      <c r="H7" s="49" t="inlineStr">
        <is>
          <t>Open</t>
        </is>
      </c>
      <c r="I7" s="48">
        <f>COUNTIF(N16:N31,"Open")</f>
        <v/>
      </c>
    </row>
    <row r="8" ht="15" customHeight="1">
      <c r="B8" s="50" t="inlineStr">
        <is>
          <t>MEDIUM</t>
        </is>
      </c>
      <c r="C8" s="48">
        <f>COUNTIF(I16:I31,"MEDIUM")</f>
        <v/>
      </c>
      <c r="E8" s="49" t="inlineStr">
        <is>
          <t>Schedule</t>
        </is>
      </c>
      <c r="F8" s="48">
        <f>COUNTIF(D16:D31,"Schedule")</f>
        <v/>
      </c>
      <c r="H8" s="49" t="inlineStr">
        <is>
          <t>Mitigated</t>
        </is>
      </c>
      <c r="I8" s="48">
        <f>COUNTIF(N16:N31,"Mitigated")</f>
        <v/>
      </c>
    </row>
    <row r="9" ht="15" customHeight="1">
      <c r="B9" s="51" t="inlineStr">
        <is>
          <t>LOW</t>
        </is>
      </c>
      <c r="C9" s="48">
        <f>COUNTIF(I16:I31,"LOW")</f>
        <v/>
      </c>
      <c r="E9" s="49" t="inlineStr">
        <is>
          <t>Cost</t>
        </is>
      </c>
      <c r="F9" s="48">
        <f>COUNTIF(D16:D31,"Cost")</f>
        <v/>
      </c>
      <c r="H9" s="49" t="inlineStr">
        <is>
          <t>Closed</t>
        </is>
      </c>
      <c r="I9" s="48">
        <f>COUNTIF(N16:N31,"Closed")</f>
        <v/>
      </c>
    </row>
    <row r="10" ht="15" customHeight="1">
      <c r="E10" s="49" t="inlineStr">
        <is>
          <t>External</t>
        </is>
      </c>
      <c r="F10" s="48">
        <f>COUNTIF(D16:D31,"External")</f>
        <v/>
      </c>
      <c r="H10" s="49" t="inlineStr">
        <is>
          <t>Accepted</t>
        </is>
      </c>
      <c r="I10" s="48">
        <f>COUNTIF(N16:N31,"Accepted")</f>
        <v/>
      </c>
    </row>
    <row r="11" ht="15" customHeight="1">
      <c r="E11" s="49" t="inlineStr">
        <is>
          <t>Programmatic</t>
        </is>
      </c>
      <c r="F11" s="48">
        <f>COUNTIF(D16:D31,"Programmatic")</f>
        <v/>
      </c>
    </row>
    <row r="13">
      <c r="B13" s="11" t="inlineStr">
        <is>
          <t>Risk Register</t>
        </is>
      </c>
    </row>
    <row r="14">
      <c r="B14" s="42" t="inlineStr">
        <is>
          <t>Change Probability and Impact (1–5) for your program. Score, Level, the Risk Map, and the Dashboard update themselves.</t>
        </is>
      </c>
    </row>
    <row r="15" ht="30" customHeight="1">
      <c r="B15" s="100" t="inlineStr">
        <is>
          <t>ID</t>
        </is>
      </c>
      <c r="C15" s="100" t="inlineStr">
        <is>
          <t>Risk</t>
        </is>
      </c>
      <c r="D15" s="100" t="inlineStr">
        <is>
          <t>Category</t>
        </is>
      </c>
      <c r="E15" s="100" t="inlineStr">
        <is>
          <t>Description</t>
        </is>
      </c>
      <c r="F15" s="100" t="inlineStr">
        <is>
          <t>Probability (1–5)</t>
        </is>
      </c>
      <c r="G15" s="100" t="inlineStr">
        <is>
          <t>Impact (1–5)</t>
        </is>
      </c>
      <c r="H15" s="100" t="inlineStr">
        <is>
          <t>Score (P×I)</t>
        </is>
      </c>
      <c r="I15" s="100" t="inlineStr">
        <is>
          <t>Level</t>
        </is>
      </c>
      <c r="J15" s="100" t="inlineStr">
        <is>
          <t>Mitigation</t>
        </is>
      </c>
      <c r="K15" s="100" t="inlineStr">
        <is>
          <t>Contingency</t>
        </is>
      </c>
      <c r="L15" s="100" t="inlineStr">
        <is>
          <t>Owner</t>
        </is>
      </c>
      <c r="M15" s="100" t="inlineStr">
        <is>
          <t>Target Date</t>
        </is>
      </c>
      <c r="N15" s="100" t="inlineStr">
        <is>
          <t>Status</t>
        </is>
      </c>
      <c r="O15" s="100" t="inlineStr">
        <is>
          <t>Date Identified</t>
        </is>
      </c>
    </row>
    <row r="16" ht="49.5" customHeight="1">
      <c r="B16" s="52" t="inlineStr">
        <is>
          <t>R-001</t>
        </is>
      </c>
      <c r="C16" s="102" t="inlineStr">
        <is>
          <t>Software Integration Failure</t>
        </is>
      </c>
      <c r="D16" s="52" t="inlineStr">
        <is>
          <t>Technical</t>
        </is>
      </c>
      <c r="E16" s="54" t="inlineStr">
        <is>
          <t>Integration of legacy C4ISR systems with new cloud-based architecture may fail due to incompatible interfaces and undocumented APIs</t>
        </is>
      </c>
      <c r="F16" s="52" t="n">
        <v>4</v>
      </c>
      <c r="G16" s="52" t="n">
        <v>5</v>
      </c>
      <c r="H16" s="55">
        <f>F16*G16</f>
        <v/>
      </c>
      <c r="I16" s="55">
        <f>IF(H16&gt;=15,"HIGH",IF(H16&gt;=8,"MEDIUM","LOW"))</f>
        <v/>
      </c>
      <c r="J16" s="54" t="inlineStr">
        <is>
          <t>Conduct early integration testing in sprint 2; establish interface control documents (ICDs) before CDR</t>
        </is>
      </c>
      <c r="K16" s="54" t="inlineStr">
        <is>
          <t>Revert to point-to-point integration with middleware adapter layer</t>
        </is>
      </c>
      <c r="L16" s="52" t="inlineStr">
        <is>
          <t>Systems Engineer</t>
        </is>
      </c>
      <c r="M16" s="101" t="n">
        <v>46134</v>
      </c>
      <c r="N16" s="52" t="inlineStr">
        <is>
          <t>Open</t>
        </is>
      </c>
      <c r="O16" s="101" t="n">
        <v>46104</v>
      </c>
    </row>
    <row r="17" ht="49.5" customHeight="1">
      <c r="B17" s="52" t="inlineStr">
        <is>
          <t>R-002</t>
        </is>
      </c>
      <c r="C17" s="102" t="inlineStr">
        <is>
          <t>Key Personnel Departure</t>
        </is>
      </c>
      <c r="D17" s="52" t="inlineStr">
        <is>
          <t>Programmatic</t>
        </is>
      </c>
      <c r="E17" s="54" t="inlineStr">
        <is>
          <t>Program Manager or Technical Lead may depart during performance period, causing knowledge loss and schedule delays</t>
        </is>
      </c>
      <c r="F17" s="52" t="n">
        <v>3</v>
      </c>
      <c r="G17" s="52" t="n">
        <v>4</v>
      </c>
      <c r="H17" s="55">
        <f>F17*G17</f>
        <v/>
      </c>
      <c r="I17" s="55">
        <f>IF(H17&gt;=15,"HIGH",IF(H17&gt;=8,"MEDIUM","LOW"))</f>
        <v/>
      </c>
      <c r="J17" s="54" t="inlineStr">
        <is>
          <t>Cross-train deputy PM; maintain knowledge repository; include retention incentives in compensation plan</t>
        </is>
      </c>
      <c r="K17" s="54" t="inlineStr">
        <is>
          <t>Activate pre-identified replacement from bench; execute 30-day transition plan</t>
        </is>
      </c>
      <c r="L17" s="52" t="inlineStr">
        <is>
          <t>HR Director</t>
        </is>
      </c>
      <c r="M17" s="101" t="n">
        <v>46164</v>
      </c>
      <c r="N17" s="52" t="inlineStr">
        <is>
          <t>Open</t>
        </is>
      </c>
      <c r="O17" s="101" t="n">
        <v>46104</v>
      </c>
    </row>
    <row r="18" ht="49.5" customHeight="1">
      <c r="B18" s="52" t="inlineStr">
        <is>
          <t>R-003</t>
        </is>
      </c>
      <c r="C18" s="102" t="inlineStr">
        <is>
          <t>Requirements Creep</t>
        </is>
      </c>
      <c r="D18" s="52" t="inlineStr">
        <is>
          <t>Schedule</t>
        </is>
      </c>
      <c r="E18" s="54" t="inlineStr">
        <is>
          <t>Government may issue numerous contract modifications expanding scope without proportional schedule/cost adjustments</t>
        </is>
      </c>
      <c r="F18" s="52" t="n">
        <v>4</v>
      </c>
      <c r="G18" s="52" t="n">
        <v>4</v>
      </c>
      <c r="H18" s="55">
        <f>F18*G18</f>
        <v/>
      </c>
      <c r="I18" s="55">
        <f>IF(H18&gt;=15,"HIGH",IF(H18&gt;=8,"MEDIUM","LOW"))</f>
        <v/>
      </c>
      <c r="J18" s="54" t="inlineStr">
        <is>
          <t>Establish formal change control board; track all requirements changes against baseline; negotiate equitable adjustments promptly</t>
        </is>
      </c>
      <c r="K18" s="54" t="inlineStr">
        <is>
          <t>Invoke REA process; request stop-work on unfunded requirements until modification is executed</t>
        </is>
      </c>
      <c r="L18" s="52" t="inlineStr">
        <is>
          <t>PM</t>
        </is>
      </c>
      <c r="M18" s="101" t="n">
        <v>46149</v>
      </c>
      <c r="N18" s="52" t="inlineStr">
        <is>
          <t>Open</t>
        </is>
      </c>
      <c r="O18" s="101" t="n">
        <v>46104</v>
      </c>
    </row>
    <row r="19" ht="49.5" customHeight="1">
      <c r="B19" s="52" t="inlineStr">
        <is>
          <t>R-004</t>
        </is>
      </c>
      <c r="C19" s="102" t="inlineStr">
        <is>
          <t>Funding Shortfall / CR Impact</t>
        </is>
      </c>
      <c r="D19" s="52" t="inlineStr">
        <is>
          <t>Cost</t>
        </is>
      </c>
      <c r="E19" s="54" t="inlineStr">
        <is>
          <t>Continuing Resolution or sequestration may reduce available program funding below planned obligation levels</t>
        </is>
      </c>
      <c r="F19" s="52" t="n">
        <v>3</v>
      </c>
      <c r="G19" s="52" t="n">
        <v>5</v>
      </c>
      <c r="H19" s="55">
        <f>F19*G19</f>
        <v/>
      </c>
      <c r="I19" s="55">
        <f>IF(H19&gt;=15,"HIGH",IF(H19&gt;=8,"MEDIUM","LOW"))</f>
        <v/>
      </c>
      <c r="J19" s="54" t="inlineStr">
        <is>
          <t>Maintain prioritized requirements backlog; identify minimum viable capability set; coordinate with PEO on funding alternatives</t>
        </is>
      </c>
      <c r="K19" s="54" t="inlineStr">
        <is>
          <t>Descope optional CLINs; defer non-critical deliverables to subsequent option years</t>
        </is>
      </c>
      <c r="L19" s="52" t="inlineStr">
        <is>
          <t>Finance Director</t>
        </is>
      </c>
      <c r="M19" s="101" t="n">
        <v>46194</v>
      </c>
      <c r="N19" s="52" t="inlineStr">
        <is>
          <t>Open</t>
        </is>
      </c>
      <c r="O19" s="101" t="n">
        <v>46104</v>
      </c>
    </row>
    <row r="20" ht="49.5" customHeight="1">
      <c r="B20" s="52" t="inlineStr">
        <is>
          <t>R-005</t>
        </is>
      </c>
      <c r="C20" s="102" t="inlineStr">
        <is>
          <t>Subcontractor Performance</t>
        </is>
      </c>
      <c r="D20" s="52" t="inlineStr">
        <is>
          <t>External</t>
        </is>
      </c>
      <c r="E20" s="54" t="inlineStr">
        <is>
          <t>Critical subcontractor (cybersecurity toolset provider) may fail to deliver on schedule or meet quality standards</t>
        </is>
      </c>
      <c r="F20" s="52" t="n">
        <v>3</v>
      </c>
      <c r="G20" s="52" t="n">
        <v>4</v>
      </c>
      <c r="H20" s="55">
        <f>F20*G20</f>
        <v/>
      </c>
      <c r="I20" s="55">
        <f>IF(H20&gt;=15,"HIGH",IF(H20&gt;=8,"MEDIUM","LOW"))</f>
        <v/>
      </c>
      <c r="J20" s="54" t="inlineStr">
        <is>
          <t>Conduct monthly sub performance reviews; include liquidated damages clause; maintain qualified alternate vendor list</t>
        </is>
      </c>
      <c r="K20" s="54" t="inlineStr">
        <is>
          <t>Activate alternate vendor under pre-negotiated teaming agreement; absorb initial ramp-up costs</t>
        </is>
      </c>
      <c r="L20" s="52" t="inlineStr">
        <is>
          <t>Subcontracts Mgr</t>
        </is>
      </c>
      <c r="M20" s="101" t="n">
        <v>46134</v>
      </c>
      <c r="N20" s="52" t="inlineStr">
        <is>
          <t>Open</t>
        </is>
      </c>
      <c r="O20" s="101" t="n">
        <v>46104</v>
      </c>
    </row>
    <row r="21" ht="49.5" customHeight="1">
      <c r="B21" s="52" t="inlineStr">
        <is>
          <t>R-006</t>
        </is>
      </c>
      <c r="C21" s="102" t="inlineStr">
        <is>
          <t>CMMC Requirements Change</t>
        </is>
      </c>
      <c r="D21" s="52" t="inlineStr">
        <is>
          <t>External</t>
        </is>
      </c>
      <c r="E21" s="54" t="inlineStr">
        <is>
          <t>CMMC Phase 1 (self-assessments) has been in contracts since Nov 10, 2025. Phase 2 (C3PAO certification for Level 2) was suspended July 13, 2026 pending a DoD reform review, with no new date. The program is exposed if third-party assessments return mid-contract, or if a contractor's SPRS self-assessment does not hold up.</t>
        </is>
      </c>
      <c r="F21" s="52" t="n">
        <v>2</v>
      </c>
      <c r="G21" s="52" t="n">
        <v>5</v>
      </c>
      <c r="H21" s="55">
        <f>F21*G21</f>
        <v/>
      </c>
      <c r="I21" s="55">
        <f>IF(H21&gt;=15,"HIGH",IF(H21&gt;=8,"MEDIUM","LOW"))</f>
        <v/>
      </c>
      <c r="J21" s="54" t="inlineStr">
        <is>
          <t>Confirm each contract's required CMMC level and that current status is posted in SPRS; close any POA&amp;M items inside the 180-day window. Track the reform review and the next DFARS change. Keep a C3PAO readiness plan on the shelf, not on the schedule.</t>
        </is>
      </c>
      <c r="K21" s="54" t="inlineStr">
        <is>
          <t>If a new Phase 2 date lands inside the period of performance, brief the CO on schedule and cost impact and price assessments into the next option or mod. Make sure SPRS scores reflect current NIST SP 800-171 implementation.</t>
        </is>
      </c>
      <c r="L21" s="52" t="inlineStr">
        <is>
          <t>ISSM</t>
        </is>
      </c>
      <c r="M21" s="101" t="n">
        <v>46224</v>
      </c>
      <c r="N21" s="52" t="inlineStr">
        <is>
          <t>Mitigated</t>
        </is>
      </c>
      <c r="O21" s="101" t="n">
        <v>46104</v>
      </c>
    </row>
    <row r="22" ht="49.5" customHeight="1">
      <c r="B22" s="52" t="inlineStr">
        <is>
          <t>R-007</t>
        </is>
      </c>
      <c r="C22" s="102" t="inlineStr">
        <is>
          <t>Test Environment Unavailability</t>
        </is>
      </c>
      <c r="D22" s="52" t="inlineStr">
        <is>
          <t>Technical</t>
        </is>
      </c>
      <c r="E22" s="54" t="inlineStr">
        <is>
          <t>Government-furnished test range or lab environment may not be available during scheduled test windows</t>
        </is>
      </c>
      <c r="F22" s="52" t="n">
        <v>3</v>
      </c>
      <c r="G22" s="52" t="n">
        <v>3</v>
      </c>
      <c r="H22" s="55">
        <f>F22*G22</f>
        <v/>
      </c>
      <c r="I22" s="55">
        <f>IF(H22&gt;=15,"HIGH",IF(H22&gt;=8,"MEDIUM","LOW"))</f>
        <v/>
      </c>
      <c r="J22" s="54" t="inlineStr">
        <is>
          <t>Reserve test windows 90 days in advance; develop simulation environment for initial testing; coordinate with range scheduling office</t>
        </is>
      </c>
      <c r="K22" s="54" t="inlineStr">
        <is>
          <t>Use contractor lab environment with government-approved test procedures; reschedule to next available window</t>
        </is>
      </c>
      <c r="L22" s="52" t="inlineStr">
        <is>
          <t>Test Director</t>
        </is>
      </c>
      <c r="M22" s="101" t="n">
        <v>46149</v>
      </c>
      <c r="N22" s="52" t="inlineStr">
        <is>
          <t>Open</t>
        </is>
      </c>
      <c r="O22" s="101" t="n">
        <v>46104</v>
      </c>
    </row>
    <row r="23" ht="49.5" customHeight="1">
      <c r="B23" s="52" t="inlineStr">
        <is>
          <t>R-008</t>
        </is>
      </c>
      <c r="C23" s="102" t="inlineStr">
        <is>
          <t>Data Rights Dispute</t>
        </is>
      </c>
      <c r="D23" s="52" t="inlineStr">
        <is>
          <t>Programmatic</t>
        </is>
      </c>
      <c r="E23" s="54" t="inlineStr">
        <is>
          <t>Disagreement with government over technical data rights (DFARS 252.227-7013) may delay deliverable acceptance</t>
        </is>
      </c>
      <c r="F23" s="52" t="n">
        <v>2</v>
      </c>
      <c r="G23" s="52" t="n">
        <v>4</v>
      </c>
      <c r="H23" s="55">
        <f>F23*G23</f>
        <v/>
      </c>
      <c r="I23" s="55">
        <f>IF(H23&gt;=15,"HIGH",IF(H23&gt;=8,"MEDIUM","LOW"))</f>
        <v/>
      </c>
      <c r="J23" s="54" t="inlineStr">
        <is>
          <t>Document all data rights assertions in proposal; maintain IP development records; engage legal counsel early</t>
        </is>
      </c>
      <c r="K23" s="54" t="inlineStr">
        <is>
          <t>Negotiate limited rights license; escalate to CO for determination; consider ASBCA claim if unresolved</t>
        </is>
      </c>
      <c r="L23" s="52" t="inlineStr">
        <is>
          <t>Legal Counsel</t>
        </is>
      </c>
      <c r="M23" s="101" t="n">
        <v>46164</v>
      </c>
      <c r="N23" s="52" t="inlineStr">
        <is>
          <t>Accepted</t>
        </is>
      </c>
      <c r="O23" s="101" t="n">
        <v>46104</v>
      </c>
    </row>
    <row r="24" ht="49.5" customHeight="1">
      <c r="B24" s="52" t="inlineStr">
        <is>
          <t>R-009</t>
        </is>
      </c>
      <c r="C24" s="102" t="inlineStr">
        <is>
          <t>EVM Compliance Gaps</t>
        </is>
      </c>
      <c r="D24" s="52" t="inlineStr">
        <is>
          <t>Cost</t>
        </is>
      </c>
      <c r="E24" s="54" t="inlineStr">
        <is>
          <t>Earned Value Management System may not meet ANSI/EIA-748 standards, resulting in DCMA surveillance findings</t>
        </is>
      </c>
      <c r="F24" s="52" t="n">
        <v>2</v>
      </c>
      <c r="G24" s="52" t="n">
        <v>3</v>
      </c>
      <c r="H24" s="55">
        <f>F24*G24</f>
        <v/>
      </c>
      <c r="I24" s="55">
        <f>IF(H24&gt;=15,"HIGH",IF(H24&gt;=8,"MEDIUM","LOW"))</f>
        <v/>
      </c>
      <c r="J24" s="54" t="inlineStr">
        <is>
          <t>Conduct EVMS self-assessment; train all CAMs on EVM procedures; schedule pre-IBR dry run</t>
        </is>
      </c>
      <c r="K24" s="54" t="inlineStr">
        <is>
          <t>Engage EVM consultant for remediation; request corrective action timeline extension from DCMA</t>
        </is>
      </c>
      <c r="L24" s="52" t="inlineStr">
        <is>
          <t>Finance Director</t>
        </is>
      </c>
      <c r="M24" s="101" t="n">
        <v>46134</v>
      </c>
      <c r="N24" s="52" t="inlineStr">
        <is>
          <t>Mitigated</t>
        </is>
      </c>
      <c r="O24" s="101" t="n">
        <v>46104</v>
      </c>
    </row>
    <row r="25" ht="49.5" customHeight="1">
      <c r="B25" s="52" t="inlineStr">
        <is>
          <t>R-010</t>
        </is>
      </c>
      <c r="C25" s="102" t="inlineStr">
        <is>
          <t>Supply Chain Disruption</t>
        </is>
      </c>
      <c r="D25" s="52" t="inlineStr">
        <is>
          <t>External</t>
        </is>
      </c>
      <c r="E25" s="54" t="inlineStr">
        <is>
          <t>Critical hardware components (FPGA chips, ruggedized servers) may face extended lead times exceeding 6 months</t>
        </is>
      </c>
      <c r="F25" s="52" t="n">
        <v>4</v>
      </c>
      <c r="G25" s="52" t="n">
        <v>3</v>
      </c>
      <c r="H25" s="55">
        <f>F25*G25</f>
        <v/>
      </c>
      <c r="I25" s="55">
        <f>IF(H25&gt;=15,"HIGH",IF(H25&gt;=8,"MEDIUM","LOW"))</f>
        <v/>
      </c>
      <c r="J25" s="54" t="inlineStr">
        <is>
          <t>Order long-lead items at contract award; qualify multiple vendors; maintain safety stock for critical components</t>
        </is>
      </c>
      <c r="K25" s="54" t="inlineStr">
        <is>
          <t>Redesign with available commercial alternatives; negotiate schedule relief through REA</t>
        </is>
      </c>
      <c r="L25" s="52" t="inlineStr">
        <is>
          <t>Logistics Mgr</t>
        </is>
      </c>
      <c r="M25" s="101" t="n">
        <v>46119</v>
      </c>
      <c r="N25" s="52" t="inlineStr">
        <is>
          <t>Open</t>
        </is>
      </c>
      <c r="O25" s="101" t="n">
        <v>46104</v>
      </c>
    </row>
    <row r="26" ht="49.5" customHeight="1">
      <c r="B26" s="52" t="inlineStr">
        <is>
          <t>R-011</t>
        </is>
      </c>
      <c r="C26" s="102" t="inlineStr">
        <is>
          <t>Clearance Processing Delays</t>
        </is>
      </c>
      <c r="D26" s="52" t="inlineStr">
        <is>
          <t>Schedule</t>
        </is>
      </c>
      <c r="E26" s="54" t="inlineStr">
        <is>
          <t>Personnel security clearance investigations may exceed expected timelines, delaying staffing of classified positions</t>
        </is>
      </c>
      <c r="F26" s="52" t="n">
        <v>3</v>
      </c>
      <c r="G26" s="52" t="n">
        <v>3</v>
      </c>
      <c r="H26" s="55">
        <f>F26*G26</f>
        <v/>
      </c>
      <c r="I26" s="55">
        <f>IF(H26&gt;=15,"HIGH",IF(H26&gt;=8,"MEDIUM","LOW"))</f>
        <v/>
      </c>
      <c r="J26" s="54" t="inlineStr">
        <is>
          <t>Submit clearance requests immediately upon contract award; utilize interim clearances where permissible; pre-identify cleared alternates</t>
        </is>
      </c>
      <c r="K26" s="54" t="inlineStr">
        <is>
          <t>Assign cleared personnel from other programs temporarily; adjust task sequencing to prioritize unclassified work</t>
        </is>
      </c>
      <c r="L26" s="52" t="inlineStr">
        <is>
          <t>FSO</t>
        </is>
      </c>
      <c r="M26" s="101" t="n">
        <v>46134</v>
      </c>
      <c r="N26" s="52" t="inlineStr">
        <is>
          <t>Open</t>
        </is>
      </c>
      <c r="O26" s="101" t="n">
        <v>46104</v>
      </c>
    </row>
    <row r="27" ht="49.5" customHeight="1">
      <c r="B27" s="52" t="inlineStr">
        <is>
          <t>R-012</t>
        </is>
      </c>
      <c r="C27" s="102" t="inlineStr">
        <is>
          <t>Technical Debt Accumulation</t>
        </is>
      </c>
      <c r="D27" s="52" t="inlineStr">
        <is>
          <t>Technical</t>
        </is>
      </c>
      <c r="E27" s="54" t="inlineStr">
        <is>
          <t>Aggressive delivery schedule may force shortcuts in code quality, increasing defect rates and long-term maintenance costs</t>
        </is>
      </c>
      <c r="F27" s="52" t="n">
        <v>3</v>
      </c>
      <c r="G27" s="52" t="n">
        <v>3</v>
      </c>
      <c r="H27" s="55">
        <f>F27*G27</f>
        <v/>
      </c>
      <c r="I27" s="55">
        <f>IF(H27&gt;=15,"HIGH",IF(H27&gt;=8,"MEDIUM","LOW"))</f>
        <v/>
      </c>
      <c r="J27" s="54" t="inlineStr">
        <is>
          <t>Allocate 20% sprint capacity for refactoring; enforce code review gates; track technical debt backlog</t>
        </is>
      </c>
      <c r="K27" s="54" t="inlineStr">
        <is>
          <t>Dedicate full sprint to debt reduction when defect rate exceeds threshold; engage additional developers</t>
        </is>
      </c>
      <c r="L27" s="52" t="inlineStr">
        <is>
          <t>Tech Lead</t>
        </is>
      </c>
      <c r="M27" s="101" t="n">
        <v>46164</v>
      </c>
      <c r="N27" s="52" t="inlineStr">
        <is>
          <t>Open</t>
        </is>
      </c>
      <c r="O27" s="101" t="n">
        <v>46104</v>
      </c>
    </row>
    <row r="28" ht="49.5" customHeight="1">
      <c r="B28" s="52" t="inlineStr">
        <is>
          <t>R-013</t>
        </is>
      </c>
      <c r="C28" s="102" t="inlineStr">
        <is>
          <t>Government Stakeholder Turnover</t>
        </is>
      </c>
      <c r="D28" s="52" t="inlineStr">
        <is>
          <t>Programmatic</t>
        </is>
      </c>
      <c r="E28" s="54" t="inlineStr">
        <is>
          <t>COR or program office key personnel may rotate, requiring re-education and potentially changing program priorities</t>
        </is>
      </c>
      <c r="F28" s="52" t="n">
        <v>3</v>
      </c>
      <c r="G28" s="52" t="n">
        <v>2</v>
      </c>
      <c r="H28" s="55">
        <f>F28*G28</f>
        <v/>
      </c>
      <c r="I28" s="55">
        <f>IF(H28&gt;=15,"HIGH",IF(H28&gt;=8,"MEDIUM","LOW"))</f>
        <v/>
      </c>
      <c r="J28" s="54" t="inlineStr">
        <is>
          <t>Maintain comprehensive program documentation; build relationships across the program office; brief incoming personnel proactively</t>
        </is>
      </c>
      <c r="K28" s="54" t="inlineStr">
        <is>
          <t>Request transition meeting with outgoing/incoming COR; provide program status briefing package</t>
        </is>
      </c>
      <c r="L28" s="52" t="inlineStr">
        <is>
          <t>PM</t>
        </is>
      </c>
      <c r="M28" s="101" t="n">
        <v>46194</v>
      </c>
      <c r="N28" s="52" t="inlineStr">
        <is>
          <t>Accepted</t>
        </is>
      </c>
      <c r="O28" s="101" t="n">
        <v>46104</v>
      </c>
    </row>
    <row r="29" ht="49.5" customHeight="1">
      <c r="B29" s="52" t="inlineStr">
        <is>
          <t>R-014</t>
        </is>
      </c>
      <c r="C29" s="102" t="inlineStr">
        <is>
          <t>Protest Delays Contract Start</t>
        </is>
      </c>
      <c r="D29" s="52" t="inlineStr">
        <is>
          <t>Schedule</t>
        </is>
      </c>
      <c r="E29" s="54" t="inlineStr">
        <is>
          <t>Losing offeror may file GAO protest, delaying contract award by 60-100 days and compressing performance schedule</t>
        </is>
      </c>
      <c r="F29" s="52" t="n">
        <v>2</v>
      </c>
      <c r="G29" s="52" t="n">
        <v>4</v>
      </c>
      <c r="H29" s="55">
        <f>F29*G29</f>
        <v/>
      </c>
      <c r="I29" s="55">
        <f>IF(H29&gt;=15,"HIGH",IF(H29&gt;=8,"MEDIUM","LOW"))</f>
        <v/>
      </c>
      <c r="J29" s="54" t="inlineStr">
        <is>
          <t>Build schedule float into early milestones; prepare mobilization plan executable on short notice; maintain team availability during protest</t>
        </is>
      </c>
      <c r="K29" s="54" t="inlineStr">
        <is>
          <t>Compress initial transition period; request schedule adjustment through contract modification</t>
        </is>
      </c>
      <c r="L29" s="52" t="inlineStr">
        <is>
          <t>PM</t>
        </is>
      </c>
      <c r="M29" s="101" t="n">
        <v>46119</v>
      </c>
      <c r="N29" s="52" t="inlineStr">
        <is>
          <t>Open</t>
        </is>
      </c>
      <c r="O29" s="101" t="n">
        <v>46104</v>
      </c>
    </row>
    <row r="30" ht="49.5" customHeight="1">
      <c r="B30" s="52" t="inlineStr">
        <is>
          <t>R-015</t>
        </is>
      </c>
      <c r="C30" s="102" t="inlineStr">
        <is>
          <t>Nunn-McCurdy Breach Risk</t>
        </is>
      </c>
      <c r="D30" s="52" t="inlineStr">
        <is>
          <t>Cost</t>
        </is>
      </c>
      <c r="E30" s="54" t="inlineStr">
        <is>
          <t>Program cost growth may approach Nunn-McCurdy unit cost thresholds, triggering Congressional notification and potential cancellation review</t>
        </is>
      </c>
      <c r="F30" s="52" t="n">
        <v>1</v>
      </c>
      <c r="G30" s="52" t="n">
        <v>5</v>
      </c>
      <c r="H30" s="55">
        <f>F30*G30</f>
        <v/>
      </c>
      <c r="I30" s="55">
        <f>IF(H30&gt;=15,"HIGH",IF(H30&gt;=8,"MEDIUM","LOW"))</f>
        <v/>
      </c>
      <c r="J30" s="54" t="inlineStr">
        <is>
          <t>Monitor unit cost trends monthly against APB thresholds; report cost variances exceeding 5% immediately to PEO</t>
        </is>
      </c>
      <c r="K30" s="54" t="inlineStr">
        <is>
          <t>Prepare program restructure brief; identify cost reduction opportunities; coordinate with CAPE for independent cost estimate</t>
        </is>
      </c>
      <c r="L30" s="52" t="inlineStr">
        <is>
          <t>Finance Director</t>
        </is>
      </c>
      <c r="M30" s="101" t="n">
        <v>46194</v>
      </c>
      <c r="N30" s="52" t="inlineStr">
        <is>
          <t>Open</t>
        </is>
      </c>
      <c r="O30" s="101" t="n">
        <v>46104</v>
      </c>
    </row>
    <row r="31">
      <c r="B31" s="52" t="inlineStr">
        <is>
          <t>R-016</t>
        </is>
      </c>
      <c r="C31" s="102" t="inlineStr">
        <is>
          <t>CMMC Level 2 Non-Compliance</t>
        </is>
      </c>
      <c r="D31" s="52" t="inlineStr">
        <is>
          <t>External</t>
        </is>
      </c>
      <c r="E31" s="54" t="inlineStr">
        <is>
          <t>Subcontractors handling FCI or CUI may not have a current CMMC status in SPRS at the required level. The prime must flow down DFARS 252.204-7021 and confirm sub status before award; a sub that falls out of status puts CUI-handling work at risk.</t>
        </is>
      </c>
      <c r="F31" s="52" t="n">
        <v>3</v>
      </c>
      <c r="G31" s="52" t="n">
        <v>5</v>
      </c>
      <c r="H31" s="55">
        <f>F31*G31</f>
        <v/>
      </c>
      <c r="I31" s="55">
        <f>IF(H31&gt;=15,"HIGH",IF(H31&gt;=8,"MEDIUM","LOW"))</f>
        <v/>
      </c>
      <c r="J31" s="54" t="inlineStr">
        <is>
          <t>Confirm current CMMC status in SPRS for every subcontractor handling FCI or CUI; get POA&amp;M closeout dates in writing; budget for a C3PAO assessment in case the Phase 2 suspension ends.</t>
        </is>
      </c>
      <c r="K31" s="54" t="inlineStr">
        <is>
          <t>Pre-qualify an alternate subcontractor with a current CMMC status at the required level; be ready to transition CUI-handling work on short notice.</t>
        </is>
      </c>
      <c r="L31" s="52" t="inlineStr">
        <is>
          <t>Subcontracts Mgr</t>
        </is>
      </c>
      <c r="M31" s="101" t="n">
        <v>46296</v>
      </c>
      <c r="N31" s="52" t="inlineStr">
        <is>
          <t>Open</t>
        </is>
      </c>
      <c r="O31" s="101" t="n">
        <v>46266</v>
      </c>
    </row>
    <row r="33" ht="15" customHeight="1">
      <c r="B33" s="57" t="n"/>
    </row>
    <row r="34">
      <c r="B34" s="58" t="inlineStr">
        <is>
          <t>Template by Acqlerate — Defense Acquisitions Academy | www.acqlerate.com</t>
        </is>
      </c>
    </row>
  </sheetData>
  <sheetProtection selectLockedCells="0" selectUnlockedCells="0" sheet="1" objects="0" insertRows="1" insertHyperlinks="1" autoFilter="0" scenarios="0" formatColumns="0" deleteColumns="1" insertColumns="1" pivotTables="1" deleteRows="1" formatCells="0" formatRows="0" sort="0"/>
  <mergeCells count="3">
    <mergeCell ref="B33:O33"/>
    <mergeCell ref="B3:O3"/>
    <mergeCell ref="B2:O2"/>
  </mergeCells>
  <conditionalFormatting sqref="H16:H30">
    <cfRule type="colorScale" priority="2">
      <colorScale>
        <cfvo type="min" val="0"/>
        <cfvo type="percentile" val="50"/>
        <cfvo type="max" val="0"/>
        <color rgb="FF63BE7B"/>
        <color rgb="FFFFEB84"/>
        <color rgb="FFF8696B"/>
      </colorScale>
    </cfRule>
  </conditionalFormatting>
  <conditionalFormatting sqref="I16:I30">
    <cfRule type="cellIs" rank="0" priority="3" equalAverage="0" operator="equal" aboveAverage="0" dxfId="3" text="" percent="0" bottom="0">
      <formula>"HIGH"</formula>
    </cfRule>
    <cfRule type="cellIs" rank="0" priority="4" equalAverage="0" operator="equal" aboveAverage="0" dxfId="4" text="" percent="0" bottom="0">
      <formula>"MEDIUM"</formula>
    </cfRule>
    <cfRule type="cellIs" rank="0" priority="5" equalAverage="0" operator="equal" aboveAverage="0" dxfId="5" text="" percent="0" bottom="0">
      <formula>"LOW"</formula>
    </cfRule>
  </conditionalFormatting>
  <dataValidations count="3">
    <dataValidation sqref="D16:D80" showDropDown="0" showInputMessage="0" showErrorMessage="0" allowBlank="1" type="list" errorStyle="stop">
      <formula1>"Technical,Schedule,Cost,External,Programmatic"</formula1>
      <formula2>0</formula2>
    </dataValidation>
    <dataValidation sqref="F16:G80" showDropDown="0" showInputMessage="0" showErrorMessage="0" allowBlank="0" type="whole" errorStyle="stop">
      <formula1>1</formula1>
      <formula2>5</formula2>
    </dataValidation>
    <dataValidation sqref="N16:N80" showDropDown="0" showInputMessage="0" showErrorMessage="0" allowBlank="1" type="list" errorStyle="stop">
      <formula1>"Open,Mitigated,Closed,Accepted"</formula1>
      <formula2>0</formula2>
    </dataValidation>
  </dataValidations>
  <pageMargins left="0.75" right="0.75" top="1" bottom="1" header="0.5" footer="0.5"/>
  <pageSetup orientation="portrait" fitToHeight="1" fitToWidth="1"/>
</worksheet>
</file>

<file path=xl/worksheets/sheet6.xml><?xml version="1.0" encoding="utf-8"?>
<worksheet xmlns="http://schemas.openxmlformats.org/spreadsheetml/2006/main">
  <sheetPr>
    <outlinePr summaryBelow="1" summaryRight="1"/>
    <pageSetUpPr fitToPage="1"/>
  </sheetPr>
  <dimension ref="B2:G36"/>
  <sheetViews>
    <sheetView workbookViewId="0">
      <selection activeCell="A1" sqref="A1"/>
    </sheetView>
  </sheetViews>
  <sheetFormatPr baseColWidth="8" defaultRowHeight="15"/>
  <cols>
    <col width="3" customWidth="1" min="1" max="1"/>
    <col width="22" customWidth="1" min="2" max="2"/>
    <col width="17" customWidth="1" min="3" max="3"/>
    <col width="17" customWidth="1" min="4" max="4"/>
    <col width="17" customWidth="1" min="5" max="5"/>
    <col width="17" customWidth="1" min="6" max="6"/>
    <col width="17" customWidth="1" min="7" max="7"/>
  </cols>
  <sheetData>
    <row r="2" ht="30" customHeight="1">
      <c r="B2" s="59" t="inlineStr">
        <is>
          <t>5×5 Probability / Impact Risk Matrix</t>
        </is>
      </c>
    </row>
    <row r="3" ht="15" customHeight="1">
      <c r="B3" s="44" t="inlineStr">
        <is>
          <t>Risk Score = Probability × Impact | GREEN ≤7 (LOW) | YELLOW 8-14 (MEDIUM) | RED ≥15 (HIGH)</t>
        </is>
      </c>
    </row>
    <row r="5" ht="15" customHeight="1">
      <c r="B5" s="60" t="inlineStr">
        <is>
          <t>Probability ↓  /  Impact →</t>
        </is>
      </c>
      <c r="C5" s="61" t="inlineStr">
        <is>
          <t>1 — Negligible</t>
        </is>
      </c>
      <c r="D5" s="61" t="inlineStr">
        <is>
          <t>2 — Minor</t>
        </is>
      </c>
      <c r="E5" s="61" t="inlineStr">
        <is>
          <t>3 — Moderate</t>
        </is>
      </c>
      <c r="F5" s="61" t="inlineStr">
        <is>
          <t>4 — Significant</t>
        </is>
      </c>
      <c r="G5" s="61" t="inlineStr">
        <is>
          <t>5 — Critical</t>
        </is>
      </c>
    </row>
    <row r="6" ht="34.5" customHeight="1">
      <c r="B6" s="61" t="inlineStr">
        <is>
          <t>5 — Almost Certain</t>
        </is>
      </c>
      <c r="C6" s="62" t="n">
        <v>5</v>
      </c>
      <c r="D6" s="63" t="n">
        <v>10</v>
      </c>
      <c r="E6" s="64" t="n">
        <v>15</v>
      </c>
      <c r="F6" s="64" t="n">
        <v>20</v>
      </c>
      <c r="G6" s="64" t="n">
        <v>25</v>
      </c>
    </row>
    <row r="7" ht="34.5" customHeight="1">
      <c r="B7" s="61" t="inlineStr">
        <is>
          <t>4 — Likely</t>
        </is>
      </c>
      <c r="C7" s="62" t="n">
        <v>4</v>
      </c>
      <c r="D7" s="63" t="n">
        <v>8</v>
      </c>
      <c r="E7" s="63" t="n">
        <v>12</v>
      </c>
      <c r="F7" s="64" t="n">
        <v>16</v>
      </c>
      <c r="G7" s="64" t="n">
        <v>20</v>
      </c>
    </row>
    <row r="8" ht="34.5" customHeight="1">
      <c r="B8" s="61" t="inlineStr">
        <is>
          <t>3 — Possible</t>
        </is>
      </c>
      <c r="C8" s="62" t="n">
        <v>3</v>
      </c>
      <c r="D8" s="62" t="n">
        <v>6</v>
      </c>
      <c r="E8" s="63" t="n">
        <v>9</v>
      </c>
      <c r="F8" s="63" t="n">
        <v>12</v>
      </c>
      <c r="G8" s="64" t="n">
        <v>15</v>
      </c>
    </row>
    <row r="9" ht="34.5" customHeight="1">
      <c r="B9" s="61" t="inlineStr">
        <is>
          <t>2 — Unlikely</t>
        </is>
      </c>
      <c r="C9" s="62" t="n">
        <v>2</v>
      </c>
      <c r="D9" s="62" t="n">
        <v>4</v>
      </c>
      <c r="E9" s="62" t="n">
        <v>6</v>
      </c>
      <c r="F9" s="63" t="n">
        <v>8</v>
      </c>
      <c r="G9" s="63" t="n">
        <v>10</v>
      </c>
    </row>
    <row r="10" ht="34.5" customHeight="1">
      <c r="B10" s="61" t="inlineStr">
        <is>
          <t>1 — Rare</t>
        </is>
      </c>
      <c r="C10" s="62" t="n">
        <v>1</v>
      </c>
      <c r="D10" s="62" t="n">
        <v>2</v>
      </c>
      <c r="E10" s="62" t="n">
        <v>3</v>
      </c>
      <c r="F10" s="62" t="n">
        <v>4</v>
      </c>
      <c r="G10" s="62" t="n">
        <v>5</v>
      </c>
    </row>
    <row r="13" ht="15" customHeight="1">
      <c r="B13" s="45" t="inlineStr">
        <is>
          <t>Legend</t>
        </is>
      </c>
    </row>
    <row r="14" ht="24.75" customHeight="1">
      <c r="B14" s="65" t="inlineStr">
        <is>
          <t>HIGH (≥15)</t>
        </is>
      </c>
      <c r="C14" s="66" t="inlineStr">
        <is>
          <t>Unacceptable risk — requires immediate mitigation action and leadership attention</t>
        </is>
      </c>
    </row>
    <row r="15" ht="24.75" customHeight="1">
      <c r="B15" s="67" t="inlineStr">
        <is>
          <t>MEDIUM (8-14)</t>
        </is>
      </c>
      <c r="C15" s="66" t="inlineStr">
        <is>
          <t>Elevated risk — requires active monitoring and mitigation planning</t>
        </is>
      </c>
    </row>
    <row r="16" ht="24.75" customHeight="1">
      <c r="B16" s="68" t="inlineStr">
        <is>
          <t>LOW (≤7)</t>
        </is>
      </c>
      <c r="C16" s="66" t="inlineStr">
        <is>
          <t>Acceptable risk — monitor periodically; no immediate action required</t>
        </is>
      </c>
    </row>
    <row r="19" ht="15" customHeight="1">
      <c r="B19" s="57" t="inlineStr">
        <is>
          <t>Template by Acqlerate — Defense Acquisitions Academy | www.acqlerate.com</t>
        </is>
      </c>
    </row>
    <row r="22">
      <c r="B22" s="69" t="inlineStr">
        <is>
          <t>Where Your Risks Land</t>
        </is>
      </c>
    </row>
    <row r="23">
      <c r="B23" s="42" t="inlineStr">
        <is>
          <t>Pulls live from the Risk Register. Print this page and drop it straight into your weekly program review slide.</t>
        </is>
      </c>
    </row>
    <row r="25">
      <c r="B25" s="70" t="inlineStr">
        <is>
          <t>Probability ↓  /  Impact →</t>
        </is>
      </c>
      <c r="C25" s="71" t="inlineStr">
        <is>
          <t>1 — Negligible</t>
        </is>
      </c>
      <c r="D25" s="71" t="inlineStr">
        <is>
          <t>2 — Minor</t>
        </is>
      </c>
      <c r="E25" s="71" t="inlineStr">
        <is>
          <t>3 — Moderate</t>
        </is>
      </c>
      <c r="F25" s="71" t="inlineStr">
        <is>
          <t>4 — Significant</t>
        </is>
      </c>
      <c r="G25" s="71" t="inlineStr">
        <is>
          <t>5 — Critical</t>
        </is>
      </c>
    </row>
    <row r="26" ht="34" customHeight="1">
      <c r="B26" s="72" t="inlineStr">
        <is>
          <t>5 — Almost Certain</t>
        </is>
      </c>
      <c r="C26" s="73">
        <f t="array" ref="C26">_xlfn.TEXTJOIN(", ",TRUE,IF(('Risk Register'!$F$16:$F$31=5)*('Risk Register'!$G$16:$G$31=1),'Risk Register'!$B$16:$B$31,""))</f>
        <v/>
      </c>
      <c r="D26" s="74">
        <f t="array" ref="D26">_xlfn.TEXTJOIN(", ",TRUE,IF(('Risk Register'!$F$16:$F$31=5)*('Risk Register'!$G$16:$G$31=2),'Risk Register'!$B$16:$B$31,""))</f>
        <v/>
      </c>
      <c r="E26" s="75">
        <f t="array" ref="E26">_xlfn.TEXTJOIN(", ",TRUE,IF(('Risk Register'!$F$16:$F$31=5)*('Risk Register'!$G$16:$G$31=3),'Risk Register'!$B$16:$B$31,""))</f>
        <v/>
      </c>
      <c r="F26" s="75">
        <f t="array" ref="F26">_xlfn.TEXTJOIN(", ",TRUE,IF(('Risk Register'!$F$16:$F$31=5)*('Risk Register'!$G$16:$G$31=4),'Risk Register'!$B$16:$B$31,""))</f>
        <v/>
      </c>
      <c r="G26" s="75">
        <f t="array" ref="G26">_xlfn.TEXTJOIN(", ",TRUE,IF(('Risk Register'!$F$16:$F$31=5)*('Risk Register'!$G$16:$G$31=5),'Risk Register'!$B$16:$B$31,""))</f>
        <v/>
      </c>
    </row>
    <row r="27" ht="34" customHeight="1">
      <c r="B27" s="72" t="inlineStr">
        <is>
          <t>4 — Likely</t>
        </is>
      </c>
      <c r="C27" s="73">
        <f t="array" ref="C27">_xlfn.TEXTJOIN(", ",TRUE,IF(('Risk Register'!$F$16:$F$31=4)*('Risk Register'!$G$16:$G$31=1),'Risk Register'!$B$16:$B$31,""))</f>
        <v/>
      </c>
      <c r="D27" s="74">
        <f t="array" ref="D27">_xlfn.TEXTJOIN(", ",TRUE,IF(('Risk Register'!$F$16:$F$31=4)*('Risk Register'!$G$16:$G$31=2),'Risk Register'!$B$16:$B$31,""))</f>
        <v/>
      </c>
      <c r="E27" s="74">
        <f t="array" ref="E27">_xlfn.TEXTJOIN(", ",TRUE,IF(('Risk Register'!$F$16:$F$31=4)*('Risk Register'!$G$16:$G$31=3),'Risk Register'!$B$16:$B$31,""))</f>
        <v/>
      </c>
      <c r="F27" s="75">
        <f t="array" ref="F27">_xlfn.TEXTJOIN(", ",TRUE,IF(('Risk Register'!$F$16:$F$31=4)*('Risk Register'!$G$16:$G$31=4),'Risk Register'!$B$16:$B$31,""))</f>
        <v/>
      </c>
      <c r="G27" s="75">
        <f t="array" ref="G27">_xlfn.TEXTJOIN(", ",TRUE,IF(('Risk Register'!$F$16:$F$31=4)*('Risk Register'!$G$16:$G$31=5),'Risk Register'!$B$16:$B$31,""))</f>
        <v/>
      </c>
    </row>
    <row r="28" ht="34" customHeight="1">
      <c r="B28" s="72" t="inlineStr">
        <is>
          <t>3 — Possible</t>
        </is>
      </c>
      <c r="C28" s="73">
        <f t="array" ref="C28">_xlfn.TEXTJOIN(", ",TRUE,IF(('Risk Register'!$F$16:$F$31=3)*('Risk Register'!$G$16:$G$31=1),'Risk Register'!$B$16:$B$31,""))</f>
        <v/>
      </c>
      <c r="D28" s="73">
        <f t="array" ref="D28">_xlfn.TEXTJOIN(", ",TRUE,IF(('Risk Register'!$F$16:$F$31=3)*('Risk Register'!$G$16:$G$31=2),'Risk Register'!$B$16:$B$31,""))</f>
        <v/>
      </c>
      <c r="E28" s="74">
        <f t="array" ref="E28">_xlfn.TEXTJOIN(", ",TRUE,IF(('Risk Register'!$F$16:$F$31=3)*('Risk Register'!$G$16:$G$31=3),'Risk Register'!$B$16:$B$31,""))</f>
        <v/>
      </c>
      <c r="F28" s="74">
        <f t="array" ref="F28">_xlfn.TEXTJOIN(", ",TRUE,IF(('Risk Register'!$F$16:$F$31=3)*('Risk Register'!$G$16:$G$31=4),'Risk Register'!$B$16:$B$31,""))</f>
        <v/>
      </c>
      <c r="G28" s="75">
        <f t="array" ref="G28">_xlfn.TEXTJOIN(", ",TRUE,IF(('Risk Register'!$F$16:$F$31=3)*('Risk Register'!$G$16:$G$31=5),'Risk Register'!$B$16:$B$31,""))</f>
        <v/>
      </c>
    </row>
    <row r="29" ht="34" customHeight="1">
      <c r="B29" s="72" t="inlineStr">
        <is>
          <t>2 — Unlikely</t>
        </is>
      </c>
      <c r="C29" s="73">
        <f t="array" ref="C29">_xlfn.TEXTJOIN(", ",TRUE,IF(('Risk Register'!$F$16:$F$31=2)*('Risk Register'!$G$16:$G$31=1),'Risk Register'!$B$16:$B$31,""))</f>
        <v/>
      </c>
      <c r="D29" s="73">
        <f t="array" ref="D29">_xlfn.TEXTJOIN(", ",TRUE,IF(('Risk Register'!$F$16:$F$31=2)*('Risk Register'!$G$16:$G$31=2),'Risk Register'!$B$16:$B$31,""))</f>
        <v/>
      </c>
      <c r="E29" s="73">
        <f t="array" ref="E29">_xlfn.TEXTJOIN(", ",TRUE,IF(('Risk Register'!$F$16:$F$31=2)*('Risk Register'!$G$16:$G$31=3),'Risk Register'!$B$16:$B$31,""))</f>
        <v/>
      </c>
      <c r="F29" s="74">
        <f t="array" ref="F29">_xlfn.TEXTJOIN(", ",TRUE,IF(('Risk Register'!$F$16:$F$31=2)*('Risk Register'!$G$16:$G$31=4),'Risk Register'!$B$16:$B$31,""))</f>
        <v/>
      </c>
      <c r="G29" s="74">
        <f t="array" ref="G29">_xlfn.TEXTJOIN(", ",TRUE,IF(('Risk Register'!$F$16:$F$31=2)*('Risk Register'!$G$16:$G$31=5),'Risk Register'!$B$16:$B$31,""))</f>
        <v/>
      </c>
    </row>
    <row r="30" ht="34" customHeight="1">
      <c r="B30" s="72" t="inlineStr">
        <is>
          <t>1 — Rare</t>
        </is>
      </c>
      <c r="C30" s="73">
        <f t="array" ref="C30">_xlfn.TEXTJOIN(", ",TRUE,IF(('Risk Register'!$F$16:$F$31=1)*('Risk Register'!$G$16:$G$31=1),'Risk Register'!$B$16:$B$31,""))</f>
        <v/>
      </c>
      <c r="D30" s="73">
        <f t="array" ref="D30">_xlfn.TEXTJOIN(", ",TRUE,IF(('Risk Register'!$F$16:$F$31=1)*('Risk Register'!$G$16:$G$31=2),'Risk Register'!$B$16:$B$31,""))</f>
        <v/>
      </c>
      <c r="E30" s="73">
        <f t="array" ref="E30">_xlfn.TEXTJOIN(", ",TRUE,IF(('Risk Register'!$F$16:$F$31=1)*('Risk Register'!$G$16:$G$31=3),'Risk Register'!$B$16:$B$31,""))</f>
        <v/>
      </c>
      <c r="F30" s="73">
        <f t="array" ref="F30">_xlfn.TEXTJOIN(", ",TRUE,IF(('Risk Register'!$F$16:$F$31=1)*('Risk Register'!$G$16:$G$31=4),'Risk Register'!$B$16:$B$31,""))</f>
        <v/>
      </c>
      <c r="G30" s="73">
        <f t="array" ref="G30">_xlfn.TEXTJOIN(", ",TRUE,IF(('Risk Register'!$F$16:$F$31=1)*('Risk Register'!$G$16:$G$31=5),'Risk Register'!$B$16:$B$31,""))</f>
        <v/>
      </c>
    </row>
    <row r="33">
      <c r="B33" s="76" t="inlineStr">
        <is>
          <t>Blank cell = no risk currently scored at that Probability × Impact combination.</t>
        </is>
      </c>
    </row>
    <row r="35">
      <c r="B35" s="11" t="inlineStr">
        <is>
          <t>License &amp; Use</t>
        </is>
      </c>
    </row>
    <row r="36">
      <c r="B36" s="42"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sheetProtection selectLockedCells="0" selectUnlockedCells="0" sheet="1" objects="0" insertRows="1" insertHyperlinks="1" autoFilter="0" scenarios="0" formatColumns="0" deleteColumns="1" insertColumns="1" pivotTables="1" deleteRows="1" formatCells="0" formatRows="0" sort="0"/>
  <mergeCells count="6">
    <mergeCell ref="B3:G3"/>
    <mergeCell ref="B2:G2"/>
    <mergeCell ref="B19:G19"/>
    <mergeCell ref="C16:G16"/>
    <mergeCell ref="C15:G15"/>
    <mergeCell ref="C14:G14"/>
  </mergeCells>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B2:J35"/>
  <sheetViews>
    <sheetView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0" customWidth="1" min="2" max="2"/>
    <col width="22" customWidth="1" min="3" max="3"/>
    <col width="22" customWidth="1" min="4" max="4"/>
    <col width="32" customWidth="1" min="5" max="5"/>
    <col width="32" customWidth="1" min="6" max="6"/>
  </cols>
  <sheetData>
    <row r="2">
      <c r="B2" s="22" t="inlineStr">
        <is>
          <t>RACI Matrix — DoD Program Stakeholders (Simplified)</t>
        </is>
      </c>
    </row>
    <row r="3">
      <c r="B3" s="5" t="inlineStr">
        <is>
          <t>One row per activity. List the Responsible and Accountable role, plus anyone to Consult or Inform.</t>
        </is>
      </c>
    </row>
    <row r="5">
      <c r="B5" s="77" t="inlineStr">
        <is>
          <t>Legend:  R = Responsible (does the work)   |   A = Accountable (owns the outcome, one per row)</t>
        </is>
      </c>
      <c r="C5" s="78" t="n"/>
      <c r="D5" s="79" t="n"/>
      <c r="E5" s="78" t="n"/>
      <c r="F5" s="79" t="n"/>
      <c r="G5" s="78" t="n"/>
      <c r="H5" s="79" t="n"/>
      <c r="I5" s="78" t="n"/>
      <c r="J5" s="79" t="n"/>
    </row>
    <row r="6">
      <c r="B6" s="77" t="inlineStr">
        <is>
          <t xml:space="preserve">  C = Consulted (input before the decision)   |   I = Informed (notified after)</t>
        </is>
      </c>
    </row>
    <row r="7">
      <c r="B7" s="23" t="inlineStr">
        <is>
          <t>Activity / Decision</t>
        </is>
      </c>
      <c r="C7" s="23" t="inlineStr">
        <is>
          <t>Responsible (R)</t>
        </is>
      </c>
      <c r="D7" s="23" t="inlineStr">
        <is>
          <t>Accountable (A)</t>
        </is>
      </c>
      <c r="E7" s="23" t="inlineStr">
        <is>
          <t>Consulted (C)</t>
        </is>
      </c>
      <c r="F7" s="23" t="inlineStr">
        <is>
          <t>Informed (I)</t>
        </is>
      </c>
    </row>
    <row r="8" ht="30" customHeight="1">
      <c r="B8" s="80" t="inlineStr">
        <is>
          <t>Program Initiation</t>
        </is>
      </c>
      <c r="C8" s="81" t="inlineStr">
        <is>
          <t>PM</t>
        </is>
      </c>
      <c r="D8" s="82" t="inlineStr">
        <is>
          <t>PEO</t>
        </is>
      </c>
      <c r="E8" s="81" t="inlineStr">
        <is>
          <t>CO, Systems Engineer, Finance, Legal</t>
        </is>
      </c>
      <c r="F8" s="81" t="inlineStr">
        <is>
          <t>COR, DCMA, Contractor PM</t>
        </is>
      </c>
    </row>
    <row r="9" ht="30" customHeight="1">
      <c r="B9" s="83" t="inlineStr">
        <is>
          <t>Requirements Development</t>
        </is>
      </c>
      <c r="C9" s="84" t="inlineStr">
        <is>
          <t>PM, Systems Engineer</t>
        </is>
      </c>
      <c r="D9" s="85" t="inlineStr">
        <is>
          <t>PEO</t>
        </is>
      </c>
      <c r="E9" s="84" t="inlineStr">
        <is>
          <t>COR, Contractor PM</t>
        </is>
      </c>
      <c r="F9" s="84" t="inlineStr">
        <is>
          <t>CO, DCMA, Finance, Legal</t>
        </is>
      </c>
    </row>
    <row r="10" ht="30" customHeight="1">
      <c r="B10" s="80" t="inlineStr">
        <is>
          <t>Acquisition Strategy</t>
        </is>
      </c>
      <c r="C10" s="81" t="inlineStr">
        <is>
          <t>PM</t>
        </is>
      </c>
      <c r="D10" s="82" t="inlineStr">
        <is>
          <t>PEO</t>
        </is>
      </c>
      <c r="E10" s="81" t="inlineStr">
        <is>
          <t>CO, DCAA, Systems Engineer, Finance, Legal</t>
        </is>
      </c>
      <c r="F10" s="81" t="inlineStr">
        <is>
          <t>COR, DCMA, Contractor PM</t>
        </is>
      </c>
    </row>
    <row r="11" ht="30" customHeight="1">
      <c r="B11" s="83" t="inlineStr">
        <is>
          <t>Source Selection Planning</t>
        </is>
      </c>
      <c r="C11" s="84" t="inlineStr">
        <is>
          <t>CO</t>
        </is>
      </c>
      <c r="D11" s="85" t="inlineStr">
        <is>
          <t>PEO</t>
        </is>
      </c>
      <c r="E11" s="84" t="inlineStr">
        <is>
          <t>PM, COR, Systems Engineer, Legal</t>
        </is>
      </c>
      <c r="F11" s="84" t="inlineStr">
        <is>
          <t>DCMA, Contractor PM, Finance</t>
        </is>
      </c>
    </row>
    <row r="12" ht="30" customHeight="1">
      <c r="B12" s="80" t="inlineStr">
        <is>
          <t>RFP Development &amp; Release</t>
        </is>
      </c>
      <c r="C12" s="81" t="inlineStr">
        <is>
          <t>CO</t>
        </is>
      </c>
      <c r="D12" s="82" t="inlineStr">
        <is>
          <t>PEO</t>
        </is>
      </c>
      <c r="E12" s="81" t="inlineStr">
        <is>
          <t>PM, COR, Systems Engineer, Legal</t>
        </is>
      </c>
      <c r="F12" s="81" t="inlineStr">
        <is>
          <t>Finance</t>
        </is>
      </c>
    </row>
    <row r="13" ht="30" customHeight="1">
      <c r="B13" s="83" t="inlineStr">
        <is>
          <t>Proposal Evaluation</t>
        </is>
      </c>
      <c r="C13" s="84" t="inlineStr">
        <is>
          <t>PM, Systems Engineer</t>
        </is>
      </c>
      <c r="D13" s="85" t="inlineStr">
        <is>
          <t>CO</t>
        </is>
      </c>
      <c r="E13" s="84" t="inlineStr">
        <is>
          <t>COR, Finance, Legal</t>
        </is>
      </c>
      <c r="F13" s="84" t="inlineStr">
        <is>
          <t>PEO</t>
        </is>
      </c>
    </row>
    <row r="14" ht="30" customHeight="1">
      <c r="B14" s="80" t="inlineStr">
        <is>
          <t>Contract Award</t>
        </is>
      </c>
      <c r="C14" s="81" t="inlineStr">
        <is>
          <t>CO</t>
        </is>
      </c>
      <c r="D14" s="82" t="inlineStr">
        <is>
          <t>PEO</t>
        </is>
      </c>
      <c r="E14" s="81" t="inlineStr">
        <is>
          <t>Finance, Legal</t>
        </is>
      </c>
      <c r="F14" s="81" t="inlineStr">
        <is>
          <t>PM, COR, DCMA, Contractor PM</t>
        </is>
      </c>
    </row>
    <row r="15" ht="30" customHeight="1">
      <c r="B15" s="83" t="inlineStr">
        <is>
          <t>Kickoff Meeting</t>
        </is>
      </c>
      <c r="C15" s="84" t="inlineStr">
        <is>
          <t>PM, COR, Contractor PM</t>
        </is>
      </c>
      <c r="D15" s="85" t="inlineStr">
        <is>
          <t>PM</t>
        </is>
      </c>
      <c r="E15" s="84" t="inlineStr">
        <is>
          <t>CO, Systems Engineer</t>
        </is>
      </c>
      <c r="F15" s="84" t="inlineStr">
        <is>
          <t>PEO, DCMA, Finance</t>
        </is>
      </c>
    </row>
    <row r="16" ht="30" customHeight="1">
      <c r="B16" s="80" t="inlineStr">
        <is>
          <t>Monthly IPR / Status Review</t>
        </is>
      </c>
      <c r="C16" s="81" t="inlineStr">
        <is>
          <t>PM, Contractor PM</t>
        </is>
      </c>
      <c r="D16" s="82" t="inlineStr">
        <is>
          <t>COR</t>
        </is>
      </c>
      <c r="E16" s="81" t="inlineStr">
        <is>
          <t>Systems Engineer, Finance</t>
        </is>
      </c>
      <c r="F16" s="81" t="inlineStr">
        <is>
          <t>PEO, CO, DCMA</t>
        </is>
      </c>
    </row>
    <row r="17" ht="30" customHeight="1">
      <c r="B17" s="83" t="inlineStr">
        <is>
          <t>Quarterly Program Review</t>
        </is>
      </c>
      <c r="C17" s="84" t="inlineStr">
        <is>
          <t>PM, Contractor PM</t>
        </is>
      </c>
      <c r="D17" s="85" t="inlineStr">
        <is>
          <t>PEO</t>
        </is>
      </c>
      <c r="E17" s="84" t="inlineStr">
        <is>
          <t>COR, DCMA, Systems Engineer, Finance</t>
        </is>
      </c>
      <c r="F17" s="84" t="inlineStr">
        <is>
          <t>CO</t>
        </is>
      </c>
    </row>
    <row r="18" ht="30" customHeight="1">
      <c r="B18" s="80" t="inlineStr">
        <is>
          <t>EVM / CPR Review</t>
        </is>
      </c>
      <c r="C18" s="81" t="inlineStr">
        <is>
          <t>PM, Contractor PM, Finance</t>
        </is>
      </c>
      <c r="D18" s="82" t="inlineStr">
        <is>
          <t>PM</t>
        </is>
      </c>
      <c r="E18" s="81" t="inlineStr">
        <is>
          <t>COR, DCMA, DCAA</t>
        </is>
      </c>
      <c r="F18" s="81" t="inlineStr">
        <is>
          <t>PEO, CO</t>
        </is>
      </c>
    </row>
    <row r="19" ht="30" customHeight="1">
      <c r="B19" s="83" t="inlineStr">
        <is>
          <t>CDR / PDR Review</t>
        </is>
      </c>
      <c r="C19" s="84" t="inlineStr">
        <is>
          <t>PM, Contractor PM, Systems Engineer</t>
        </is>
      </c>
      <c r="D19" s="85" t="inlineStr">
        <is>
          <t>PEO</t>
        </is>
      </c>
      <c r="E19" s="84" t="inlineStr">
        <is>
          <t>COR, DCMA</t>
        </is>
      </c>
      <c r="F19" s="84" t="inlineStr">
        <is>
          <t>CO, Finance</t>
        </is>
      </c>
    </row>
    <row r="20" ht="30" customHeight="1">
      <c r="B20" s="80" t="inlineStr">
        <is>
          <t>Test Planning</t>
        </is>
      </c>
      <c r="C20" s="81" t="inlineStr">
        <is>
          <t>Contractor PM, Systems Engineer</t>
        </is>
      </c>
      <c r="D20" s="82" t="inlineStr">
        <is>
          <t>PM</t>
        </is>
      </c>
      <c r="E20" s="81" t="inlineStr">
        <is>
          <t>COR, DCMA</t>
        </is>
      </c>
      <c r="F20" s="81" t="inlineStr">
        <is>
          <t>PEO, CO, Finance</t>
        </is>
      </c>
    </row>
    <row r="21" ht="30" customHeight="1">
      <c r="B21" s="83" t="inlineStr">
        <is>
          <t>Test Execution</t>
        </is>
      </c>
      <c r="C21" s="84" t="inlineStr">
        <is>
          <t>COR, Contractor PM, Systems Engineer</t>
        </is>
      </c>
      <c r="D21" s="85" t="inlineStr">
        <is>
          <t>PM</t>
        </is>
      </c>
      <c r="E21" s="84" t="inlineStr">
        <is>
          <t>DCMA</t>
        </is>
      </c>
      <c r="F21" s="84" t="inlineStr">
        <is>
          <t>PEO, CO, Finance</t>
        </is>
      </c>
    </row>
    <row r="22" ht="30" customHeight="1">
      <c r="B22" s="80" t="inlineStr">
        <is>
          <t>Deliverable Acceptance</t>
        </is>
      </c>
      <c r="C22" s="81" t="inlineStr">
        <is>
          <t>COR, Contractor PM</t>
        </is>
      </c>
      <c r="D22" s="82" t="inlineStr">
        <is>
          <t>PM</t>
        </is>
      </c>
      <c r="E22" s="81" t="inlineStr">
        <is>
          <t>DCMA, Systems Engineer</t>
        </is>
      </c>
      <c r="F22" s="81" t="inlineStr">
        <is>
          <t>PEO, CO, Finance</t>
        </is>
      </c>
    </row>
    <row r="23" ht="30" customHeight="1">
      <c r="B23" s="83" t="inlineStr">
        <is>
          <t>Invoice Review &amp; Approval</t>
        </is>
      </c>
      <c r="C23" s="84" t="inlineStr">
        <is>
          <t>COR, Contractor PM, Finance</t>
        </is>
      </c>
      <c r="D23" s="85" t="inlineStr">
        <is>
          <t>CO</t>
        </is>
      </c>
      <c r="E23" s="84" t="inlineStr">
        <is>
          <t>DCMA, DCAA</t>
        </is>
      </c>
      <c r="F23" s="84" t="inlineStr">
        <is>
          <t>PM, PEO</t>
        </is>
      </c>
    </row>
    <row r="24" ht="30" customHeight="1">
      <c r="B24" s="80" t="inlineStr">
        <is>
          <t>Contract Modification</t>
        </is>
      </c>
      <c r="C24" s="81" t="inlineStr">
        <is>
          <t>PM, CO</t>
        </is>
      </c>
      <c r="D24" s="82" t="inlineStr">
        <is>
          <t>PEO</t>
        </is>
      </c>
      <c r="E24" s="81" t="inlineStr">
        <is>
          <t>COR, Contractor PM, Systems Engineer, Finance, Legal</t>
        </is>
      </c>
      <c r="F24" s="81" t="inlineStr">
        <is>
          <t>DCMA, DCAA</t>
        </is>
      </c>
    </row>
    <row r="25" ht="30" customHeight="1">
      <c r="B25" s="83" t="inlineStr">
        <is>
          <t>Risk Review Board</t>
        </is>
      </c>
      <c r="C25" s="84" t="inlineStr">
        <is>
          <t>PM, Contractor PM</t>
        </is>
      </c>
      <c r="D25" s="85" t="inlineStr">
        <is>
          <t>PM</t>
        </is>
      </c>
      <c r="E25" s="84" t="inlineStr">
        <is>
          <t>COR, Systems Engineer, Finance</t>
        </is>
      </c>
      <c r="F25" s="84" t="inlineStr">
        <is>
          <t>PEO, CO, DCMA</t>
        </is>
      </c>
    </row>
    <row r="26" ht="30" customHeight="1">
      <c r="B26" s="80" t="inlineStr">
        <is>
          <t>COR Surveillance</t>
        </is>
      </c>
      <c r="C26" s="81" t="inlineStr">
        <is>
          <t>COR</t>
        </is>
      </c>
      <c r="D26" s="82" t="inlineStr">
        <is>
          <t>CO</t>
        </is>
      </c>
      <c r="E26" s="81" t="inlineStr">
        <is>
          <t>DCMA</t>
        </is>
      </c>
      <c r="F26" s="81" t="inlineStr">
        <is>
          <t>PM, PEO, Contractor PM</t>
        </is>
      </c>
    </row>
    <row r="27" ht="30" customHeight="1">
      <c r="B27" s="83" t="inlineStr">
        <is>
          <t>CPARS Rating</t>
        </is>
      </c>
      <c r="C27" s="84" t="inlineStr">
        <is>
          <t>COR</t>
        </is>
      </c>
      <c r="D27" s="85" t="inlineStr">
        <is>
          <t>CO</t>
        </is>
      </c>
      <c r="E27" s="84" t="inlineStr">
        <is>
          <t>PM, DCMA</t>
        </is>
      </c>
      <c r="F27" s="84" t="inlineStr">
        <is>
          <t>PEO, Contractor PM</t>
        </is>
      </c>
    </row>
    <row r="28" ht="30" customHeight="1">
      <c r="B28" s="80" t="inlineStr">
        <is>
          <t>Nunn-McCurdy Reporting</t>
        </is>
      </c>
      <c r="C28" s="81" t="inlineStr">
        <is>
          <t>PM, Finance</t>
        </is>
      </c>
      <c r="D28" s="82" t="inlineStr">
        <is>
          <t>PEO</t>
        </is>
      </c>
      <c r="E28" s="81" t="inlineStr">
        <is>
          <t>Contractor PM, Systems Engineer, Legal</t>
        </is>
      </c>
      <c r="F28" s="81" t="inlineStr">
        <is>
          <t>CO, COR, DCMA</t>
        </is>
      </c>
    </row>
    <row r="29" ht="30" customHeight="1">
      <c r="B29" s="83" t="inlineStr">
        <is>
          <t>APB Baseline Update</t>
        </is>
      </c>
      <c r="C29" s="84" t="inlineStr">
        <is>
          <t>PM, Finance</t>
        </is>
      </c>
      <c r="D29" s="85" t="inlineStr">
        <is>
          <t>PEO</t>
        </is>
      </c>
      <c r="E29" s="84" t="inlineStr">
        <is>
          <t>Contractor PM, Systems Engineer</t>
        </is>
      </c>
      <c r="F29" s="84" t="inlineStr">
        <is>
          <t>CO, COR, DCMA</t>
        </is>
      </c>
    </row>
    <row r="30" ht="30" customHeight="1">
      <c r="B30" s="80" t="inlineStr">
        <is>
          <t>Milestone Decision Review</t>
        </is>
      </c>
      <c r="C30" s="81" t="inlineStr">
        <is>
          <t>PM, Systems Engineer</t>
        </is>
      </c>
      <c r="D30" s="82" t="inlineStr">
        <is>
          <t>PEO</t>
        </is>
      </c>
      <c r="E30" s="81" t="inlineStr">
        <is>
          <t>CO, DCMA, Contractor PM, Finance, Legal</t>
        </is>
      </c>
      <c r="F30" s="81" t="inlineStr">
        <is>
          <t>COR</t>
        </is>
      </c>
    </row>
    <row r="31" ht="30" customHeight="1">
      <c r="B31" s="83" t="inlineStr">
        <is>
          <t>Contract Close-Out</t>
        </is>
      </c>
      <c r="C31" s="84" t="inlineStr">
        <is>
          <t>CO, COR, Contractor PM, Finance</t>
        </is>
      </c>
      <c r="D31" s="85" t="inlineStr">
        <is>
          <t>PM</t>
        </is>
      </c>
      <c r="E31" s="84" t="inlineStr">
        <is>
          <t>DCMA, DCAA, Legal</t>
        </is>
      </c>
      <c r="F31" s="84" t="inlineStr">
        <is>
          <t>PEO</t>
        </is>
      </c>
    </row>
    <row r="32" ht="30" customHeight="1">
      <c r="B32" s="80" t="inlineStr">
        <is>
          <t>Lessons Learned / AAR</t>
        </is>
      </c>
      <c r="C32" s="81" t="inlineStr">
        <is>
          <t>PM, Contractor PM</t>
        </is>
      </c>
      <c r="D32" s="82" t="inlineStr">
        <is>
          <t>PM</t>
        </is>
      </c>
      <c r="E32" s="81" t="inlineStr">
        <is>
          <t>COR, Systems Engineer</t>
        </is>
      </c>
      <c r="F32" s="81" t="inlineStr">
        <is>
          <t>PEO, CO, DCMA, Finance</t>
        </is>
      </c>
    </row>
    <row r="34">
      <c r="B34" s="21" t="inlineStr">
        <is>
          <t>Template by Acqlerate — Defense Acquisitions Academy | www.acqlerate.com</t>
        </is>
      </c>
    </row>
    <row r="35">
      <c r="B35" s="21" t="inlineStr">
        <is>
          <t>Generated: September 2026 | Updated: FAC 2025-06</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8:D32" showDropDown="0" showInputMessage="0" showErrorMessage="0" allowBlank="1" errorTitle="Heads up" error="Not on the standard list, that's fine. Type any name/role, or list several separated by commas." type="list" errorStyle="warning">
      <formula1>"PM,PEO,CO,COR,DCMA,DCAA,Contractor PM,Systems Engineer,Finance,Legal"</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B39"/>
  <sheetViews>
    <sheetView workbookViewId="0">
      <selection activeCell="A1" sqref="A1"/>
    </sheetView>
  </sheetViews>
  <sheetFormatPr baseColWidth="8" defaultRowHeight="15"/>
  <cols>
    <col width="100" customWidth="1" min="2" max="2"/>
  </cols>
  <sheetData>
    <row r="2">
      <c r="B2" s="86" t="inlineStr">
        <is>
          <t>RACI Matrix — Instructions</t>
        </is>
      </c>
    </row>
    <row r="3">
      <c r="B3" s="2" t="n"/>
    </row>
    <row r="4">
      <c r="B4" s="87" t="inlineStr">
        <is>
          <t>Purpose</t>
        </is>
      </c>
    </row>
    <row r="5">
      <c r="B5" s="2" t="inlineStr">
        <is>
          <t>The RACI matrix clarifies who does the work, who owns the outcome, who gets consulted, and who just needs to know. It prevents the "I thought you were handling that" problem on DoD programs.</t>
        </is>
      </c>
    </row>
    <row r="6">
      <c r="B6" s="2" t="n"/>
    </row>
    <row r="7">
      <c r="B7" s="87" t="inlineStr">
        <is>
          <t>Why this version is a list, not a grid</t>
        </is>
      </c>
    </row>
    <row r="8">
      <c r="B8" s="2" t="inlineStr">
        <is>
          <t>The classic RACI matrix (one column per stakeholder role) is thorough but nobody keeps it updated: adding a new activity means filling in ten columns. This version flips it: one row per activity, with just four fields. Adding or editing an activity takes seconds.</t>
        </is>
      </c>
    </row>
    <row r="9">
      <c r="B9" s="2" t="n"/>
    </row>
    <row r="10">
      <c r="B10" s="87" t="inlineStr">
        <is>
          <t>RACI Definitions</t>
        </is>
      </c>
    </row>
    <row r="11">
      <c r="B11" s="2" t="inlineStr">
        <is>
          <t>R — Responsible: The person or role that performs the work. More than one person can be Responsible.</t>
        </is>
      </c>
    </row>
    <row r="12">
      <c r="B12" s="2" t="inlineStr">
        <is>
          <t>A — Accountable: The single person with final authority for the outcome. Exactly one per activity, no exceptions.</t>
        </is>
      </c>
    </row>
    <row r="13">
      <c r="B13" s="2" t="inlineStr">
        <is>
          <t>C — Consulted: People whose input is sought before the decision or action (two-way conversation).</t>
        </is>
      </c>
    </row>
    <row r="14">
      <c r="B14" s="2" t="inlineStr">
        <is>
          <t>I — Informed: People notified after the decision or action (one-way notice).</t>
        </is>
      </c>
    </row>
    <row r="15">
      <c r="B15" s="2" t="n"/>
    </row>
    <row r="16">
      <c r="B16" s="87" t="inlineStr">
        <is>
          <t>Stakeholder Roles Used in This Template</t>
        </is>
      </c>
    </row>
    <row r="17">
      <c r="B17" s="2" t="inlineStr">
        <is>
          <t>PM: Government Program Manager — overall program execution authority, accountable to the PEO for cost, schedule, and performance.</t>
        </is>
      </c>
    </row>
    <row r="18">
      <c r="B18" s="2" t="inlineStr">
        <is>
          <t>PEO: Program Executive Officer — senior acquisition authority; provides oversight and milestone approval.</t>
        </is>
      </c>
    </row>
    <row r="19">
      <c r="B19" s="2" t="inlineStr">
        <is>
          <t>CO: Contracting Officer — legal authority to obligate funds and award or modify contracts.</t>
        </is>
      </c>
    </row>
    <row r="20">
      <c r="B20" s="2" t="inlineStr">
        <is>
          <t>COR: Contracting Officer's Representative — the CO's eyes and ears on the program; monitors contractor performance.</t>
        </is>
      </c>
    </row>
    <row r="21">
      <c r="B21" s="2" t="inlineStr">
        <is>
          <t>DCMA: Defense Contract Management Agency — contract administration and EVMS surveillance.</t>
        </is>
      </c>
    </row>
    <row r="22">
      <c r="B22" s="2" t="inlineStr">
        <is>
          <t>DCAA: Defense Contract Audit Agency — audits contractor accounting systems and incurred costs.</t>
        </is>
      </c>
    </row>
    <row r="23">
      <c r="B23" s="2" t="inlineStr">
        <is>
          <t>Contractor PM: The contractor's Program Manager — leads the contractor team executing the work.</t>
        </is>
      </c>
    </row>
    <row r="24">
      <c r="B24" s="2" t="inlineStr">
        <is>
          <t>Systems Engineer: Technical authority for design, integration, and requirements.</t>
        </is>
      </c>
    </row>
    <row r="25">
      <c r="B25" s="2" t="inlineStr">
        <is>
          <t>Finance: Manages budget execution, obligations, and financial reporting.</t>
        </is>
      </c>
    </row>
    <row r="26">
      <c r="B26" s="2" t="inlineStr">
        <is>
          <t>Legal: Legal counsel on contract matters, protests, disputes, and IP.</t>
        </is>
      </c>
    </row>
    <row r="27">
      <c r="B27" s="2" t="n"/>
    </row>
    <row r="28">
      <c r="B28" s="87" t="inlineStr">
        <is>
          <t>How to Customize</t>
        </is>
      </c>
    </row>
    <row r="29">
      <c r="B29" s="2" t="inlineStr">
        <is>
          <t xml:space="preserve">  1. To edit an activity: just retype the Responsible, Accountable, Consulted, or Informed cell. No other cell has to change.</t>
        </is>
      </c>
    </row>
    <row r="30">
      <c r="B30" s="2" t="inlineStr">
        <is>
          <t xml:space="preserve">  2. To add an activity: add a new row with the activity name and its four fields. There is no matrix to extend.</t>
        </is>
      </c>
    </row>
    <row r="31">
      <c r="B31" s="2" t="inlineStr">
        <is>
          <t xml:space="preserve">  3. To remove an activity: delete the row.</t>
        </is>
      </c>
    </row>
    <row r="32">
      <c r="B32" s="2" t="inlineStr">
        <is>
          <t xml:space="preserve">  4. Every row must have exactly one Accountable owner. If a cell is blank, decide who owns it before you ship the RACI.</t>
        </is>
      </c>
    </row>
    <row r="33">
      <c r="B33" s="2" t="inlineStr">
        <is>
          <t xml:space="preserve">  5. Consulted and Informed can list more than one name, separated by commas.</t>
        </is>
      </c>
    </row>
    <row r="34">
      <c r="B34" s="2" t="inlineStr">
        <is>
          <t xml:space="preserve">  6. Brief this RACI at kickoff and store it with the Program Management Plan. Update it whenever a role changes hands.</t>
        </is>
      </c>
    </row>
    <row r="35">
      <c r="B35" s="2" t="n"/>
    </row>
    <row r="36">
      <c r="B36" s="88" t="inlineStr">
        <is>
          <t>Template by Acqlerate — Defense Acquisitions Academy | www.acqlerate.com</t>
        </is>
      </c>
    </row>
    <row r="38">
      <c r="B38" s="11" t="inlineStr">
        <is>
          <t>License &amp; Use</t>
        </is>
      </c>
    </row>
    <row r="39">
      <c r="B39" s="42"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2026-09-15T04:14:46Z</dcterms:created>
  <dcterms:modified xmlns:dcterms="http://purl.org/dc/terms/" xmlns:xsi="http://www.w3.org/2001/XMLSchema-instance" xsi:type="dcterms:W3CDTF">2026-09-24T08:59:10Z</dcterms:modified>
</cp:coreProperties>
</file>