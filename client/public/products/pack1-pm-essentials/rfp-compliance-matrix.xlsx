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Instruc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i val="1"/>
      <color rgb="FF7A7974"/>
      <sz val="10"/>
    </font>
    <font>
      <name val="Arial"/>
      <charset val="1"/>
      <family val="0"/>
      <b val="1"/>
      <color rgb="FF01696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7A7974"/>
      <sz val="8"/>
    </font>
    <font>
      <name val="Arial"/>
      <charset val="1"/>
      <family val="0"/>
      <b val="1"/>
      <color rgb="FF01696F"/>
      <sz val="13"/>
    </font>
    <font>
      <b val="1"/>
      <color rgb="FF6B7280"/>
      <sz val="9"/>
    </font>
    <font>
      <b val="1"/>
      <color rgb="0001696F"/>
      <sz val="14"/>
    </font>
    <font>
      <b val="1"/>
      <color rgb="FFFFFFFF"/>
    </font>
    <font>
      <b val="1"/>
      <color rgb="FF0D1B2A"/>
      <sz val="11"/>
    </font>
    <font>
      <i val="1"/>
      <color rgb="FF6B7280"/>
      <sz val="9"/>
    </font>
  </fonts>
  <fills count="6">
    <fill>
      <patternFill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0D1B2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 indent="1"/>
    </xf>
    <xf numFmtId="0" fontId="8" fillId="2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 indent="1"/>
    </xf>
    <xf numFmtId="0" fontId="8" fillId="2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9" fillId="0" borderId="0" applyAlignment="1" applyProtection="1" pivotButton="0" quotePrefix="0" xfId="0">
      <alignment horizontal="left" vertical="center" indent="1"/>
      <protection locked="0" hidden="0"/>
    </xf>
    <xf numFmtId="0" fontId="9" fillId="0" borderId="0" applyAlignment="1" applyProtection="1" pivotButton="0" quotePrefix="0" xfId="0">
      <alignment horizontal="left" vertical="center" wrapText="1" indent="1"/>
      <protection locked="0" hidden="0"/>
    </xf>
    <xf numFmtId="164" fontId="9" fillId="0" borderId="0" applyAlignment="1" applyProtection="1" pivotButton="0" quotePrefix="0" xfId="0">
      <alignment horizontal="center" vertical="center"/>
      <protection locked="0" hidden="0"/>
    </xf>
    <xf numFmtId="0" fontId="12" fillId="0" borderId="0" pivotButton="0" quotePrefix="0" xfId="0"/>
    <xf numFmtId="9" fontId="13" fillId="0" borderId="0" pivotButton="0" quotePrefix="0" xfId="0"/>
    <xf numFmtId="0" fontId="14" fillId="5" borderId="1" pivotButton="0" quotePrefix="0" xfId="0"/>
    <xf numFmtId="0" fontId="0" fillId="0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C0C0C0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 Matrix'!$B$6:$B$9</f>
            </numRef>
          </cat>
          <val>
            <numRef>
              <f>'Compliance Matrix'!$C$6:$C$9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4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lianceMatrix" displayName="ComplianceMatrix" ref="B13:J33" headerRowCount="1" totalsRowCount="0" totalsRowShown="0">
  <autoFilter ref="B13:J33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K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8" min="1" max="1"/>
    <col width="8" customWidth="1" style="18" min="2" max="2"/>
    <col width="18" customWidth="1" style="18" min="3" max="3"/>
    <col width="40" customWidth="1" style="18" min="4" max="4"/>
    <col width="12" customWidth="1" style="18" min="5" max="5"/>
    <col width="22" customWidth="1" style="18" min="6" max="6"/>
    <col width="16" customWidth="1" style="18" min="7" max="7"/>
    <col width="35" customWidth="1" style="18" min="8" max="8"/>
    <col width="16" customWidth="1" style="18" min="9" max="9"/>
    <col width="14" customWidth="1" style="18" min="10" max="10"/>
    <col width="16" customWidth="1" style="19" min="11" max="11"/>
  </cols>
  <sheetData>
    <row r="2" ht="30" customHeight="1" s="19">
      <c r="B2" s="20" t="inlineStr">
        <is>
          <t>RFP Compliance Matrix</t>
        </is>
      </c>
    </row>
    <row r="3" ht="15" customHeight="1" s="19">
      <c r="B3" s="21" t="inlineStr">
        <is>
          <t>Track Section L requirements against proposal response sections</t>
        </is>
      </c>
    </row>
    <row r="5" ht="21.75" customHeight="1" s="19">
      <c r="B5" s="22" t="inlineStr">
        <is>
          <t>Compliance Summary</t>
        </is>
      </c>
    </row>
    <row r="6" ht="15" customHeight="1" s="19">
      <c r="B6" s="23" t="inlineStr">
        <is>
          <t>Compliant</t>
        </is>
      </c>
      <c r="C6" s="24">
        <f>COUNTIF(G14:G33,"Compliant")</f>
        <v/>
      </c>
      <c r="E6" s="39" t="inlineStr">
        <is>
          <t>% Complete</t>
        </is>
      </c>
      <c r="F6" s="40">
        <f>C6/C10</f>
        <v/>
      </c>
    </row>
    <row r="7" ht="15" customHeight="1" s="19">
      <c r="B7" s="23" t="inlineStr">
        <is>
          <t>Partial</t>
        </is>
      </c>
      <c r="C7" s="25">
        <f>COUNTIF(G14:G33,"Partial")</f>
        <v/>
      </c>
    </row>
    <row r="8" ht="15" customHeight="1" s="19">
      <c r="B8" s="23" t="inlineStr">
        <is>
          <t>Non-Compliant</t>
        </is>
      </c>
      <c r="C8" s="26">
        <f>COUNTIF(G14:G33,"Non-Compliant")</f>
        <v/>
      </c>
    </row>
    <row r="9" ht="15" customHeight="1" s="19">
      <c r="B9" s="23" t="inlineStr">
        <is>
          <t>N/A</t>
        </is>
      </c>
      <c r="C9" s="27">
        <f>COUNTIF(G14:G33,"N/A")</f>
        <v/>
      </c>
    </row>
    <row r="10" ht="15" customHeight="1" s="19">
      <c r="B10" s="23" t="inlineStr">
        <is>
          <t>Total Requirements</t>
        </is>
      </c>
      <c r="C10" s="27">
        <f>COUNTA(G14:G33)</f>
        <v/>
      </c>
    </row>
    <row r="13" ht="21.75" customHeight="1" s="19">
      <c r="K13" s="41" t="inlineStr">
        <is>
          <t>Status Flag</t>
        </is>
      </c>
    </row>
    <row r="14" ht="30" customHeight="1" s="19">
      <c r="B14" s="36" t="inlineStr">
        <is>
          <t>L-001</t>
        </is>
      </c>
      <c r="C14" s="36" t="inlineStr">
        <is>
          <t>L.5.1.1</t>
        </is>
      </c>
      <c r="D14" s="37" t="inlineStr">
        <is>
          <t>Cover Letter — Signed by authorized corporate official; identify offeror, CAGE code, UEI, address, and POC</t>
        </is>
      </c>
      <c r="E14" s="36" t="inlineStr">
        <is>
          <t>I — Admin</t>
        </is>
      </c>
      <c r="F14" s="36" t="inlineStr">
        <is>
          <t>Vol I, Section 1.0</t>
        </is>
      </c>
      <c r="G14" s="36" t="inlineStr">
        <is>
          <t>Compliant</t>
        </is>
      </c>
      <c r="H14" s="37" t="inlineStr">
        <is>
          <t>Cover letter template finalized</t>
        </is>
      </c>
      <c r="I14" s="36" t="inlineStr">
        <is>
          <t>Contracts Mgr</t>
        </is>
      </c>
      <c r="J14" s="38" t="n">
        <v>46132</v>
      </c>
      <c r="K14" s="42">
        <f>IF(G14="Compliant","",IF(AND(G14&lt;&gt;"N/A",TODAY()&gt;J14),"OVERDUE","On track"))</f>
        <v/>
      </c>
    </row>
    <row r="15" ht="30" customHeight="1" s="19">
      <c r="B15" s="36" t="inlineStr">
        <is>
          <t>L-002</t>
        </is>
      </c>
      <c r="C15" s="36" t="inlineStr">
        <is>
          <t>L.5.1.2</t>
        </is>
      </c>
      <c r="D15" s="37" t="inlineStr">
        <is>
          <t>Executive Summary — 5-page maximum; summarize technical approach, relevant experience, and key personnel</t>
        </is>
      </c>
      <c r="E15" s="36" t="inlineStr">
        <is>
          <t>I — Admin</t>
        </is>
      </c>
      <c r="F15" s="36" t="inlineStr">
        <is>
          <t>Vol I, Section 2.0</t>
        </is>
      </c>
      <c r="G15" s="36" t="inlineStr">
        <is>
          <t>Compliant</t>
        </is>
      </c>
      <c r="H15" s="37" t="inlineStr">
        <is>
          <t>Draft complete; final review pending</t>
        </is>
      </c>
      <c r="I15" s="36" t="inlineStr">
        <is>
          <t>Capture Lead</t>
        </is>
      </c>
      <c r="J15" s="38" t="n">
        <v>46130</v>
      </c>
      <c r="K15" s="42">
        <f>IF(G15="Compliant","",IF(AND(G15&lt;&gt;"N/A",TODAY()&gt;J15),"OVERDUE","On track"))</f>
        <v/>
      </c>
    </row>
    <row r="16" ht="30" customHeight="1" s="19">
      <c r="B16" s="36" t="inlineStr">
        <is>
          <t>L-003</t>
        </is>
      </c>
      <c r="C16" s="36" t="inlineStr">
        <is>
          <t>L.5.2.1</t>
        </is>
      </c>
      <c r="D16" s="37" t="inlineStr">
        <is>
          <t>Technical Approach — Describe methodology to meet SOW requirements in Section C; include WBS</t>
        </is>
      </c>
      <c r="E16" s="36" t="inlineStr">
        <is>
          <t>II — Tech</t>
        </is>
      </c>
      <c r="F16" s="36" t="inlineStr">
        <is>
          <t>Vol II, Section 1.0</t>
        </is>
      </c>
      <c r="G16" s="36" t="inlineStr">
        <is>
          <t>Partial</t>
        </is>
      </c>
      <c r="H16" s="37" t="inlineStr">
        <is>
          <t>WBS diagram in progress; narrative 80% complete</t>
        </is>
      </c>
      <c r="I16" s="36" t="inlineStr">
        <is>
          <t>Tech Lead</t>
        </is>
      </c>
      <c r="J16" s="38" t="n">
        <v>46134</v>
      </c>
      <c r="K16" s="42">
        <f>IF(G16="Compliant","",IF(AND(G16&lt;&gt;"N/A",TODAY()&gt;J16),"OVERDUE","On track"))</f>
        <v/>
      </c>
    </row>
    <row r="17" ht="30" customHeight="1" s="19">
      <c r="B17" s="36" t="inlineStr">
        <is>
          <t>L-004</t>
        </is>
      </c>
      <c r="C17" s="36" t="inlineStr">
        <is>
          <t>L.5.2.2</t>
        </is>
      </c>
      <c r="D17" s="37" t="inlineStr">
        <is>
          <t>Systems Engineering Plan — Describe SE processes, tools, and standards (MIL-STD-882E, IEEE 15288)</t>
        </is>
      </c>
      <c r="E17" s="36" t="inlineStr">
        <is>
          <t>II — Tech</t>
        </is>
      </c>
      <c r="F17" s="36" t="inlineStr">
        <is>
          <t>Vol II, Section 2.0</t>
        </is>
      </c>
      <c r="G17" s="36" t="inlineStr">
        <is>
          <t>Compliant</t>
        </is>
      </c>
      <c r="H17" s="37" t="inlineStr">
        <is>
          <t>SE plan aligned with customer standards</t>
        </is>
      </c>
      <c r="I17" s="36" t="inlineStr">
        <is>
          <t>Systems Engr</t>
        </is>
      </c>
      <c r="J17" s="38" t="n">
        <v>46129</v>
      </c>
      <c r="K17" s="42">
        <f>IF(G17="Compliant","",IF(AND(G17&lt;&gt;"N/A",TODAY()&gt;J17),"OVERDUE","On track"))</f>
        <v/>
      </c>
    </row>
    <row r="18" ht="30" customHeight="1" s="19">
      <c r="B18" s="36" t="inlineStr">
        <is>
          <t>L-005</t>
        </is>
      </c>
      <c r="C18" s="36" t="inlineStr">
        <is>
          <t>L.5.2.3</t>
        </is>
      </c>
      <c r="D18" s="37" t="inlineStr">
        <is>
          <t>Transition Plan — 90-day transition-in plan with risk mitigation and knowledge transfer approach</t>
        </is>
      </c>
      <c r="E18" s="36" t="inlineStr">
        <is>
          <t>II — Tech</t>
        </is>
      </c>
      <c r="F18" s="36" t="inlineStr">
        <is>
          <t>Vol II, Section 3.0</t>
        </is>
      </c>
      <c r="G18" s="36" t="inlineStr">
        <is>
          <t>Non-Compliant</t>
        </is>
      </c>
      <c r="H18" s="37" t="inlineStr">
        <is>
          <t>Transition timeline draft incomplete; need sub input</t>
        </is>
      </c>
      <c r="I18" s="36" t="inlineStr">
        <is>
          <t>PM</t>
        </is>
      </c>
      <c r="J18" s="38" t="n">
        <v>46137</v>
      </c>
      <c r="K18" s="42">
        <f>IF(G18="Compliant","",IF(AND(G18&lt;&gt;"N/A",TODAY()&gt;J18),"OVERDUE","On track"))</f>
        <v/>
      </c>
    </row>
    <row r="19" ht="30" customHeight="1" s="19">
      <c r="B19" s="36" t="inlineStr">
        <is>
          <t>L-006</t>
        </is>
      </c>
      <c r="C19" s="36" t="inlineStr">
        <is>
          <t>L.5.2.4</t>
        </is>
      </c>
      <c r="D19" s="37" t="inlineStr">
        <is>
          <t>Cybersecurity Approach — Describe compliance with NIST 800-171 and CMMC Level 2 requirements</t>
        </is>
      </c>
      <c r="E19" s="36" t="inlineStr">
        <is>
          <t>II — Tech</t>
        </is>
      </c>
      <c r="F19" s="36" t="inlineStr">
        <is>
          <t>Vol II, Section 4.0</t>
        </is>
      </c>
      <c r="G19" s="36" t="inlineStr">
        <is>
          <t>Partial</t>
        </is>
      </c>
      <c r="H19" s="37" t="inlineStr">
        <is>
          <t>CMMC gap analysis underway; SSP in development</t>
        </is>
      </c>
      <c r="I19" s="36" t="inlineStr">
        <is>
          <t>ISSM</t>
        </is>
      </c>
      <c r="J19" s="38" t="n">
        <v>46135</v>
      </c>
      <c r="K19" s="42">
        <f>IF(G19="Compliant","",IF(AND(G19&lt;&gt;"N/A",TODAY()&gt;J19),"OVERDUE","On track"))</f>
        <v/>
      </c>
    </row>
    <row r="20" ht="30" customHeight="1" s="19">
      <c r="B20" s="36" t="inlineStr">
        <is>
          <t>L-007</t>
        </is>
      </c>
      <c r="C20" s="36" t="inlineStr">
        <is>
          <t>L.5.2.5</t>
        </is>
      </c>
      <c r="D20" s="37" t="inlineStr">
        <is>
          <t>Quality Assurance Surveillance Plan (QASP) — Describe QA processes and metrics tracking</t>
        </is>
      </c>
      <c r="E20" s="36" t="inlineStr">
        <is>
          <t>II — Tech</t>
        </is>
      </c>
      <c r="F20" s="36" t="inlineStr">
        <is>
          <t>Vol II, Section 5.0</t>
        </is>
      </c>
      <c r="G20" s="36" t="inlineStr">
        <is>
          <t>Compliant</t>
        </is>
      </c>
      <c r="H20" s="37" t="inlineStr">
        <is>
          <t>QASP aligned with PWS performance standards</t>
        </is>
      </c>
      <c r="I20" s="36" t="inlineStr">
        <is>
          <t>QA Lead</t>
        </is>
      </c>
      <c r="J20" s="38" t="n">
        <v>46128</v>
      </c>
      <c r="K20" s="42">
        <f>IF(G20="Compliant","",IF(AND(G20&lt;&gt;"N/A",TODAY()&gt;J20),"OVERDUE","On track"))</f>
        <v/>
      </c>
    </row>
    <row r="21" ht="30" customHeight="1" s="19">
      <c r="B21" s="36" t="inlineStr">
        <is>
          <t>L-008</t>
        </is>
      </c>
      <c r="C21" s="36" t="inlineStr">
        <is>
          <t>L.5.3.1</t>
        </is>
      </c>
      <c r="D21" s="37" t="inlineStr">
        <is>
          <t>Management Approach — Organizational chart, staffing plan, and communication strategy</t>
        </is>
      </c>
      <c r="E21" s="36" t="inlineStr">
        <is>
          <t>III — Mgmt</t>
        </is>
      </c>
      <c r="F21" s="36" t="inlineStr">
        <is>
          <t>Vol III, Section 1.0</t>
        </is>
      </c>
      <c r="G21" s="36" t="inlineStr">
        <is>
          <t>Compliant</t>
        </is>
      </c>
      <c r="H21" s="37" t="inlineStr">
        <is>
          <t>Org chart finalized; staffing plan approved</t>
        </is>
      </c>
      <c r="I21" s="36" t="inlineStr">
        <is>
          <t>PM</t>
        </is>
      </c>
      <c r="J21" s="38" t="n">
        <v>46131</v>
      </c>
      <c r="K21" s="42">
        <f>IF(G21="Compliant","",IF(AND(G21&lt;&gt;"N/A",TODAY()&gt;J21),"OVERDUE","On track"))</f>
        <v/>
      </c>
    </row>
    <row r="22" ht="30" customHeight="1" s="19">
      <c r="B22" s="36" t="inlineStr">
        <is>
          <t>L-009</t>
        </is>
      </c>
      <c r="C22" s="36" t="inlineStr">
        <is>
          <t>L.5.3.2</t>
        </is>
      </c>
      <c r="D22" s="37" t="inlineStr">
        <is>
          <t>Key Personnel — Resumes for PM, Deputy PM, Technical Lead; 5-page max per resume</t>
        </is>
      </c>
      <c r="E22" s="36" t="inlineStr">
        <is>
          <t>III — Mgmt</t>
        </is>
      </c>
      <c r="F22" s="36" t="inlineStr">
        <is>
          <t>Vol III, Section 2.0</t>
        </is>
      </c>
      <c r="G22" s="36" t="inlineStr">
        <is>
          <t>Partial</t>
        </is>
      </c>
      <c r="H22" s="37" t="inlineStr">
        <is>
          <t>PM and Tech Lead resumes ready; Deputy PM TBD</t>
        </is>
      </c>
      <c r="I22" s="36" t="inlineStr">
        <is>
          <t>HR/Recruiting</t>
        </is>
      </c>
      <c r="J22" s="38" t="n">
        <v>46133</v>
      </c>
      <c r="K22" s="42">
        <f>IF(G22="Compliant","",IF(AND(G22&lt;&gt;"N/A",TODAY()&gt;J22),"OVERDUE","On track"))</f>
        <v/>
      </c>
    </row>
    <row r="23" ht="30" customHeight="1" s="19">
      <c r="B23" s="36" t="inlineStr">
        <is>
          <t>L-010</t>
        </is>
      </c>
      <c r="C23" s="36" t="inlineStr">
        <is>
          <t>L.5.3.3</t>
        </is>
      </c>
      <c r="D23" s="37" t="inlineStr">
        <is>
          <t>Subcontract Management Plan — Identify major subs; describe oversight and flow-down requirements</t>
        </is>
      </c>
      <c r="E23" s="36" t="inlineStr">
        <is>
          <t>III — Mgmt</t>
        </is>
      </c>
      <c r="F23" s="36" t="inlineStr">
        <is>
          <t>Vol III, Section 3.0</t>
        </is>
      </c>
      <c r="G23" s="36" t="inlineStr">
        <is>
          <t>Compliant</t>
        </is>
      </c>
      <c r="H23" s="37" t="inlineStr">
        <is>
          <t>Teaming agreements executed; flow-downs mapped</t>
        </is>
      </c>
      <c r="I23" s="36" t="inlineStr">
        <is>
          <t>Subcontracts Mgr</t>
        </is>
      </c>
      <c r="J23" s="38" t="n">
        <v>46130</v>
      </c>
      <c r="K23" s="42">
        <f>IF(G23="Compliant","",IF(AND(G23&lt;&gt;"N/A",TODAY()&gt;J23),"OVERDUE","On track"))</f>
        <v/>
      </c>
    </row>
    <row r="24" ht="30" customHeight="1" s="19">
      <c r="B24" s="36" t="inlineStr">
        <is>
          <t>L-011</t>
        </is>
      </c>
      <c r="C24" s="36" t="inlineStr">
        <is>
          <t>L.5.4.1</t>
        </is>
      </c>
      <c r="D24" s="37" t="inlineStr">
        <is>
          <t>Past Performance — 5 relevant contracts within last 5 years; include CPARS ratings and POC info</t>
        </is>
      </c>
      <c r="E24" s="36" t="inlineStr">
        <is>
          <t>IV — PP</t>
        </is>
      </c>
      <c r="F24" s="36" t="inlineStr">
        <is>
          <t>Vol IV, Section 1.0</t>
        </is>
      </c>
      <c r="G24" s="36" t="inlineStr">
        <is>
          <t>Compliant</t>
        </is>
      </c>
      <c r="H24" s="37" t="inlineStr">
        <is>
          <t>5 references selected; questionnaires sent</t>
        </is>
      </c>
      <c r="I24" s="36" t="inlineStr">
        <is>
          <t>BD Lead</t>
        </is>
      </c>
      <c r="J24" s="38" t="n">
        <v>46129</v>
      </c>
      <c r="K24" s="42">
        <f>IF(G24="Compliant","",IF(AND(G24&lt;&gt;"N/A",TODAY()&gt;J24),"OVERDUE","On track"))</f>
        <v/>
      </c>
    </row>
    <row r="25" ht="30" customHeight="1" s="19">
      <c r="B25" s="36" t="inlineStr">
        <is>
          <t>L-012</t>
        </is>
      </c>
      <c r="C25" s="36" t="inlineStr">
        <is>
          <t>L.5.4.2</t>
        </is>
      </c>
      <c r="D25" s="37" t="inlineStr">
        <is>
          <t>Past Performance Questionnaires — Submit PPQ to each reference; provide completed forms in proposal</t>
        </is>
      </c>
      <c r="E25" s="36" t="inlineStr">
        <is>
          <t>IV — PP</t>
        </is>
      </c>
      <c r="F25" s="36" t="inlineStr">
        <is>
          <t>Vol IV, Section 2.0</t>
        </is>
      </c>
      <c r="G25" s="36" t="inlineStr">
        <is>
          <t>Partial</t>
        </is>
      </c>
      <c r="H25" s="37" t="inlineStr">
        <is>
          <t>3 of 5 questionnaires returned; following up on 2</t>
        </is>
      </c>
      <c r="I25" s="36" t="inlineStr">
        <is>
          <t>BD Lead</t>
        </is>
      </c>
      <c r="J25" s="38" t="n">
        <v>46136</v>
      </c>
      <c r="K25" s="42">
        <f>IF(G25="Compliant","",IF(AND(G25&lt;&gt;"N/A",TODAY()&gt;J25),"OVERDUE","On track"))</f>
        <v/>
      </c>
    </row>
    <row r="26" ht="30" customHeight="1" s="19">
      <c r="B26" s="36" t="inlineStr">
        <is>
          <t>L-013</t>
        </is>
      </c>
      <c r="C26" s="36" t="inlineStr">
        <is>
          <t>L.5.5.1</t>
        </is>
      </c>
      <c r="D26" s="37" t="inlineStr">
        <is>
          <t>Cost/Price Volume — Fully loaded labor rates by LCAT; indirect rate build-up; basis of estimate</t>
        </is>
      </c>
      <c r="E26" s="36" t="inlineStr">
        <is>
          <t>V — Cost</t>
        </is>
      </c>
      <c r="F26" s="36" t="inlineStr">
        <is>
          <t>Vol V, Section 1.0</t>
        </is>
      </c>
      <c r="G26" s="36" t="inlineStr">
        <is>
          <t>Compliant</t>
        </is>
      </c>
      <c r="H26" s="37" t="inlineStr">
        <is>
          <t>Rate build-up complete; DCAA-auditable format</t>
        </is>
      </c>
      <c r="I26" s="36" t="inlineStr">
        <is>
          <t>Finance Dir</t>
        </is>
      </c>
      <c r="J26" s="38" t="n">
        <v>46132</v>
      </c>
      <c r="K26" s="42">
        <f>IF(G26="Compliant","",IF(AND(G26&lt;&gt;"N/A",TODAY()&gt;J26),"OVERDUE","On track"))</f>
        <v/>
      </c>
    </row>
    <row r="27" ht="30" customHeight="1" s="19">
      <c r="B27" s="36" t="inlineStr">
        <is>
          <t>L-014</t>
        </is>
      </c>
      <c r="C27" s="36" t="inlineStr">
        <is>
          <t>L.5.5.2</t>
        </is>
      </c>
      <c r="D27" s="37" t="inlineStr">
        <is>
          <t>Subcontractor Pricing — Include sub cost proposals; adequate price competition or cost analysis</t>
        </is>
      </c>
      <c r="E27" s="36" t="inlineStr">
        <is>
          <t>V — Cost</t>
        </is>
      </c>
      <c r="F27" s="36" t="inlineStr">
        <is>
          <t>Vol V, Section 2.0</t>
        </is>
      </c>
      <c r="G27" s="36" t="inlineStr">
        <is>
          <t>Non-Compliant</t>
        </is>
      </c>
      <c r="H27" s="37" t="inlineStr">
        <is>
          <t>Awaiting 2 sub cost proposals; deadline approaching</t>
        </is>
      </c>
      <c r="I27" s="36" t="inlineStr">
        <is>
          <t>Subcontracts Mgr</t>
        </is>
      </c>
      <c r="J27" s="38" t="n">
        <v>46139</v>
      </c>
      <c r="K27" s="42">
        <f>IF(G27="Compliant","",IF(AND(G27&lt;&gt;"N/A",TODAY()&gt;J27),"OVERDUE","On track"))</f>
        <v/>
      </c>
    </row>
    <row r="28" ht="30" customHeight="1" s="19">
      <c r="B28" s="36" t="inlineStr">
        <is>
          <t>L-015</t>
        </is>
      </c>
      <c r="C28" s="36" t="inlineStr">
        <is>
          <t>L.5.6.1</t>
        </is>
      </c>
      <c r="D28" s="37" t="inlineStr">
        <is>
          <t>CDRL Deliverables List — Acknowledge all CDRLs in DD Form 1423; provide delivery schedule</t>
        </is>
      </c>
      <c r="E28" s="36" t="inlineStr">
        <is>
          <t>II — Tech</t>
        </is>
      </c>
      <c r="F28" s="36" t="inlineStr">
        <is>
          <t>Vol II, Appendix A</t>
        </is>
      </c>
      <c r="G28" s="36" t="inlineStr">
        <is>
          <t>Compliant</t>
        </is>
      </c>
      <c r="H28" s="37" t="inlineStr">
        <is>
          <t>All 23 CDRLs mapped and acknowledged</t>
        </is>
      </c>
      <c r="I28" s="36" t="inlineStr">
        <is>
          <t>Tech Writer</t>
        </is>
      </c>
      <c r="J28" s="38" t="n">
        <v>46128</v>
      </c>
      <c r="K28" s="42">
        <f>IF(G28="Compliant","",IF(AND(G28&lt;&gt;"N/A",TODAY()&gt;J28),"OVERDUE","On track"))</f>
        <v/>
      </c>
    </row>
    <row r="29" ht="30" customHeight="1" s="19">
      <c r="B29" s="36" t="inlineStr">
        <is>
          <t>L-016</t>
        </is>
      </c>
      <c r="C29" s="36" t="inlineStr">
        <is>
          <t>L.5.6.2</t>
        </is>
      </c>
      <c r="D29" s="37" t="inlineStr">
        <is>
          <t>DD Form 254 — Security Classification Guide acknowledgment; personnel clearance plan</t>
        </is>
      </c>
      <c r="E29" s="36" t="inlineStr">
        <is>
          <t>I — Admin</t>
        </is>
      </c>
      <c r="F29" s="36" t="inlineStr">
        <is>
          <t>Vol I, Section 3.0</t>
        </is>
      </c>
      <c r="G29" s="36" t="inlineStr">
        <is>
          <t>Compliant</t>
        </is>
      </c>
      <c r="H29" s="37" t="inlineStr">
        <is>
          <t>DD 254 reviewed; FSO coordination complete</t>
        </is>
      </c>
      <c r="I29" s="36" t="inlineStr">
        <is>
          <t>FSO</t>
        </is>
      </c>
      <c r="J29" s="38" t="n">
        <v>46129</v>
      </c>
      <c r="K29" s="42">
        <f>IF(G29="Compliant","",IF(AND(G29&lt;&gt;"N/A",TODAY()&gt;J29),"OVERDUE","On track"))</f>
        <v/>
      </c>
    </row>
    <row r="30" ht="30" customHeight="1" s="19">
      <c r="B30" s="36" t="inlineStr">
        <is>
          <t>L-017</t>
        </is>
      </c>
      <c r="C30" s="36" t="inlineStr">
        <is>
          <t>L.5.7.1</t>
        </is>
      </c>
      <c r="D30" s="37" t="inlineStr">
        <is>
          <t>Small Business Subcontracting Plan — Meet or exceed SB goals per FAR 19.704; include ISR/SSR commitment</t>
        </is>
      </c>
      <c r="E30" s="36" t="inlineStr">
        <is>
          <t>I — Admin</t>
        </is>
      </c>
      <c r="F30" s="36" t="inlineStr">
        <is>
          <t>Vol I, Section 4.0</t>
        </is>
      </c>
      <c r="G30" s="36" t="inlineStr">
        <is>
          <t>Partial</t>
        </is>
      </c>
      <c r="H30" s="37" t="inlineStr">
        <is>
          <t>SB plan at 35% vs 38% target; identifying additional SBs</t>
        </is>
      </c>
      <c r="I30" s="36" t="inlineStr">
        <is>
          <t>SB Liaison</t>
        </is>
      </c>
      <c r="J30" s="38" t="n">
        <v>46134</v>
      </c>
      <c r="K30" s="42">
        <f>IF(G30="Compliant","",IF(AND(G30&lt;&gt;"N/A",TODAY()&gt;J30),"OVERDUE","On track"))</f>
        <v/>
      </c>
    </row>
    <row r="31" ht="30" customHeight="1" s="19">
      <c r="B31" s="36" t="inlineStr">
        <is>
          <t>L-018</t>
        </is>
      </c>
      <c r="C31" s="36" t="inlineStr">
        <is>
          <t>L.5.7.2</t>
        </is>
      </c>
      <c r="D31" s="37" t="inlineStr">
        <is>
          <t>Organizational Conflict of Interest (OCI) — Mitigation plan per FAR 9.5; disclose potential conflicts</t>
        </is>
      </c>
      <c r="E31" s="36" t="inlineStr">
        <is>
          <t>I — Admin</t>
        </is>
      </c>
      <c r="F31" s="36" t="inlineStr">
        <is>
          <t>Vol I, Section 5.0</t>
        </is>
      </c>
      <c r="G31" s="36" t="inlineStr">
        <is>
          <t>N/A</t>
        </is>
      </c>
      <c r="H31" s="37" t="inlineStr">
        <is>
          <t>No OCIs identified; self-certification letter prepared</t>
        </is>
      </c>
      <c r="I31" s="36" t="inlineStr">
        <is>
          <t>Legal</t>
        </is>
      </c>
      <c r="J31" s="38" t="n">
        <v>46128</v>
      </c>
      <c r="K31" s="42">
        <f>IF(G31="Compliant","",IF(AND(G31&lt;&gt;"N/A",TODAY()&gt;J31),"OVERDUE","On track"))</f>
        <v/>
      </c>
    </row>
    <row r="32" ht="30" customHeight="1" s="19">
      <c r="B32" s="36" t="inlineStr">
        <is>
          <t>L-019</t>
        </is>
      </c>
      <c r="C32" s="36" t="inlineStr">
        <is>
          <t>L.5.8.1</t>
        </is>
      </c>
      <c r="D32" s="37" t="inlineStr">
        <is>
          <t>Section 508 Compliance — Describe approach to accessible deliverables per Section 508 of Rehab Act</t>
        </is>
      </c>
      <c r="E32" s="36" t="inlineStr">
        <is>
          <t>II — Tech</t>
        </is>
      </c>
      <c r="F32" s="36" t="inlineStr">
        <is>
          <t>Vol II, Section 6.0</t>
        </is>
      </c>
      <c r="G32" s="36" t="inlineStr">
        <is>
          <t>Compliant</t>
        </is>
      </c>
      <c r="H32" s="37" t="inlineStr">
        <is>
          <t>508 compliance plan based on WCAG 2.1 AA</t>
        </is>
      </c>
      <c r="I32" s="36" t="inlineStr">
        <is>
          <t>IT Lead</t>
        </is>
      </c>
      <c r="J32" s="38" t="n">
        <v>46130</v>
      </c>
      <c r="K32" s="42">
        <f>IF(G32="Compliant","",IF(AND(G32&lt;&gt;"N/A",TODAY()&gt;J32),"OVERDUE","On track"))</f>
        <v/>
      </c>
    </row>
    <row r="33" ht="30" customHeight="1" s="19">
      <c r="B33" s="36" t="inlineStr">
        <is>
          <t>L-020</t>
        </is>
      </c>
      <c r="C33" s="36" t="inlineStr">
        <is>
          <t>L.5.8.2</t>
        </is>
      </c>
      <c r="D33" s="37" t="inlineStr">
        <is>
          <t>Phase-In/Phase-Out Plan — Describe contractor demobilization and data/IP transfer at contract end</t>
        </is>
      </c>
      <c r="E33" s="36" t="inlineStr">
        <is>
          <t>II — Tech</t>
        </is>
      </c>
      <c r="F33" s="36" t="inlineStr">
        <is>
          <t>Vol II, Section 7.0</t>
        </is>
      </c>
      <c r="G33" s="36" t="inlineStr">
        <is>
          <t>Partial</t>
        </is>
      </c>
      <c r="H33" s="37" t="inlineStr">
        <is>
          <t>Phase-out plan outline drafted; detail needed on IP transfer</t>
        </is>
      </c>
      <c r="I33" s="36" t="inlineStr">
        <is>
          <t>PM</t>
        </is>
      </c>
      <c r="J33" s="38" t="n">
        <v>46135</v>
      </c>
      <c r="K33" s="42">
        <f>IF(G33="Compliant","",IF(AND(G33&lt;&gt;"N/A",TODAY()&gt;J33),"OVERDUE","On track"))</f>
        <v/>
      </c>
    </row>
    <row r="36" ht="15" customHeight="1" s="19">
      <c r="B36" s="31" t="inlineStr">
        <is>
          <t>Template by Acqlerate — Defense Acquisitions Academy | www.acqlerate.com</t>
        </is>
      </c>
    </row>
    <row r="37" ht="15" customHeight="1" s="19">
      <c r="B37" s="31" t="inlineStr">
        <is>
          <t>Generated: September 2026 | Updated: FAC 2025-06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4">
    <mergeCell ref="B2:J2"/>
    <mergeCell ref="B5:C5"/>
    <mergeCell ref="B3:J3"/>
    <mergeCell ref="B36:J36"/>
  </mergeCells>
  <conditionalFormatting sqref="G14:G83">
    <cfRule type="cellIs" rank="0" priority="2" equalAverage="0" operator="equal" aboveAverage="0" dxfId="8" text="" percent="0" bottom="0">
      <formula>"Compliant"</formula>
    </cfRule>
    <cfRule type="cellIs" rank="0" priority="3" equalAverage="0" operator="equal" aboveAverage="0" dxfId="9" text="" percent="0" bottom="0">
      <formula>"Partial"</formula>
    </cfRule>
    <cfRule type="cellIs" rank="0" priority="4" equalAverage="0" operator="equal" aboveAverage="0" dxfId="10" text="" percent="0" bottom="0">
      <formula>"Non-Compliant"</formula>
    </cfRule>
  </conditionalFormatting>
  <conditionalFormatting sqref="K14:K33">
    <cfRule type="expression" priority="4" dxfId="11">
      <formula>K14="OVERDUE"</formula>
    </cfRule>
  </conditionalFormatting>
  <dataValidations count="1">
    <dataValidation sqref="G14:G83" showDropDown="0" showInputMessage="0" showErrorMessage="0" allowBlank="1" errorTitle="Invalid Status" error="Please select a valid status" type="list" errorStyle="stop" operator="between">
      <formula1>"Compliant,Partial,Non-Compliant,N/A"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B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8" min="1" max="1"/>
    <col width="90" customWidth="1" style="18" min="2" max="2"/>
  </cols>
  <sheetData>
    <row r="2" ht="30" customHeight="1" s="19">
      <c r="B2" s="32" t="inlineStr">
        <is>
          <t>RFP Compliance Matrix — Instructions</t>
        </is>
      </c>
    </row>
    <row r="4" ht="24.75" customHeight="1" s="19">
      <c r="B4" s="33" t="inlineStr">
        <is>
          <t>Purpose</t>
        </is>
      </c>
    </row>
    <row r="5" ht="45" customHeight="1" s="19">
      <c r="B5" s="34" t="inlineStr">
        <is>
          <t>This compliance matrix ensures your proposal response addresses every requirement in the RFP's Section L (Instructions to Offerors). It maps each requirement to your proposal volume, section, and current compliance status. A complete, accurate compliance matrix is the single most important tool for avoiding non-compliance findings during evaluation.</t>
        </is>
      </c>
    </row>
    <row r="7" ht="24.75" customHeight="1" s="19">
      <c r="B7" s="33" t="inlineStr">
        <is>
          <t>Column Definitions</t>
        </is>
      </c>
    </row>
    <row r="8" ht="45" customHeight="1" s="19">
      <c r="B8" s="35" t="inlineStr">
        <is>
          <t>Req #: A unique identifier for tracking each requirement (e.g., L-001, L-002). Use a consistent numbering scheme that maps to the RFP section structure.</t>
        </is>
      </c>
    </row>
    <row r="9" ht="45" customHeight="1" s="19">
      <c r="B9" s="35" t="inlineStr">
        <is>
          <t>Section L Reference: The specific paragraph or section number from the RFP's Section L where this requirement appears (e.g., L.5.2.1).</t>
        </is>
      </c>
    </row>
    <row r="10" ht="45" customHeight="1" s="19">
      <c r="B10" s="35" t="inlineStr">
        <is>
          <t>Requirement Summary: A concise restatement of the requirement in your own words. Include page limits, format restrictions, and key deliverables specified.</t>
        </is>
      </c>
    </row>
    <row r="11" ht="45" customHeight="1" s="19">
      <c r="B11" s="35" t="inlineStr">
        <is>
          <t>Volume: The proposal volume where this requirement will be addressed (e.g., Volume I — Administrative, Volume II — Technical, Volume III — Management, Volume IV — Past Performance, Volume V — Cost/Price).</t>
        </is>
      </c>
    </row>
    <row r="12" ht="45" customHeight="1" s="19">
      <c r="B12" s="35" t="inlineStr">
        <is>
          <t>Page/Section in Proposal: The exact section and page reference in your proposal where this requirement is addressed. Update as the proposal develops.</t>
        </is>
      </c>
    </row>
    <row r="13" ht="45" customHeight="1" s="19">
      <c r="B13" s="35" t="inlineStr">
        <is>
          <t>Response Status: Current compliance status: Compliant (fully addresses the requirement), Partial (partially addresses; gaps remain), Non-Compliant (does not yet address the requirement), N/A (not applicable to your offer).</t>
        </is>
      </c>
    </row>
    <row r="14" ht="45" customHeight="1" s="19">
      <c r="B14" s="35" t="inlineStr">
        <is>
          <t>Compliance Note: Brief explanation of your compliance approach or identification of gaps. For Partial/Non-Compliant items, describe what is needed to achieve compliance.</t>
        </is>
      </c>
    </row>
    <row r="15" ht="45" customHeight="1" s="19">
      <c r="B15" s="35" t="inlineStr">
        <is>
          <t>Owner: The individual responsible for drafting or completing the response to this requirement.</t>
        </is>
      </c>
    </row>
    <row r="16" ht="45" customHeight="1" s="19">
      <c r="B16" s="35" t="inlineStr">
        <is>
          <t>Due Date: The internal deadline for completing the response to this requirement. Set dates well before the proposal submission deadline.</t>
        </is>
      </c>
    </row>
    <row r="18" ht="24.75" customHeight="1" s="19">
      <c r="B18" s="33" t="inlineStr">
        <is>
          <t>Tips for Avoiding Non-Compliance</t>
        </is>
      </c>
    </row>
    <row r="19" ht="45" customHeight="1" s="19">
      <c r="B19" s="35" t="inlineStr">
        <is>
          <t>1. Start Early: Begin the compliance matrix as soon as the RFP is released. Do not wait for the proposal outline to be complete.</t>
        </is>
      </c>
    </row>
    <row r="20" ht="45" customHeight="1" s="19">
      <c r="B20" s="35" t="inlineStr">
        <is>
          <t>2. Read Section M: Cross-reference Section M (Evaluation Criteria) with Section L. Evaluators score based on M; your proposal must respond to L in a way that maximizes M scores.</t>
        </is>
      </c>
    </row>
    <row r="21" ht="45" customHeight="1" s="19">
      <c r="B21" s="35" t="inlineStr">
        <is>
          <t>3. Use Shredding: Perform a detailed 'RFP shred' — break every sentence in Section L into individual requirements. A single paragraph may contain 3-5 discrete requirements.</t>
        </is>
      </c>
    </row>
    <row r="22" ht="45" customHeight="1" s="19">
      <c r="B22" s="35" t="inlineStr">
        <is>
          <t>4. Track Amendments: Update the matrix whenever an RFP amendment is issued. Amendments frequently change requirements, page limits, or evaluation criteria.</t>
        </is>
      </c>
    </row>
    <row r="23" ht="45" customHeight="1" s="19">
      <c r="B23" s="35" t="inlineStr">
        <is>
          <t>5. Color Review: Conduct color reviews (Pink/Red/Gold) using this matrix as the checklist. Every row should be 'Compliant' before Gold review.</t>
        </is>
      </c>
    </row>
    <row r="24" ht="45" customHeight="1" s="19">
      <c r="B24" s="35" t="inlineStr">
        <is>
          <t>6. Cross-Reference CDRLs: Ensure all Contract Data Requirements List (CDRL) items in Section J are addressed in your technical volume.</t>
        </is>
      </c>
    </row>
    <row r="25" ht="45" customHeight="1" s="19">
      <c r="B25" s="35" t="inlineStr">
        <is>
          <t>7. Compliance = Responsiveness: A non-compliant proposal may be rated 'unacceptable' and eliminated from competition regardless of technical merit. Compliance is non-negotiable.</t>
        </is>
      </c>
    </row>
    <row r="28" ht="15" customHeight="1" s="19">
      <c r="B28" s="31" t="inlineStr">
        <is>
          <t>Template by Acqlerate — Defense Acquisitions Academy | www.acqlerate.com</t>
        </is>
      </c>
    </row>
    <row r="30">
      <c r="B30" s="43" t="inlineStr">
        <is>
          <t>License &amp; Use</t>
        </is>
      </c>
    </row>
    <row r="31">
      <c r="B31" s="44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2026-03-23T14:38:13Z</dcterms:created>
  <dcterms:modified xmlns:dcterms="http://purl.org/dc/terms/" xmlns:xsi="http://www.w3.org/2001/XMLSchema-instance" xsi:type="dcterms:W3CDTF">2026-09-13T10:20:34Z</dcterms:modified>
  <cp:revision>0</cp:revision>
</cp:coreProperties>
</file>