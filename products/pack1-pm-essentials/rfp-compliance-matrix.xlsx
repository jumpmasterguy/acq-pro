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iance Matrix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<sst xmlns="http://schemas.openxmlformats.org/spreadsheetml/2006/main" count="192" uniqueCount="152">
  <si>
    <t xml:space="preserve">RFP Compliance Matrix</t>
  </si>
  <si>
    <t xml:space="preserve">Track Section L requirements against proposal response sections</t>
  </si>
  <si>
    <t xml:space="preserve">Compliance Summary</t>
  </si>
  <si>
    <t xml:space="preserve">Compliant</t>
  </si>
  <si>
    <t xml:space="preserve">Partial</t>
  </si>
  <si>
    <t xml:space="preserve">Non-Compliant</t>
  </si>
  <si>
    <t xml:space="preserve">N/A</t>
  </si>
  <si>
    <t xml:space="preserve">Total Requirements</t>
  </si>
  <si>
    <t xml:space="preserve">L-001</t>
  </si>
  <si>
    <t xml:space="preserve">L.5.1.1</t>
  </si>
  <si>
    <t xml:space="preserve">Cover Letter — Signed by authorized corporate official; identify offeror, CAGE code, DUNS, address, and POC</t>
  </si>
  <si>
    <t xml:space="preserve">I — Admin</t>
  </si>
  <si>
    <t xml:space="preserve">Vol I, Section 1.0</t>
  </si>
  <si>
    <t xml:space="preserve">Cover letter template finalized</t>
  </si>
  <si>
    <t xml:space="preserve">Contracts Mgr</t>
  </si>
  <si>
    <t xml:space="preserve">L-002</t>
  </si>
  <si>
    <t xml:space="preserve">L.5.1.2</t>
  </si>
  <si>
    <t xml:space="preserve">Executive Summary — 5-page maximum; summarize technical approach, relevant experience, and key personnel</t>
  </si>
  <si>
    <t xml:space="preserve">Vol I, Section 2.0</t>
  </si>
  <si>
    <t xml:space="preserve">Draft complete; final review pending</t>
  </si>
  <si>
    <t xml:space="preserve">Capture Lead</t>
  </si>
  <si>
    <t xml:space="preserve">L-003</t>
  </si>
  <si>
    <t xml:space="preserve">L.5.2.1</t>
  </si>
  <si>
    <t xml:space="preserve">Technical Approach — Describe methodology to meet SOW requirements in Section C; include WBS</t>
  </si>
  <si>
    <t xml:space="preserve">II — Tech</t>
  </si>
  <si>
    <t xml:space="preserve">Vol II, Section 1.0</t>
  </si>
  <si>
    <t xml:space="preserve">WBS diagram in progress; narrative 80% complete</t>
  </si>
  <si>
    <t xml:space="preserve">Tech Lead</t>
  </si>
  <si>
    <t xml:space="preserve">L-004</t>
  </si>
  <si>
    <t xml:space="preserve">L.5.2.2</t>
  </si>
  <si>
    <t xml:space="preserve">Systems Engineering Plan — Describe SE processes, tools, and standards (MIL-STD-882E, IEEE 15288)</t>
  </si>
  <si>
    <t xml:space="preserve">Vol II, Section 2.0</t>
  </si>
  <si>
    <t xml:space="preserve">SE plan aligned with customer standards</t>
  </si>
  <si>
    <t xml:space="preserve">Systems Engr</t>
  </si>
  <si>
    <t xml:space="preserve">L-005</t>
  </si>
  <si>
    <t xml:space="preserve">L.5.2.3</t>
  </si>
  <si>
    <t xml:space="preserve">Transition Plan — 90-day transition-in plan with risk mitigation and knowledge transfer approach</t>
  </si>
  <si>
    <t xml:space="preserve">Vol II, Section 3.0</t>
  </si>
  <si>
    <t xml:space="preserve">Transition timeline draft incomplete; need sub input</t>
  </si>
  <si>
    <t xml:space="preserve">PM</t>
  </si>
  <si>
    <t xml:space="preserve">L-006</t>
  </si>
  <si>
    <t xml:space="preserve">L.5.2.4</t>
  </si>
  <si>
    <t xml:space="preserve">Cybersecurity Approach — Describe compliance with NIST 800-171 and CMMC Level 2 requirements</t>
  </si>
  <si>
    <t xml:space="preserve">Vol II, Section 4.0</t>
  </si>
  <si>
    <t xml:space="preserve">CMMC gap analysis underway; SSP in development</t>
  </si>
  <si>
    <t xml:space="preserve">ISSM</t>
  </si>
  <si>
    <t xml:space="preserve">L-007</t>
  </si>
  <si>
    <t xml:space="preserve">L.5.2.5</t>
  </si>
  <si>
    <t xml:space="preserve">Quality Assurance Surveillance Plan (QASP) — Describe QA processes and metrics tracking</t>
  </si>
  <si>
    <t xml:space="preserve">Vol II, Section 5.0</t>
  </si>
  <si>
    <t xml:space="preserve">QASP aligned with PWS performance standards</t>
  </si>
  <si>
    <t xml:space="preserve">QA Lead</t>
  </si>
  <si>
    <t xml:space="preserve">L-008</t>
  </si>
  <si>
    <t xml:space="preserve">L.5.3.1</t>
  </si>
  <si>
    <t xml:space="preserve">Management Approach — Organizational chart, staffing plan, and communication strategy</t>
  </si>
  <si>
    <t xml:space="preserve">III — Mgmt</t>
  </si>
  <si>
    <t xml:space="preserve">Vol III, Section 1.0</t>
  </si>
  <si>
    <t xml:space="preserve">Org chart finalized; staffing plan approved</t>
  </si>
  <si>
    <t xml:space="preserve">L-009</t>
  </si>
  <si>
    <t xml:space="preserve">L.5.3.2</t>
  </si>
  <si>
    <t xml:space="preserve">Key Personnel — Resumes for PM, Deputy PM, Technical Lead; 5-page max per resume</t>
  </si>
  <si>
    <t xml:space="preserve">Vol III, Section 2.0</t>
  </si>
  <si>
    <t xml:space="preserve">PM and Tech Lead resumes ready; Deputy PM TBD</t>
  </si>
  <si>
    <t xml:space="preserve">HR/Recruiting</t>
  </si>
  <si>
    <t xml:space="preserve">L-010</t>
  </si>
  <si>
    <t xml:space="preserve">L.5.3.3</t>
  </si>
  <si>
    <t xml:space="preserve">Subcontract Management Plan — Identify major subs; describe oversight and flow-down requirements</t>
  </si>
  <si>
    <t xml:space="preserve">Vol III, Section 3.0</t>
  </si>
  <si>
    <t xml:space="preserve">Teaming agreements executed; flow-downs mapped</t>
  </si>
  <si>
    <t xml:space="preserve">Subcontracts Mgr</t>
  </si>
  <si>
    <t xml:space="preserve">L-011</t>
  </si>
  <si>
    <t xml:space="preserve">L.5.4.1</t>
  </si>
  <si>
    <t xml:space="preserve">Past Performance — 5 relevant contracts within last 5 years; include CPARS ratings and POC info</t>
  </si>
  <si>
    <t xml:space="preserve">IV — PP</t>
  </si>
  <si>
    <t xml:space="preserve">Vol IV, Section 1.0</t>
  </si>
  <si>
    <t xml:space="preserve">5 references selected; questionnaires sent</t>
  </si>
  <si>
    <t xml:space="preserve">BD Lead</t>
  </si>
  <si>
    <t xml:space="preserve">L-012</t>
  </si>
  <si>
    <t xml:space="preserve">L.5.4.2</t>
  </si>
  <si>
    <t xml:space="preserve">Past Performance Questionnaires — Submit PPQ to each reference; provide completed forms in proposal</t>
  </si>
  <si>
    <t xml:space="preserve">Vol IV, Section 2.0</t>
  </si>
  <si>
    <t xml:space="preserve">3 of 5 questionnaires returned; following up on 2</t>
  </si>
  <si>
    <t xml:space="preserve">L-013</t>
  </si>
  <si>
    <t xml:space="preserve">L.5.5.1</t>
  </si>
  <si>
    <t xml:space="preserve">Cost/Price Volume — Fully loaded labor rates by LCAT; indirect rate build-up; basis of estimate</t>
  </si>
  <si>
    <t xml:space="preserve">V — Cost</t>
  </si>
  <si>
    <t xml:space="preserve">Vol V, Section 1.0</t>
  </si>
  <si>
    <t xml:space="preserve">Rate build-up complete; DCAA-auditable format</t>
  </si>
  <si>
    <t xml:space="preserve">Finance Dir</t>
  </si>
  <si>
    <t xml:space="preserve">L-014</t>
  </si>
  <si>
    <t xml:space="preserve">L.5.5.2</t>
  </si>
  <si>
    <t xml:space="preserve">Subcontractor Pricing — Include sub cost proposals; adequate price competition or cost analysis</t>
  </si>
  <si>
    <t xml:space="preserve">Vol V, Section 2.0</t>
  </si>
  <si>
    <t xml:space="preserve">Awaiting 2 sub cost proposals; deadline approaching</t>
  </si>
  <si>
    <t xml:space="preserve">L-015</t>
  </si>
  <si>
    <t xml:space="preserve">L.5.6.1</t>
  </si>
  <si>
    <t xml:space="preserve">CDRL Deliverables List — Acknowledge all CDRLs in DD Form 1423; provide delivery schedule</t>
  </si>
  <si>
    <t xml:space="preserve">Vol II, Appendix A</t>
  </si>
  <si>
    <t xml:space="preserve">All 23 CDRLs mapped and acknowledged</t>
  </si>
  <si>
    <t xml:space="preserve">Tech Writer</t>
  </si>
  <si>
    <t xml:space="preserve">L-016</t>
  </si>
  <si>
    <t xml:space="preserve">L.5.6.2</t>
  </si>
  <si>
    <t xml:space="preserve">DD Form 254 — Security Classification Guide acknowledgment; personnel clearance plan</t>
  </si>
  <si>
    <t xml:space="preserve">Vol I, Section 3.0</t>
  </si>
  <si>
    <t xml:space="preserve">DD 254 reviewed; FSO coordination complete</t>
  </si>
  <si>
    <t xml:space="preserve">FSO</t>
  </si>
  <si>
    <t xml:space="preserve">L-017</t>
  </si>
  <si>
    <t xml:space="preserve">L.5.7.1</t>
  </si>
  <si>
    <t xml:space="preserve">Small Business Subcontracting Plan — Meet or exceed SB goals per FAR 19.704; include ISR/SSR commitment</t>
  </si>
  <si>
    <t xml:space="preserve">Vol I, Section 4.0</t>
  </si>
  <si>
    <t xml:space="preserve">SB plan at 35% vs 38% target; identifying additional SBs</t>
  </si>
  <si>
    <t xml:space="preserve">SB Liaison</t>
  </si>
  <si>
    <t xml:space="preserve">L-018</t>
  </si>
  <si>
    <t xml:space="preserve">L.5.7.2</t>
  </si>
  <si>
    <t xml:space="preserve">Organizational Conflict of Interest (OCI) — Mitigation plan per FAR 9.5; disclose potential conflicts</t>
  </si>
  <si>
    <t xml:space="preserve">Vol I, Section 5.0</t>
  </si>
  <si>
    <t xml:space="preserve">No OCIs identified; self-certification letter prepared</t>
  </si>
  <si>
    <t xml:space="preserve">Legal</t>
  </si>
  <si>
    <t xml:space="preserve">L-019</t>
  </si>
  <si>
    <t xml:space="preserve">L.5.8.1</t>
  </si>
  <si>
    <t xml:space="preserve">Section 508 Compliance — Describe approach to accessible deliverables per Section 508 of Rehab Act</t>
  </si>
  <si>
    <t xml:space="preserve">Vol II, Section 6.0</t>
  </si>
  <si>
    <t xml:space="preserve">508 compliance plan based on WCAG 2.1 AA</t>
  </si>
  <si>
    <t xml:space="preserve">IT Lead</t>
  </si>
  <si>
    <t xml:space="preserve">L-020</t>
  </si>
  <si>
    <t xml:space="preserve">L.5.8.2</t>
  </si>
  <si>
    <t xml:space="preserve">Phase-In/Phase-Out Plan — Describe contractor demobilization and data/IP transfer at contract end</t>
  </si>
  <si>
    <t xml:space="preserve">Vol II, Section 7.0</t>
  </si>
  <si>
    <t xml:space="preserve">Phase-out plan outline drafted; detail needed on IP transfer</t>
  </si>
  <si>
    <t xml:space="preserve">Template by Acqlerate — Defense Acquisitions Academy | www.acqlerate.com</t>
  </si>
  <si>
    <t xml:space="preserve">Generated: 2026-03-23</t>
  </si>
  <si>
    <t xml:space="preserve">RFP Compliance Matrix — Instructions</t>
  </si>
  <si>
    <t xml:space="preserve">Purpose</t>
  </si>
  <si>
    <t xml:space="preserve">This compliance matrix ensures your proposal response addresses every requirement in the RFP's Section L (Instructions to Offerors). It maps each requirement to your proposal volume, section, and current compliance status. A complete, accurate compliance matrix is the single most important tool for avoiding non-compliance findings during evaluation.</t>
  </si>
  <si>
    <t xml:space="preserve">Column Definitions</t>
  </si>
  <si>
    <t xml:space="preserve">Req #: A unique identifier for tracking each requirement (e.g., L-001, L-002). Use a consistent numbering scheme that maps to the RFP section structure.</t>
  </si>
  <si>
    <t xml:space="preserve">Section L Reference: The specific paragraph or section number from the RFP's Section L where this requirement appears (e.g., L.5.2.1).</t>
  </si>
  <si>
    <t xml:space="preserve">Requirement Summary: A concise restatement of the requirement in your own words. Include page limits, format restrictions, and key deliverables specified.</t>
  </si>
  <si>
    <t xml:space="preserve">Volume: The proposal volume where this requirement will be addressed (e.g., Volume I — Administrative, Volume II — Technical, Volume III — Management, Volume IV — Past Performance, Volume V — Cost/Price).</t>
  </si>
  <si>
    <t xml:space="preserve">Page/Section in Proposal: The exact section and page reference in your proposal where this requirement is addressed. Update as the proposal develops.</t>
  </si>
  <si>
    <t xml:space="preserve">Response Status: Current compliance status: Compliant (fully addresses the requirement), Partial (partially addresses; gaps remain), Non-Compliant (does not yet address the requirement), N/A (not applicable to your offer).</t>
  </si>
  <si>
    <t xml:space="preserve">Compliance Note: Brief explanation of your compliance approach or identification of gaps. For Partial/Non-Compliant items, describe what is needed to achieve compliance.</t>
  </si>
  <si>
    <t xml:space="preserve">Owner: The individual responsible for drafting or completing the response to this requirement.</t>
  </si>
  <si>
    <t xml:space="preserve">Due Date: The internal deadline for completing the response to this requirement. Set dates well before the proposal submission deadline.</t>
  </si>
  <si>
    <t xml:space="preserve">Tips for Avoiding Non-Compliance</t>
  </si>
  <si>
    <t xml:space="preserve">1. Start Early: Begin the compliance matrix as soon as the RFP is released. Do not wait for the proposal outline to be complete.</t>
  </si>
  <si>
    <t xml:space="preserve">2. Read Section M: Cross-reference Section M (Evaluation Criteria) with Section L. Evaluators score based on M; your proposal must respond to L in a way that maximizes M scores.</t>
  </si>
  <si>
    <t xml:space="preserve">3. Use Shredding: Perform a detailed 'RFP shred' — break every sentence in Section L into individual requirements. A single paragraph may contain 3-5 discrete requirements.</t>
  </si>
  <si>
    <t xml:space="preserve">4. Track Amendments: Update the matrix whenever an RFP amendment is issued. Amendments frequently change requirements, page limits, or evaluation criteria.</t>
  </si>
  <si>
    <t xml:space="preserve">5. Color Review: Conduct color reviews (Pink/Red/Gold) using this matrix as the checklist. Every row should be 'Compliant' before Gold review.</t>
  </si>
  <si>
    <t xml:space="preserve">6. Cross-Reference CDRLs: Ensure all Contract Data Requirements List (CDRL) items in Section J are addressed in your technical volume.</t>
  </si>
  <si>
    <t xml:space="preserve">7. Compliance = Responsiveness: A non-compliant proposal may be rated 'unacceptable' and eliminated from competition regardless of technical merit. Compliance is non-negotiable.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</si>
</sst>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D1B2A"/>
      <name val="Arial"/>
      <family val="0"/>
      <charset val="1"/>
    </font>
    <font>
      <i val="true"/>
      <sz val="10"/>
      <color rgb="FF7A7974"/>
      <name val="Arial"/>
      <family val="0"/>
      <charset val="1"/>
    </font>
    <font>
      <b val="true"/>
      <sz val="11"/>
      <color rgb="FF01696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7A7974"/>
      <name val="Arial"/>
      <family val="0"/>
      <charset val="1"/>
    </font>
    <font>
      <b val="true"/>
      <sz val="13"/>
      <color rgb="FF01696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1696F"/>
      <rgbColor rgb="FFC0C0C0"/>
      <rgbColor rgb="FF7A7974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mplianceMatrix" displayName="ComplianceMatrix" ref="B13:J33" headerRowCount="1" totalsRowCount="0" totalsRowShown="0">
  <autoFilter ref="B13:J33"/>
  <tableColumns count="9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35"/>
    <col collapsed="false" customWidth="true" hidden="false" outlineLevel="0" max="9" min="9" style="0" width="16"/>
    <col collapsed="false" customWidth="true" hidden="false" outlineLevel="0" max="10" min="10" style="0" width="14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21.75" hidden="false" customHeight="true" outlineLevel="0" collapsed="false">
      <c r="B5" s="3" t="s">
        <v>2</v>
      </c>
      <c r="C5" s="3"/>
    </row>
    <row r="6" customFormat="false" ht="15" hidden="false" customHeight="false" outlineLevel="0" collapsed="false">
      <c r="B6" s="4" t="s">
        <v>3</v>
      </c>
      <c r="C6" s="5" t="n">
        <f aca="false">COUNTIF(G14:G33,"Compliant")</f>
        <v>11</v>
      </c>
    </row>
    <row r="7" customFormat="false" ht="15" hidden="false" customHeight="false" outlineLevel="0" collapsed="false">
      <c r="B7" s="4" t="s">
        <v>4</v>
      </c>
      <c r="C7" s="6" t="n">
        <f aca="false">COUNTIF(G14:G33,"Partial")</f>
        <v>6</v>
      </c>
    </row>
    <row r="8" customFormat="false" ht="15" hidden="false" customHeight="false" outlineLevel="0" collapsed="false">
      <c r="B8" s="4" t="s">
        <v>5</v>
      </c>
      <c r="C8" s="7" t="n">
        <f aca="false">COUNTIF(G14:G33,"Non-Compliant")</f>
        <v>2</v>
      </c>
    </row>
    <row r="9" customFormat="false" ht="15" hidden="false" customHeight="false" outlineLevel="0" collapsed="false">
      <c r="B9" s="4" t="s">
        <v>6</v>
      </c>
      <c r="C9" s="8" t="n">
        <f aca="false">COUNTIF(G14:G33,"N/A")</f>
        <v>1</v>
      </c>
    </row>
    <row r="10" customFormat="false" ht="15" hidden="false" customHeight="false" outlineLevel="0" collapsed="false">
      <c r="B10" s="4" t="s">
        <v>7</v>
      </c>
      <c r="C10" s="8" t="n">
        <f aca="false">COUNTA(G14:G33)</f>
        <v>20</v>
      </c>
    </row>
    <row r="13" customFormat="false" ht="21.75" hidden="false" customHeight="true" outlineLevel="0" collapsed="false"/>
    <row r="14" customFormat="false" ht="30" hidden="false" customHeight="true" outlineLevel="0" collapsed="false">
      <c r="B14" s="9" t="s">
        <v>8</v>
      </c>
      <c r="C14" s="9" t="s">
        <v>9</v>
      </c>
      <c r="D14" s="10" t="s">
        <v>10</v>
      </c>
      <c r="E14" s="9" t="s">
        <v>11</v>
      </c>
      <c r="F14" s="9" t="s">
        <v>12</v>
      </c>
      <c r="G14" s="9" t="s">
        <v>3</v>
      </c>
      <c r="H14" s="10" t="s">
        <v>13</v>
      </c>
      <c r="I14" s="9" t="s">
        <v>14</v>
      </c>
      <c r="J14" s="11" t="n">
        <v>46132</v>
      </c>
    </row>
    <row r="15" customFormat="false" ht="30" hidden="false" customHeight="true" outlineLevel="0" collapsed="false">
      <c r="B15" s="9" t="s">
        <v>15</v>
      </c>
      <c r="C15" s="9" t="s">
        <v>16</v>
      </c>
      <c r="D15" s="10" t="s">
        <v>17</v>
      </c>
      <c r="E15" s="9" t="s">
        <v>11</v>
      </c>
      <c r="F15" s="9" t="s">
        <v>18</v>
      </c>
      <c r="G15" s="9" t="s">
        <v>3</v>
      </c>
      <c r="H15" s="10" t="s">
        <v>19</v>
      </c>
      <c r="I15" s="9" t="s">
        <v>20</v>
      </c>
      <c r="J15" s="11" t="n">
        <v>46130</v>
      </c>
    </row>
    <row r="16" customFormat="false" ht="30" hidden="false" customHeight="true" outlineLevel="0" collapsed="false">
      <c r="B16" s="9" t="s">
        <v>21</v>
      </c>
      <c r="C16" s="9" t="s">
        <v>22</v>
      </c>
      <c r="D16" s="10" t="s">
        <v>23</v>
      </c>
      <c r="E16" s="9" t="s">
        <v>24</v>
      </c>
      <c r="F16" s="9" t="s">
        <v>25</v>
      </c>
      <c r="G16" s="9" t="s">
        <v>4</v>
      </c>
      <c r="H16" s="10" t="s">
        <v>26</v>
      </c>
      <c r="I16" s="9" t="s">
        <v>27</v>
      </c>
      <c r="J16" s="11" t="n">
        <v>46134</v>
      </c>
    </row>
    <row r="17" customFormat="false" ht="30" hidden="false" customHeight="true" outlineLevel="0" collapsed="false">
      <c r="B17" s="9" t="s">
        <v>28</v>
      </c>
      <c r="C17" s="9" t="s">
        <v>29</v>
      </c>
      <c r="D17" s="10" t="s">
        <v>30</v>
      </c>
      <c r="E17" s="9" t="s">
        <v>24</v>
      </c>
      <c r="F17" s="9" t="s">
        <v>31</v>
      </c>
      <c r="G17" s="9" t="s">
        <v>3</v>
      </c>
      <c r="H17" s="10" t="s">
        <v>32</v>
      </c>
      <c r="I17" s="9" t="s">
        <v>33</v>
      </c>
      <c r="J17" s="11" t="n">
        <v>46129</v>
      </c>
    </row>
    <row r="18" customFormat="false" ht="30" hidden="false" customHeight="true" outlineLevel="0" collapsed="false">
      <c r="B18" s="9" t="s">
        <v>34</v>
      </c>
      <c r="C18" s="9" t="s">
        <v>35</v>
      </c>
      <c r="D18" s="10" t="s">
        <v>36</v>
      </c>
      <c r="E18" s="9" t="s">
        <v>24</v>
      </c>
      <c r="F18" s="9" t="s">
        <v>37</v>
      </c>
      <c r="G18" s="9" t="s">
        <v>5</v>
      </c>
      <c r="H18" s="10" t="s">
        <v>38</v>
      </c>
      <c r="I18" s="9" t="s">
        <v>39</v>
      </c>
      <c r="J18" s="11" t="n">
        <v>46137</v>
      </c>
    </row>
    <row r="19" customFormat="false" ht="30" hidden="false" customHeight="true" outlineLevel="0" collapsed="false">
      <c r="B19" s="9" t="s">
        <v>40</v>
      </c>
      <c r="C19" s="9" t="s">
        <v>41</v>
      </c>
      <c r="D19" s="10" t="s">
        <v>42</v>
      </c>
      <c r="E19" s="9" t="s">
        <v>24</v>
      </c>
      <c r="F19" s="9" t="s">
        <v>43</v>
      </c>
      <c r="G19" s="9" t="s">
        <v>4</v>
      </c>
      <c r="H19" s="10" t="s">
        <v>44</v>
      </c>
      <c r="I19" s="9" t="s">
        <v>45</v>
      </c>
      <c r="J19" s="11" t="n">
        <v>46135</v>
      </c>
    </row>
    <row r="20" customFormat="false" ht="30" hidden="false" customHeight="true" outlineLevel="0" collapsed="false">
      <c r="B20" s="9" t="s">
        <v>46</v>
      </c>
      <c r="C20" s="9" t="s">
        <v>47</v>
      </c>
      <c r="D20" s="10" t="s">
        <v>48</v>
      </c>
      <c r="E20" s="9" t="s">
        <v>24</v>
      </c>
      <c r="F20" s="9" t="s">
        <v>49</v>
      </c>
      <c r="G20" s="9" t="s">
        <v>3</v>
      </c>
      <c r="H20" s="10" t="s">
        <v>50</v>
      </c>
      <c r="I20" s="9" t="s">
        <v>51</v>
      </c>
      <c r="J20" s="11" t="n">
        <v>46128</v>
      </c>
    </row>
    <row r="21" customFormat="false" ht="30" hidden="false" customHeight="true" outlineLevel="0" collapsed="false">
      <c r="B21" s="9" t="s">
        <v>52</v>
      </c>
      <c r="C21" s="9" t="s">
        <v>53</v>
      </c>
      <c r="D21" s="10" t="s">
        <v>54</v>
      </c>
      <c r="E21" s="9" t="s">
        <v>55</v>
      </c>
      <c r="F21" s="9" t="s">
        <v>56</v>
      </c>
      <c r="G21" s="9" t="s">
        <v>3</v>
      </c>
      <c r="H21" s="10" t="s">
        <v>57</v>
      </c>
      <c r="I21" s="9" t="s">
        <v>39</v>
      </c>
      <c r="J21" s="11" t="n">
        <v>46131</v>
      </c>
    </row>
    <row r="22" customFormat="false" ht="30" hidden="false" customHeight="true" outlineLevel="0" collapsed="false">
      <c r="B22" s="9" t="s">
        <v>58</v>
      </c>
      <c r="C22" s="9" t="s">
        <v>59</v>
      </c>
      <c r="D22" s="10" t="s">
        <v>60</v>
      </c>
      <c r="E22" s="9" t="s">
        <v>55</v>
      </c>
      <c r="F22" s="9" t="s">
        <v>61</v>
      </c>
      <c r="G22" s="9" t="s">
        <v>4</v>
      </c>
      <c r="H22" s="10" t="s">
        <v>62</v>
      </c>
      <c r="I22" s="9" t="s">
        <v>63</v>
      </c>
      <c r="J22" s="11" t="n">
        <v>46133</v>
      </c>
    </row>
    <row r="23" customFormat="false" ht="30" hidden="false" customHeight="true" outlineLevel="0" collapsed="false">
      <c r="B23" s="9" t="s">
        <v>64</v>
      </c>
      <c r="C23" s="9" t="s">
        <v>65</v>
      </c>
      <c r="D23" s="10" t="s">
        <v>66</v>
      </c>
      <c r="E23" s="9" t="s">
        <v>55</v>
      </c>
      <c r="F23" s="9" t="s">
        <v>67</v>
      </c>
      <c r="G23" s="9" t="s">
        <v>3</v>
      </c>
      <c r="H23" s="10" t="s">
        <v>68</v>
      </c>
      <c r="I23" s="9" t="s">
        <v>69</v>
      </c>
      <c r="J23" s="11" t="n">
        <v>46130</v>
      </c>
    </row>
    <row r="24" customFormat="false" ht="30" hidden="false" customHeight="true" outlineLevel="0" collapsed="false">
      <c r="B24" s="9" t="s">
        <v>70</v>
      </c>
      <c r="C24" s="9" t="s">
        <v>71</v>
      </c>
      <c r="D24" s="10" t="s">
        <v>72</v>
      </c>
      <c r="E24" s="9" t="s">
        <v>73</v>
      </c>
      <c r="F24" s="9" t="s">
        <v>74</v>
      </c>
      <c r="G24" s="9" t="s">
        <v>3</v>
      </c>
      <c r="H24" s="10" t="s">
        <v>75</v>
      </c>
      <c r="I24" s="9" t="s">
        <v>76</v>
      </c>
      <c r="J24" s="11" t="n">
        <v>46129</v>
      </c>
    </row>
    <row r="25" customFormat="false" ht="30" hidden="false" customHeight="true" outlineLevel="0" collapsed="false">
      <c r="B25" s="9" t="s">
        <v>77</v>
      </c>
      <c r="C25" s="9" t="s">
        <v>78</v>
      </c>
      <c r="D25" s="10" t="s">
        <v>79</v>
      </c>
      <c r="E25" s="9" t="s">
        <v>73</v>
      </c>
      <c r="F25" s="9" t="s">
        <v>80</v>
      </c>
      <c r="G25" s="9" t="s">
        <v>4</v>
      </c>
      <c r="H25" s="10" t="s">
        <v>81</v>
      </c>
      <c r="I25" s="9" t="s">
        <v>76</v>
      </c>
      <c r="J25" s="11" t="n">
        <v>46136</v>
      </c>
    </row>
    <row r="26" customFormat="false" ht="30" hidden="false" customHeight="true" outlineLevel="0" collapsed="false">
      <c r="B26" s="9" t="s">
        <v>82</v>
      </c>
      <c r="C26" s="9" t="s">
        <v>83</v>
      </c>
      <c r="D26" s="10" t="s">
        <v>84</v>
      </c>
      <c r="E26" s="9" t="s">
        <v>85</v>
      </c>
      <c r="F26" s="9" t="s">
        <v>86</v>
      </c>
      <c r="G26" s="9" t="s">
        <v>3</v>
      </c>
      <c r="H26" s="10" t="s">
        <v>87</v>
      </c>
      <c r="I26" s="9" t="s">
        <v>88</v>
      </c>
      <c r="J26" s="11" t="n">
        <v>46132</v>
      </c>
    </row>
    <row r="27" customFormat="false" ht="30" hidden="false" customHeight="true" outlineLevel="0" collapsed="false">
      <c r="B27" s="9" t="s">
        <v>89</v>
      </c>
      <c r="C27" s="9" t="s">
        <v>90</v>
      </c>
      <c r="D27" s="10" t="s">
        <v>91</v>
      </c>
      <c r="E27" s="9" t="s">
        <v>85</v>
      </c>
      <c r="F27" s="9" t="s">
        <v>92</v>
      </c>
      <c r="G27" s="9" t="s">
        <v>5</v>
      </c>
      <c r="H27" s="10" t="s">
        <v>93</v>
      </c>
      <c r="I27" s="9" t="s">
        <v>69</v>
      </c>
      <c r="J27" s="11" t="n">
        <v>46139</v>
      </c>
    </row>
    <row r="28" customFormat="false" ht="30" hidden="false" customHeight="true" outlineLevel="0" collapsed="false">
      <c r="B28" s="9" t="s">
        <v>94</v>
      </c>
      <c r="C28" s="9" t="s">
        <v>95</v>
      </c>
      <c r="D28" s="10" t="s">
        <v>96</v>
      </c>
      <c r="E28" s="9" t="s">
        <v>24</v>
      </c>
      <c r="F28" s="9" t="s">
        <v>97</v>
      </c>
      <c r="G28" s="9" t="s">
        <v>3</v>
      </c>
      <c r="H28" s="10" t="s">
        <v>98</v>
      </c>
      <c r="I28" s="9" t="s">
        <v>99</v>
      </c>
      <c r="J28" s="11" t="n">
        <v>46128</v>
      </c>
    </row>
    <row r="29" customFormat="false" ht="30" hidden="false" customHeight="true" outlineLevel="0" collapsed="false">
      <c r="B29" s="9" t="s">
        <v>100</v>
      </c>
      <c r="C29" s="9" t="s">
        <v>101</v>
      </c>
      <c r="D29" s="10" t="s">
        <v>102</v>
      </c>
      <c r="E29" s="9" t="s">
        <v>11</v>
      </c>
      <c r="F29" s="9" t="s">
        <v>103</v>
      </c>
      <c r="G29" s="9" t="s">
        <v>3</v>
      </c>
      <c r="H29" s="10" t="s">
        <v>104</v>
      </c>
      <c r="I29" s="9" t="s">
        <v>105</v>
      </c>
      <c r="J29" s="11" t="n">
        <v>46129</v>
      </c>
    </row>
    <row r="30" customFormat="false" ht="30" hidden="false" customHeight="true" outlineLevel="0" collapsed="false">
      <c r="B30" s="9" t="s">
        <v>106</v>
      </c>
      <c r="C30" s="9" t="s">
        <v>107</v>
      </c>
      <c r="D30" s="10" t="s">
        <v>108</v>
      </c>
      <c r="E30" s="9" t="s">
        <v>11</v>
      </c>
      <c r="F30" s="9" t="s">
        <v>109</v>
      </c>
      <c r="G30" s="9" t="s">
        <v>4</v>
      </c>
      <c r="H30" s="10" t="s">
        <v>110</v>
      </c>
      <c r="I30" s="9" t="s">
        <v>111</v>
      </c>
      <c r="J30" s="11" t="n">
        <v>46134</v>
      </c>
    </row>
    <row r="31" customFormat="false" ht="30" hidden="false" customHeight="true" outlineLevel="0" collapsed="false">
      <c r="B31" s="9" t="s">
        <v>112</v>
      </c>
      <c r="C31" s="9" t="s">
        <v>113</v>
      </c>
      <c r="D31" s="10" t="s">
        <v>114</v>
      </c>
      <c r="E31" s="9" t="s">
        <v>11</v>
      </c>
      <c r="F31" s="9" t="s">
        <v>115</v>
      </c>
      <c r="G31" s="9" t="s">
        <v>6</v>
      </c>
      <c r="H31" s="10" t="s">
        <v>116</v>
      </c>
      <c r="I31" s="9" t="s">
        <v>117</v>
      </c>
      <c r="J31" s="11" t="n">
        <v>46128</v>
      </c>
    </row>
    <row r="32" customFormat="false" ht="30" hidden="false" customHeight="true" outlineLevel="0" collapsed="false">
      <c r="B32" s="9" t="s">
        <v>118</v>
      </c>
      <c r="C32" s="9" t="s">
        <v>119</v>
      </c>
      <c r="D32" s="10" t="s">
        <v>120</v>
      </c>
      <c r="E32" s="9" t="s">
        <v>24</v>
      </c>
      <c r="F32" s="9" t="s">
        <v>121</v>
      </c>
      <c r="G32" s="9" t="s">
        <v>3</v>
      </c>
      <c r="H32" s="10" t="s">
        <v>122</v>
      </c>
      <c r="I32" s="9" t="s">
        <v>123</v>
      </c>
      <c r="J32" s="11" t="n">
        <v>46130</v>
      </c>
    </row>
    <row r="33" customFormat="false" ht="30" hidden="false" customHeight="true" outlineLevel="0" collapsed="false">
      <c r="B33" s="9" t="s">
        <v>124</v>
      </c>
      <c r="C33" s="9" t="s">
        <v>125</v>
      </c>
      <c r="D33" s="10" t="s">
        <v>126</v>
      </c>
      <c r="E33" s="9" t="s">
        <v>24</v>
      </c>
      <c r="F33" s="9" t="s">
        <v>127</v>
      </c>
      <c r="G33" s="9" t="s">
        <v>4</v>
      </c>
      <c r="H33" s="10" t="s">
        <v>128</v>
      </c>
      <c r="I33" s="9" t="s">
        <v>39</v>
      </c>
      <c r="J33" s="11" t="n">
        <v>46135</v>
      </c>
    </row>
    <row r="36" customFormat="false" ht="15" hidden="false" customHeight="false" outlineLevel="0" collapsed="false">
      <c r="B36" s="12" t="s">
        <v>129</v>
      </c>
      <c r="C36" s="12"/>
      <c r="D36" s="12"/>
      <c r="E36" s="12"/>
      <c r="F36" s="12"/>
      <c r="G36" s="12"/>
      <c r="H36" s="12"/>
      <c r="I36" s="12"/>
      <c r="J36" s="12"/>
    </row>
    <row r="37" customFormat="false" ht="15" hidden="false" customHeight="false" outlineLevel="0" collapsed="false">
      <c r="B37" s="13" t="s">
        <v>130</v>
      </c>
    </row>
  </sheetData>
  <mergeCells count="4">
    <mergeCell ref="B2:J2"/>
    <mergeCell ref="B3:J3"/>
    <mergeCell ref="B5:C5"/>
    <mergeCell ref="B36:J36"/>
  </mergeCells>
  <conditionalFormatting sqref="G14:G83">
    <cfRule type="cellIs" priority="2" operator="equal" aboveAverage="0" equalAverage="0" bottom="0" percent="0" rank="0" text="" dxfId="8">
      <formula>"Compliant"</formula>
    </cfRule>
    <cfRule type="cellIs" priority="3" operator="equal" aboveAverage="0" equalAverage="0" bottom="0" percent="0" rank="0" text="" dxfId="9">
      <formula>"Partial"</formula>
    </cfRule>
    <cfRule type="cellIs" priority="4" operator="equal" aboveAverage="0" equalAverage="0" bottom="0" percent="0" rank="0" text="" dxfId="10">
      <formula>"Non-Compliant"</formula>
    </cfRule>
  </conditionalFormatting>
  <dataValidations count="1">
    <dataValidation allowBlank="true" error="Please select a valid status" errorStyle="stop" errorTitle="Invalid Status" operator="between" showDropDown="false" showErrorMessage="false" showInputMessage="false" sqref="G14:G83" type="list">
      <formula1>"Compliant,Partial,Non-Compliant,N/A"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696F"/>
    <pageSetUpPr fitToPage="false"/>
  </sheetPr>
  <dimension ref="B2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0"/>
  </cols>
  <sheetData>
    <row r="2" customFormat="false" ht="30" hidden="false" customHeight="true" outlineLevel="0" collapsed="false">
      <c r="B2" s="14" t="s">
        <v>131</v>
      </c>
    </row>
    <row r="4" customFormat="false" ht="24.75" hidden="false" customHeight="true" outlineLevel="0" collapsed="false">
      <c r="B4" s="15" t="s">
        <v>132</v>
      </c>
    </row>
    <row r="5" customFormat="false" ht="45" hidden="false" customHeight="true" outlineLevel="0" collapsed="false">
      <c r="B5" s="16" t="s">
        <v>133</v>
      </c>
    </row>
    <row r="7" customFormat="false" ht="24.75" hidden="false" customHeight="true" outlineLevel="0" collapsed="false">
      <c r="B7" s="15" t="s">
        <v>134</v>
      </c>
    </row>
    <row r="8" customFormat="false" ht="45" hidden="false" customHeight="true" outlineLevel="0" collapsed="false">
      <c r="B8" s="17" t="s">
        <v>135</v>
      </c>
    </row>
    <row r="9" customFormat="false" ht="45" hidden="false" customHeight="true" outlineLevel="0" collapsed="false">
      <c r="B9" s="17" t="s">
        <v>136</v>
      </c>
    </row>
    <row r="10" customFormat="false" ht="45" hidden="false" customHeight="true" outlineLevel="0" collapsed="false">
      <c r="B10" s="17" t="s">
        <v>137</v>
      </c>
    </row>
    <row r="11" customFormat="false" ht="45" hidden="false" customHeight="true" outlineLevel="0" collapsed="false">
      <c r="B11" s="17" t="s">
        <v>138</v>
      </c>
    </row>
    <row r="12" customFormat="false" ht="45" hidden="false" customHeight="true" outlineLevel="0" collapsed="false">
      <c r="B12" s="17" t="s">
        <v>139</v>
      </c>
    </row>
    <row r="13" customFormat="false" ht="45" hidden="false" customHeight="true" outlineLevel="0" collapsed="false">
      <c r="B13" s="17" t="s">
        <v>140</v>
      </c>
    </row>
    <row r="14" customFormat="false" ht="45" hidden="false" customHeight="true" outlineLevel="0" collapsed="false">
      <c r="B14" s="17" t="s">
        <v>141</v>
      </c>
    </row>
    <row r="15" customFormat="false" ht="45" hidden="false" customHeight="true" outlineLevel="0" collapsed="false">
      <c r="B15" s="17" t="s">
        <v>142</v>
      </c>
    </row>
    <row r="16" customFormat="false" ht="45" hidden="false" customHeight="true" outlineLevel="0" collapsed="false">
      <c r="B16" s="17" t="s">
        <v>143</v>
      </c>
    </row>
    <row r="18" customFormat="false" ht="24.75" hidden="false" customHeight="true" outlineLevel="0" collapsed="false">
      <c r="B18" s="15" t="s">
        <v>144</v>
      </c>
    </row>
    <row r="19" customFormat="false" ht="45" hidden="false" customHeight="true" outlineLevel="0" collapsed="false">
      <c r="B19" s="17" t="s">
        <v>145</v>
      </c>
    </row>
    <row r="20" customFormat="false" ht="45" hidden="false" customHeight="true" outlineLevel="0" collapsed="false">
      <c r="B20" s="17" t="s">
        <v>146</v>
      </c>
    </row>
    <row r="21" customFormat="false" ht="45" hidden="false" customHeight="true" outlineLevel="0" collapsed="false">
      <c r="B21" s="17" t="s">
        <v>147</v>
      </c>
    </row>
    <row r="22" customFormat="false" ht="45" hidden="false" customHeight="true" outlineLevel="0" collapsed="false">
      <c r="B22" s="17" t="s">
        <v>148</v>
      </c>
    </row>
    <row r="23" customFormat="false" ht="45" hidden="false" customHeight="true" outlineLevel="0" collapsed="false">
      <c r="B23" s="17" t="s">
        <v>149</v>
      </c>
    </row>
    <row r="24" customFormat="false" ht="45" hidden="false" customHeight="true" outlineLevel="0" collapsed="false">
      <c r="B24" s="17" t="s">
        <v>150</v>
      </c>
    </row>
    <row r="25" customFormat="false" ht="45" hidden="false" customHeight="true" outlineLevel="0" collapsed="false">
      <c r="B25" s="17" t="s">
        <v>151</v>
      </c>
    </row>
    <row r="28" customFormat="false" ht="15" hidden="false" customHeight="false" outlineLevel="0" collapsed="false">
      <c r="B28" s="13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2026-03-23T14:38:13Z</dcterms:created>
  <dc:creator>openpyxl</dc:creator>
  <dc:description/>
  <dc:language>en-US</dc:language>
  <cp:lastModifiedBy/>
  <dcterms:modified xsi:type="dcterms:W3CDTF">2026-03-23T14:38:13Z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