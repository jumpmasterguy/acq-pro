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Matrix Char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6"/>
    </font>
    <font>
      <name val="Arial"/>
      <charset val="1"/>
      <family val="0"/>
      <i val="1"/>
      <color rgb="FF7A7974"/>
      <sz val="10"/>
    </font>
    <font>
      <name val="Arial"/>
      <charset val="1"/>
      <family val="0"/>
      <b val="1"/>
      <color rgb="FF01696F"/>
      <sz val="11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7A7974"/>
      <sz val="8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6100"/>
      <sz val="14"/>
    </font>
    <font>
      <name val="Arial"/>
      <charset val="1"/>
      <family val="0"/>
      <b val="1"/>
      <color rgb="FF9C6500"/>
      <sz val="14"/>
    </font>
    <font>
      <name val="Arial"/>
      <charset val="1"/>
      <family val="0"/>
      <b val="1"/>
      <color rgb="FF9C0006"/>
      <sz val="14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9C6500"/>
      <sz val="10"/>
    </font>
    <font>
      <name val="Arial"/>
      <charset val="1"/>
      <family val="0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0D1B2A"/>
        <bgColor rgb="FF0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97D"/>
          <bgColor rgb="FF000000"/>
        </patternFill>
      </fill>
    </dxf>
    <dxf>
      <fill>
        <patternFill patternType="solid">
          <fgColor rgb="FFD8DF81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CA577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FE082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BFBFBF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iskRegister" displayName="RiskRegister" ref="B15:O30" headerRowCount="1" totalsRowCount="0" totalsRowShown="0">
  <autoFilter ref="B15:O30"/>
  <tableColumns count="14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26" min="1" max="1"/>
    <col width="10" customWidth="1" style="26" min="2" max="2"/>
    <col width="22" customWidth="1" style="26" min="3" max="3"/>
    <col width="14" customWidth="1" style="26" min="4" max="4"/>
    <col width="40" customWidth="1" style="26" min="5" max="5"/>
    <col width="14" customWidth="1" style="26" min="6" max="6"/>
    <col width="12" customWidth="1" style="26" min="7" max="9"/>
    <col width="35" customWidth="1" style="26" min="10" max="10"/>
    <col width="30" customWidth="1" style="26" min="11" max="11"/>
    <col width="16" customWidth="1" style="26" min="12" max="12"/>
    <col width="14" customWidth="1" style="26" min="13" max="13"/>
    <col width="12" customWidth="1" style="26" min="14" max="14"/>
    <col width="14" customWidth="1" style="26" min="15" max="15"/>
  </cols>
  <sheetData>
    <row r="1"/>
    <row r="2" ht="30" customHeight="1" s="27">
      <c r="B2" s="28" t="inlineStr">
        <is>
          <t>DoD Program Risk Register</t>
        </is>
      </c>
    </row>
    <row r="3" ht="15" customHeight="1" s="27">
      <c r="B3" s="29" t="inlineStr">
        <is>
          <t>Track, assess, and mitigate program risks per DoD Risk Management Framework</t>
        </is>
      </c>
    </row>
    <row r="4"/>
    <row r="5" ht="15" customHeight="1" s="27">
      <c r="B5" s="30" t="inlineStr">
        <is>
          <t>Risk Summary</t>
        </is>
      </c>
    </row>
    <row r="6" ht="15" customHeight="1" s="27">
      <c r="B6" s="31" t="inlineStr">
        <is>
          <t>By Risk Level</t>
        </is>
      </c>
      <c r="E6" s="31" t="inlineStr">
        <is>
          <t>By Category</t>
        </is>
      </c>
      <c r="H6" s="31" t="inlineStr">
        <is>
          <t>By Status</t>
        </is>
      </c>
    </row>
    <row r="7" ht="15" customHeight="1" s="27">
      <c r="B7" s="32" t="inlineStr">
        <is>
          <t>HIGH</t>
        </is>
      </c>
      <c r="C7" s="33">
        <f>COUNTIF(I16:I30,"HIGH")</f>
        <v/>
      </c>
      <c r="E7" s="34" t="inlineStr">
        <is>
          <t>Technical</t>
        </is>
      </c>
      <c r="F7" s="33">
        <f>COUNTIF(D16:D30,"Technical")</f>
        <v/>
      </c>
      <c r="H7" s="34" t="inlineStr">
        <is>
          <t>Open</t>
        </is>
      </c>
      <c r="I7" s="33">
        <f>COUNTIF(N16:N30,"Open")</f>
        <v/>
      </c>
    </row>
    <row r="8" ht="15" customHeight="1" s="27">
      <c r="B8" s="35" t="inlineStr">
        <is>
          <t>MEDIUM</t>
        </is>
      </c>
      <c r="C8" s="33">
        <f>COUNTIF(I16:I30,"MEDIUM")</f>
        <v/>
      </c>
      <c r="E8" s="34" t="inlineStr">
        <is>
          <t>Schedule</t>
        </is>
      </c>
      <c r="F8" s="33">
        <f>COUNTIF(D16:D30,"Schedule")</f>
        <v/>
      </c>
      <c r="H8" s="34" t="inlineStr">
        <is>
          <t>Mitigated</t>
        </is>
      </c>
      <c r="I8" s="33">
        <f>COUNTIF(N16:N30,"Mitigated")</f>
        <v/>
      </c>
    </row>
    <row r="9" ht="15" customHeight="1" s="27">
      <c r="B9" s="36" t="inlineStr">
        <is>
          <t>LOW</t>
        </is>
      </c>
      <c r="C9" s="33">
        <f>COUNTIF(I16:I30,"LOW")</f>
        <v/>
      </c>
      <c r="E9" s="34" t="inlineStr">
        <is>
          <t>Cost</t>
        </is>
      </c>
      <c r="F9" s="33">
        <f>COUNTIF(D16:D30,"Cost")</f>
        <v/>
      </c>
      <c r="H9" s="34" t="inlineStr">
        <is>
          <t>Closed</t>
        </is>
      </c>
      <c r="I9" s="33">
        <f>COUNTIF(N16:N30,"Closed")</f>
        <v/>
      </c>
    </row>
    <row r="10" ht="15" customHeight="1" s="27">
      <c r="E10" s="34" t="inlineStr">
        <is>
          <t>External</t>
        </is>
      </c>
      <c r="F10" s="33">
        <f>COUNTIF(D16:D30,"External")</f>
        <v/>
      </c>
      <c r="H10" s="34" t="inlineStr">
        <is>
          <t>Accepted</t>
        </is>
      </c>
      <c r="I10" s="33">
        <f>COUNTIF(N16:N30,"Accepted")</f>
        <v/>
      </c>
    </row>
    <row r="11" ht="15" customHeight="1" s="27">
      <c r="E11" s="34" t="inlineStr">
        <is>
          <t>Programmatic</t>
        </is>
      </c>
      <c r="F11" s="33">
        <f>COUNTIF(D16:D30,"Programmatic")</f>
        <v/>
      </c>
    </row>
    <row r="12"/>
    <row r="13"/>
    <row r="14"/>
    <row r="15"/>
    <row r="16" ht="49.5" customHeight="1" s="27">
      <c r="B16" s="37" t="inlineStr">
        <is>
          <t>R-001</t>
        </is>
      </c>
      <c r="C16" s="38" t="inlineStr">
        <is>
          <t>Software Integration Failure</t>
        </is>
      </c>
      <c r="D16" s="37" t="inlineStr">
        <is>
          <t>Technical</t>
        </is>
      </c>
      <c r="E16" s="39" t="inlineStr">
        <is>
          <t>Integration of legacy C4ISR systems with new cloud-based architecture may fail due to incompatible interfaces and undocumented APIs</t>
        </is>
      </c>
      <c r="F16" s="37" t="n">
        <v>4</v>
      </c>
      <c r="G16" s="37" t="n">
        <v>5</v>
      </c>
      <c r="H16" s="40">
        <f>F16*G16</f>
        <v/>
      </c>
      <c r="I16" s="40">
        <f>IF(H16&gt;=15,"HIGH",IF(H16&gt;=8,"MEDIUM","LOW"))</f>
        <v/>
      </c>
      <c r="J16" s="39" t="inlineStr">
        <is>
          <t>Conduct early integration testing in sprint 2; establish interface control documents (ICDs) before CDR</t>
        </is>
      </c>
      <c r="K16" s="39" t="inlineStr">
        <is>
          <t>Revert to point-to-point integration with middleware adapter layer</t>
        </is>
      </c>
      <c r="L16" s="37" t="inlineStr">
        <is>
          <t>Systems Engineer</t>
        </is>
      </c>
      <c r="M16" s="41" t="n">
        <v>46134</v>
      </c>
      <c r="N16" s="37" t="inlineStr">
        <is>
          <t>Open</t>
        </is>
      </c>
      <c r="O16" s="41" t="n">
        <v>46104</v>
      </c>
    </row>
    <row r="17" ht="49.5" customHeight="1" s="27">
      <c r="B17" s="37" t="inlineStr">
        <is>
          <t>R-002</t>
        </is>
      </c>
      <c r="C17" s="38" t="inlineStr">
        <is>
          <t>Key Personnel Departure</t>
        </is>
      </c>
      <c r="D17" s="37" t="inlineStr">
        <is>
          <t>Programmatic</t>
        </is>
      </c>
      <c r="E17" s="39" t="inlineStr">
        <is>
          <t>Program Manager or Technical Lead may depart during performance period, causing knowledge loss and schedule delays</t>
        </is>
      </c>
      <c r="F17" s="37" t="n">
        <v>3</v>
      </c>
      <c r="G17" s="37" t="n">
        <v>4</v>
      </c>
      <c r="H17" s="40">
        <f>F17*G17</f>
        <v/>
      </c>
      <c r="I17" s="40">
        <f>IF(H17&gt;=15,"HIGH",IF(H17&gt;=8,"MEDIUM","LOW"))</f>
        <v/>
      </c>
      <c r="J17" s="39" t="inlineStr">
        <is>
          <t>Cross-train deputy PM; maintain knowledge repository; include retention incentives in compensation plan</t>
        </is>
      </c>
      <c r="K17" s="39" t="inlineStr">
        <is>
          <t>Activate pre-identified replacement from bench; execute 30-day transition plan</t>
        </is>
      </c>
      <c r="L17" s="37" t="inlineStr">
        <is>
          <t>HR Director</t>
        </is>
      </c>
      <c r="M17" s="41" t="n">
        <v>46164</v>
      </c>
      <c r="N17" s="37" t="inlineStr">
        <is>
          <t>Open</t>
        </is>
      </c>
      <c r="O17" s="41" t="n">
        <v>46104</v>
      </c>
    </row>
    <row r="18" ht="49.5" customHeight="1" s="27">
      <c r="B18" s="37" t="inlineStr">
        <is>
          <t>R-003</t>
        </is>
      </c>
      <c r="C18" s="38" t="inlineStr">
        <is>
          <t>Requirements Creep</t>
        </is>
      </c>
      <c r="D18" s="37" t="inlineStr">
        <is>
          <t>Schedule</t>
        </is>
      </c>
      <c r="E18" s="39" t="inlineStr">
        <is>
          <t>Government may issue numerous contract modifications expanding scope without proportional schedule/cost adjustments</t>
        </is>
      </c>
      <c r="F18" s="37" t="n">
        <v>4</v>
      </c>
      <c r="G18" s="37" t="n">
        <v>4</v>
      </c>
      <c r="H18" s="40">
        <f>F18*G18</f>
        <v/>
      </c>
      <c r="I18" s="40">
        <f>IF(H18&gt;=15,"HIGH",IF(H18&gt;=8,"MEDIUM","LOW"))</f>
        <v/>
      </c>
      <c r="J18" s="39" t="inlineStr">
        <is>
          <t>Establish formal change control board; track all requirements changes against baseline; negotiate equitable adjustments promptly</t>
        </is>
      </c>
      <c r="K18" s="39" t="inlineStr">
        <is>
          <t>Invoke REA process; request stop-work on unfunded requirements until modification is executed</t>
        </is>
      </c>
      <c r="L18" s="37" t="inlineStr">
        <is>
          <t>PM</t>
        </is>
      </c>
      <c r="M18" s="41" t="n">
        <v>46149</v>
      </c>
      <c r="N18" s="37" t="inlineStr">
        <is>
          <t>Open</t>
        </is>
      </c>
      <c r="O18" s="41" t="n">
        <v>46104</v>
      </c>
    </row>
    <row r="19" ht="49.5" customHeight="1" s="27">
      <c r="B19" s="37" t="inlineStr">
        <is>
          <t>R-004</t>
        </is>
      </c>
      <c r="C19" s="38" t="inlineStr">
        <is>
          <t>Funding Shortfall / CR Impact</t>
        </is>
      </c>
      <c r="D19" s="37" t="inlineStr">
        <is>
          <t>Cost</t>
        </is>
      </c>
      <c r="E19" s="39" t="inlineStr">
        <is>
          <t>Continuing Resolution or sequestration may reduce available program funding below planned obligation levels</t>
        </is>
      </c>
      <c r="F19" s="37" t="n">
        <v>3</v>
      </c>
      <c r="G19" s="37" t="n">
        <v>5</v>
      </c>
      <c r="H19" s="40">
        <f>F19*G19</f>
        <v/>
      </c>
      <c r="I19" s="40">
        <f>IF(H19&gt;=15,"HIGH",IF(H19&gt;=8,"MEDIUM","LOW"))</f>
        <v/>
      </c>
      <c r="J19" s="39" t="inlineStr">
        <is>
          <t>Maintain prioritized requirements backlog; identify minimum viable capability set; coordinate with PEO on funding alternatives</t>
        </is>
      </c>
      <c r="K19" s="39" t="inlineStr">
        <is>
          <t>Descope optional CLINs; defer non-critical deliverables to subsequent option years</t>
        </is>
      </c>
      <c r="L19" s="37" t="inlineStr">
        <is>
          <t>Finance Director</t>
        </is>
      </c>
      <c r="M19" s="41" t="n">
        <v>46194</v>
      </c>
      <c r="N19" s="37" t="inlineStr">
        <is>
          <t>Open</t>
        </is>
      </c>
      <c r="O19" s="41" t="n">
        <v>46104</v>
      </c>
    </row>
    <row r="20" ht="49.5" customHeight="1" s="27">
      <c r="B20" s="37" t="inlineStr">
        <is>
          <t>R-005</t>
        </is>
      </c>
      <c r="C20" s="38" t="inlineStr">
        <is>
          <t>Subcontractor Performance</t>
        </is>
      </c>
      <c r="D20" s="37" t="inlineStr">
        <is>
          <t>External</t>
        </is>
      </c>
      <c r="E20" s="39" t="inlineStr">
        <is>
          <t>Critical subcontractor (cybersecurity toolset provider) may fail to deliver on schedule or meet quality standards</t>
        </is>
      </c>
      <c r="F20" s="37" t="n">
        <v>3</v>
      </c>
      <c r="G20" s="37" t="n">
        <v>4</v>
      </c>
      <c r="H20" s="40">
        <f>F20*G20</f>
        <v/>
      </c>
      <c r="I20" s="40">
        <f>IF(H20&gt;=15,"HIGH",IF(H20&gt;=8,"MEDIUM","LOW"))</f>
        <v/>
      </c>
      <c r="J20" s="39" t="inlineStr">
        <is>
          <t>Conduct monthly sub performance reviews; include liquidated damages clause; maintain qualified alternate vendor list</t>
        </is>
      </c>
      <c r="K20" s="39" t="inlineStr">
        <is>
          <t>Activate alternate vendor under pre-negotiated teaming agreement; absorb initial ramp-up costs</t>
        </is>
      </c>
      <c r="L20" s="37" t="inlineStr">
        <is>
          <t>Subcontracts Mgr</t>
        </is>
      </c>
      <c r="M20" s="41" t="n">
        <v>46134</v>
      </c>
      <c r="N20" s="37" t="inlineStr">
        <is>
          <t>Open</t>
        </is>
      </c>
      <c r="O20" s="41" t="n">
        <v>46104</v>
      </c>
    </row>
    <row r="21" ht="49.5" customHeight="1" s="27">
      <c r="B21" s="37" t="inlineStr">
        <is>
          <t>R-006</t>
        </is>
      </c>
      <c r="C21" s="38" t="inlineStr">
        <is>
          <t>CMMC Certification Delay</t>
        </is>
      </c>
      <c r="D21" s="37" t="inlineStr">
        <is>
          <t>External</t>
        </is>
      </c>
      <c r="E21" s="39" t="inlineStr">
        <is>
          <t>CMMC Phase 1 (self-assessment, Level 2) is active as of Nov 10, 2025. Phase 2 requires a C3PAO third-party assessment, mandatory by Nov 10, 2026. Organization must complete C3PAO assessment before Phase 2 deadline to remain eligible for DoD contracts involving CUI.</t>
        </is>
      </c>
      <c r="F21" s="37" t="n">
        <v>2</v>
      </c>
      <c r="G21" s="37" t="n">
        <v>5</v>
      </c>
      <c r="H21" s="40">
        <f>F21*G21</f>
        <v/>
      </c>
      <c r="I21" s="40">
        <f>IF(H21&gt;=15,"HIGH",IF(H21&gt;=8,"MEDIUM","LOW"))</f>
        <v/>
      </c>
      <c r="J21" s="39" t="inlineStr">
        <is>
          <t>Complete CMMC Level 2 self-assessment (Phase 1) immediately; remediate any POA&amp;M gaps. Engage accredited C3PAO assessor NLT Q1 2026 to schedule Phase 2 assessment before the Nov 10, 2026 mandatory deadline. Track via CMMC AB Marketplace.</t>
        </is>
      </c>
      <c r="K21" s="39" t="inlineStr">
        <is>
          <t>If C3PAO assessment cannot be completed before Nov 10, 2026, consult CO on contract impact and explore interim authorization options; ensure SPRS score reflects current NIST 800-171 implementation posture.</t>
        </is>
      </c>
      <c r="L21" s="37" t="inlineStr">
        <is>
          <t>ISSM</t>
        </is>
      </c>
      <c r="M21" s="41" t="n">
        <v>46224</v>
      </c>
      <c r="N21" s="37" t="inlineStr">
        <is>
          <t>Mitigated</t>
        </is>
      </c>
      <c r="O21" s="41" t="n">
        <v>46104</v>
      </c>
    </row>
    <row r="22" ht="49.5" customHeight="1" s="27">
      <c r="B22" s="37" t="inlineStr">
        <is>
          <t>R-007</t>
        </is>
      </c>
      <c r="C22" s="38" t="inlineStr">
        <is>
          <t>Test Environment Unavailability</t>
        </is>
      </c>
      <c r="D22" s="37" t="inlineStr">
        <is>
          <t>Technical</t>
        </is>
      </c>
      <c r="E22" s="39" t="inlineStr">
        <is>
          <t>Government-furnished test range or lab environment may not be available during scheduled test windows</t>
        </is>
      </c>
      <c r="F22" s="37" t="n">
        <v>3</v>
      </c>
      <c r="G22" s="37" t="n">
        <v>3</v>
      </c>
      <c r="H22" s="40">
        <f>F22*G22</f>
        <v/>
      </c>
      <c r="I22" s="40">
        <f>IF(H22&gt;=15,"HIGH",IF(H22&gt;=8,"MEDIUM","LOW"))</f>
        <v/>
      </c>
      <c r="J22" s="39" t="inlineStr">
        <is>
          <t>Reserve test windows 90 days in advance; develop simulation environment for initial testing; coordinate with range scheduling office</t>
        </is>
      </c>
      <c r="K22" s="39" t="inlineStr">
        <is>
          <t>Use contractor lab environment with government-approved test procedures; reschedule to next available window</t>
        </is>
      </c>
      <c r="L22" s="37" t="inlineStr">
        <is>
          <t>Test Director</t>
        </is>
      </c>
      <c r="M22" s="41" t="n">
        <v>46149</v>
      </c>
      <c r="N22" s="37" t="inlineStr">
        <is>
          <t>Open</t>
        </is>
      </c>
      <c r="O22" s="41" t="n">
        <v>46104</v>
      </c>
    </row>
    <row r="23" ht="49.5" customHeight="1" s="27">
      <c r="B23" s="37" t="inlineStr">
        <is>
          <t>R-008</t>
        </is>
      </c>
      <c r="C23" s="38" t="inlineStr">
        <is>
          <t>Data Rights Dispute</t>
        </is>
      </c>
      <c r="D23" s="37" t="inlineStr">
        <is>
          <t>Programmatic</t>
        </is>
      </c>
      <c r="E23" s="39" t="inlineStr">
        <is>
          <t>Disagreement with government over technical data rights (DFARS 252.227-7013) may delay deliverable acceptance</t>
        </is>
      </c>
      <c r="F23" s="37" t="n">
        <v>2</v>
      </c>
      <c r="G23" s="37" t="n">
        <v>4</v>
      </c>
      <c r="H23" s="40">
        <f>F23*G23</f>
        <v/>
      </c>
      <c r="I23" s="40">
        <f>IF(H23&gt;=15,"HIGH",IF(H23&gt;=8,"MEDIUM","LOW"))</f>
        <v/>
      </c>
      <c r="J23" s="39" t="inlineStr">
        <is>
          <t>Document all data rights assertions in proposal; maintain IP development records; engage legal counsel early</t>
        </is>
      </c>
      <c r="K23" s="39" t="inlineStr">
        <is>
          <t>Negotiate limited rights license; escalate to CO for determination; consider ASBCA claim if unresolved</t>
        </is>
      </c>
      <c r="L23" s="37" t="inlineStr">
        <is>
          <t>Legal Counsel</t>
        </is>
      </c>
      <c r="M23" s="41" t="n">
        <v>46164</v>
      </c>
      <c r="N23" s="37" t="inlineStr">
        <is>
          <t>Accepted</t>
        </is>
      </c>
      <c r="O23" s="41" t="n">
        <v>46104</v>
      </c>
    </row>
    <row r="24" ht="49.5" customHeight="1" s="27">
      <c r="B24" s="37" t="inlineStr">
        <is>
          <t>R-009</t>
        </is>
      </c>
      <c r="C24" s="38" t="inlineStr">
        <is>
          <t>EVM Compliance Gaps</t>
        </is>
      </c>
      <c r="D24" s="37" t="inlineStr">
        <is>
          <t>Cost</t>
        </is>
      </c>
      <c r="E24" s="39" t="inlineStr">
        <is>
          <t>Earned Value Management System may not meet ANSI/EIA-748 standards, resulting in DCMA surveillance findings</t>
        </is>
      </c>
      <c r="F24" s="37" t="n">
        <v>2</v>
      </c>
      <c r="G24" s="37" t="n">
        <v>3</v>
      </c>
      <c r="H24" s="40">
        <f>F24*G24</f>
        <v/>
      </c>
      <c r="I24" s="40">
        <f>IF(H24&gt;=15,"HIGH",IF(H24&gt;=8,"MEDIUM","LOW"))</f>
        <v/>
      </c>
      <c r="J24" s="39" t="inlineStr">
        <is>
          <t>Conduct EVMS self-assessment; train all CAMs on EVM procedures; schedule pre-IBR dry run</t>
        </is>
      </c>
      <c r="K24" s="39" t="inlineStr">
        <is>
          <t>Engage EVM consultant for remediation; request corrective action timeline extension from DCMA</t>
        </is>
      </c>
      <c r="L24" s="37" t="inlineStr">
        <is>
          <t>Finance Director</t>
        </is>
      </c>
      <c r="M24" s="41" t="n">
        <v>46134</v>
      </c>
      <c r="N24" s="37" t="inlineStr">
        <is>
          <t>Mitigated</t>
        </is>
      </c>
      <c r="O24" s="41" t="n">
        <v>46104</v>
      </c>
    </row>
    <row r="25" ht="49.5" customHeight="1" s="27">
      <c r="B25" s="37" t="inlineStr">
        <is>
          <t>R-010</t>
        </is>
      </c>
      <c r="C25" s="38" t="inlineStr">
        <is>
          <t>Supply Chain Disruption</t>
        </is>
      </c>
      <c r="D25" s="37" t="inlineStr">
        <is>
          <t>External</t>
        </is>
      </c>
      <c r="E25" s="39" t="inlineStr">
        <is>
          <t>Critical hardware components (FPGA chips, ruggedized servers) may face extended lead times exceeding 6 months</t>
        </is>
      </c>
      <c r="F25" s="37" t="n">
        <v>4</v>
      </c>
      <c r="G25" s="37" t="n">
        <v>3</v>
      </c>
      <c r="H25" s="40">
        <f>F25*G25</f>
        <v/>
      </c>
      <c r="I25" s="40">
        <f>IF(H25&gt;=15,"HIGH",IF(H25&gt;=8,"MEDIUM","LOW"))</f>
        <v/>
      </c>
      <c r="J25" s="39" t="inlineStr">
        <is>
          <t>Order long-lead items at contract award; qualify multiple vendors; maintain safety stock for critical components</t>
        </is>
      </c>
      <c r="K25" s="39" t="inlineStr">
        <is>
          <t>Redesign with available commercial alternatives; negotiate schedule relief through REA</t>
        </is>
      </c>
      <c r="L25" s="37" t="inlineStr">
        <is>
          <t>Logistics Mgr</t>
        </is>
      </c>
      <c r="M25" s="41" t="n">
        <v>46119</v>
      </c>
      <c r="N25" s="37" t="inlineStr">
        <is>
          <t>Open</t>
        </is>
      </c>
      <c r="O25" s="41" t="n">
        <v>46104</v>
      </c>
    </row>
    <row r="26" ht="49.5" customHeight="1" s="27">
      <c r="B26" s="37" t="inlineStr">
        <is>
          <t>R-011</t>
        </is>
      </c>
      <c r="C26" s="38" t="inlineStr">
        <is>
          <t>Clearance Processing Delays</t>
        </is>
      </c>
      <c r="D26" s="37" t="inlineStr">
        <is>
          <t>Schedule</t>
        </is>
      </c>
      <c r="E26" s="39" t="inlineStr">
        <is>
          <t>Personnel security clearance investigations may exceed expected timelines, delaying staffing of classified positions</t>
        </is>
      </c>
      <c r="F26" s="37" t="n">
        <v>3</v>
      </c>
      <c r="G26" s="37" t="n">
        <v>3</v>
      </c>
      <c r="H26" s="40">
        <f>F26*G26</f>
        <v/>
      </c>
      <c r="I26" s="40">
        <f>IF(H26&gt;=15,"HIGH",IF(H26&gt;=8,"MEDIUM","LOW"))</f>
        <v/>
      </c>
      <c r="J26" s="39" t="inlineStr">
        <is>
          <t>Submit clearance requests immediately upon contract award; utilize interim clearances where permissible; pre-identify cleared alternates</t>
        </is>
      </c>
      <c r="K26" s="39" t="inlineStr">
        <is>
          <t>Assign cleared personnel from other programs temporarily; adjust task sequencing to prioritize unclassified work</t>
        </is>
      </c>
      <c r="L26" s="37" t="inlineStr">
        <is>
          <t>FSO</t>
        </is>
      </c>
      <c r="M26" s="41" t="n">
        <v>46134</v>
      </c>
      <c r="N26" s="37" t="inlineStr">
        <is>
          <t>Open</t>
        </is>
      </c>
      <c r="O26" s="41" t="n">
        <v>46104</v>
      </c>
    </row>
    <row r="27" ht="49.5" customHeight="1" s="27">
      <c r="B27" s="37" t="inlineStr">
        <is>
          <t>R-012</t>
        </is>
      </c>
      <c r="C27" s="38" t="inlineStr">
        <is>
          <t>Technical Debt Accumulation</t>
        </is>
      </c>
      <c r="D27" s="37" t="inlineStr">
        <is>
          <t>Technical</t>
        </is>
      </c>
      <c r="E27" s="39" t="inlineStr">
        <is>
          <t>Aggressive delivery schedule may force shortcuts in code quality, increasing defect rates and long-term maintenance costs</t>
        </is>
      </c>
      <c r="F27" s="37" t="n">
        <v>3</v>
      </c>
      <c r="G27" s="37" t="n">
        <v>3</v>
      </c>
      <c r="H27" s="40">
        <f>F27*G27</f>
        <v/>
      </c>
      <c r="I27" s="40">
        <f>IF(H27&gt;=15,"HIGH",IF(H27&gt;=8,"MEDIUM","LOW"))</f>
        <v/>
      </c>
      <c r="J27" s="39" t="inlineStr">
        <is>
          <t>Allocate 20% sprint capacity for refactoring; enforce code review gates; track technical debt backlog</t>
        </is>
      </c>
      <c r="K27" s="39" t="inlineStr">
        <is>
          <t>Dedicate full sprint to debt reduction when defect rate exceeds threshold; engage additional developers</t>
        </is>
      </c>
      <c r="L27" s="37" t="inlineStr">
        <is>
          <t>Tech Lead</t>
        </is>
      </c>
      <c r="M27" s="41" t="n">
        <v>46164</v>
      </c>
      <c r="N27" s="37" t="inlineStr">
        <is>
          <t>Open</t>
        </is>
      </c>
      <c r="O27" s="41" t="n">
        <v>46104</v>
      </c>
    </row>
    <row r="28" ht="49.5" customHeight="1" s="27">
      <c r="B28" s="37" t="inlineStr">
        <is>
          <t>R-013</t>
        </is>
      </c>
      <c r="C28" s="38" t="inlineStr">
        <is>
          <t>Government Stakeholder Turnover</t>
        </is>
      </c>
      <c r="D28" s="37" t="inlineStr">
        <is>
          <t>Programmatic</t>
        </is>
      </c>
      <c r="E28" s="39" t="inlineStr">
        <is>
          <t>COR or program office key personnel may rotate, requiring re-education and potentially changing program priorities</t>
        </is>
      </c>
      <c r="F28" s="37" t="n">
        <v>3</v>
      </c>
      <c r="G28" s="37" t="n">
        <v>2</v>
      </c>
      <c r="H28" s="40">
        <f>F28*G28</f>
        <v/>
      </c>
      <c r="I28" s="40">
        <f>IF(H28&gt;=15,"HIGH",IF(H28&gt;=8,"MEDIUM","LOW"))</f>
        <v/>
      </c>
      <c r="J28" s="39" t="inlineStr">
        <is>
          <t>Maintain comprehensive program documentation; build relationships across the program office; brief incoming personnel proactively</t>
        </is>
      </c>
      <c r="K28" s="39" t="inlineStr">
        <is>
          <t>Request transition meeting with outgoing/incoming COR; provide program status briefing package</t>
        </is>
      </c>
      <c r="L28" s="37" t="inlineStr">
        <is>
          <t>PM</t>
        </is>
      </c>
      <c r="M28" s="41" t="n">
        <v>46194</v>
      </c>
      <c r="N28" s="37" t="inlineStr">
        <is>
          <t>Accepted</t>
        </is>
      </c>
      <c r="O28" s="41" t="n">
        <v>46104</v>
      </c>
    </row>
    <row r="29" ht="49.5" customHeight="1" s="27">
      <c r="B29" s="37" t="inlineStr">
        <is>
          <t>R-014</t>
        </is>
      </c>
      <c r="C29" s="38" t="inlineStr">
        <is>
          <t>Protest Delays Contract Start</t>
        </is>
      </c>
      <c r="D29" s="37" t="inlineStr">
        <is>
          <t>Schedule</t>
        </is>
      </c>
      <c r="E29" s="39" t="inlineStr">
        <is>
          <t>Losing offeror may file GAO protest, delaying contract award by 60-100 days and compressing performance schedule</t>
        </is>
      </c>
      <c r="F29" s="37" t="n">
        <v>2</v>
      </c>
      <c r="G29" s="37" t="n">
        <v>4</v>
      </c>
      <c r="H29" s="40">
        <f>F29*G29</f>
        <v/>
      </c>
      <c r="I29" s="40">
        <f>IF(H29&gt;=15,"HIGH",IF(H29&gt;=8,"MEDIUM","LOW"))</f>
        <v/>
      </c>
      <c r="J29" s="39" t="inlineStr">
        <is>
          <t>Build schedule float into early milestones; prepare mobilization plan executable on short notice; maintain team availability during protest</t>
        </is>
      </c>
      <c r="K29" s="39" t="inlineStr">
        <is>
          <t>Compress initial transition period; request schedule adjustment through contract modification</t>
        </is>
      </c>
      <c r="L29" s="37" t="inlineStr">
        <is>
          <t>PM</t>
        </is>
      </c>
      <c r="M29" s="41" t="n">
        <v>46119</v>
      </c>
      <c r="N29" s="37" t="inlineStr">
        <is>
          <t>Open</t>
        </is>
      </c>
      <c r="O29" s="41" t="n">
        <v>46104</v>
      </c>
    </row>
    <row r="30" ht="49.5" customHeight="1" s="27">
      <c r="B30" s="37" t="inlineStr">
        <is>
          <t>R-015</t>
        </is>
      </c>
      <c r="C30" s="38" t="inlineStr">
        <is>
          <t>Nunn-McCurdy Breach Risk</t>
        </is>
      </c>
      <c r="D30" s="37" t="inlineStr">
        <is>
          <t>Cost</t>
        </is>
      </c>
      <c r="E30" s="39" t="inlineStr">
        <is>
          <t>Program cost growth may approach Nunn-McCurdy unit cost thresholds, triggering Congressional notification and potential cancellation review</t>
        </is>
      </c>
      <c r="F30" s="37" t="n">
        <v>1</v>
      </c>
      <c r="G30" s="37" t="n">
        <v>5</v>
      </c>
      <c r="H30" s="40">
        <f>F30*G30</f>
        <v/>
      </c>
      <c r="I30" s="40">
        <f>IF(H30&gt;=15,"HIGH",IF(H30&gt;=8,"MEDIUM","LOW"))</f>
        <v/>
      </c>
      <c r="J30" s="39" t="inlineStr">
        <is>
          <t>Monitor unit cost trends monthly against APB thresholds; report cost variances exceeding 5% immediately to PEO</t>
        </is>
      </c>
      <c r="K30" s="39" t="inlineStr">
        <is>
          <t>Prepare program restructure brief; identify cost reduction opportunities; coordinate with CAPE for independent cost estimate</t>
        </is>
      </c>
      <c r="L30" s="37" t="inlineStr">
        <is>
          <t>Finance Director</t>
        </is>
      </c>
      <c r="M30" s="41" t="n">
        <v>46194</v>
      </c>
      <c r="N30" s="37" t="inlineStr">
        <is>
          <t>Open</t>
        </is>
      </c>
      <c r="O30" s="41" t="n">
        <v>46104</v>
      </c>
    </row>
    <row r="31"/>
    <row r="32"/>
    <row r="33" ht="15" customHeight="1" s="27">
      <c r="B33" s="42" t="inlineStr">
        <is>
          <t>Template by Acqlerate — Defense Acquisitions Academy | www.acqlerate.com</t>
        </is>
      </c>
    </row>
  </sheetData>
  <mergeCells count="3">
    <mergeCell ref="B33:O33"/>
    <mergeCell ref="B3:O3"/>
    <mergeCell ref="B2:O2"/>
  </mergeCells>
  <conditionalFormatting sqref="H16:H3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6:I30">
    <cfRule type="cellIs" rank="0" priority="3" equalAverage="0" operator="equal" aboveAverage="0" dxfId="17" text="" percent="0" bottom="0">
      <formula>"HIGH"</formula>
    </cfRule>
    <cfRule type="cellIs" rank="0" priority="4" equalAverage="0" operator="equal" aboveAverage="0" dxfId="18" text="" percent="0" bottom="0">
      <formula>"MEDIUM"</formula>
    </cfRule>
    <cfRule type="cellIs" rank="0" priority="5" equalAverage="0" operator="equal" aboveAverage="0" dxfId="19" text="" percent="0" bottom="0">
      <formula>"LOW"</formula>
    </cfRule>
  </conditionalFormatting>
  <dataValidations count="3">
    <dataValidation sqref="D16:D80" showDropDown="0" showInputMessage="0" showErrorMessage="0" allowBlank="1" type="list" errorStyle="stop" operator="between">
      <formula1>"Technical,Schedule,Cost,External,Programmatic"</formula1>
      <formula2>0</formula2>
    </dataValidation>
    <dataValidation sqref="F16:G80" showDropDown="0" showInputMessage="0" showErrorMessage="0" allowBlank="0" type="whole" errorStyle="stop" operator="between">
      <formula1>1</formula1>
      <formula2>5</formula2>
    </dataValidation>
    <dataValidation sqref="N16:N80" showDropDown="0" showInputMessage="0" showErrorMessage="0" allowBlank="1" type="list" errorStyle="stop" operator="between">
      <formula1>"Open,Mitigated,Closed,Accepted"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26" min="1" max="1"/>
    <col width="26" customWidth="1" style="26" min="2" max="2"/>
    <col width="16" customWidth="1" style="26" min="3" max="7"/>
  </cols>
  <sheetData>
    <row r="1"/>
    <row r="2" ht="30" customHeight="1" s="27">
      <c r="B2" s="43" t="inlineStr">
        <is>
          <t>5×5 Probability / Impact Risk Matrix</t>
        </is>
      </c>
    </row>
    <row r="3" ht="15" customHeight="1" s="27">
      <c r="B3" s="29" t="inlineStr">
        <is>
          <t>Risk Score = Probability × Impact | GREEN ≤7 (LOW) | YELLOW 8-14 (MEDIUM) | RED ≥15 (HIGH)</t>
        </is>
      </c>
    </row>
    <row r="4"/>
    <row r="5" ht="15" customHeight="1" s="27">
      <c r="B5" s="44" t="inlineStr">
        <is>
          <t>Probability ↓  /  Impact →</t>
        </is>
      </c>
      <c r="C5" s="45" t="inlineStr">
        <is>
          <t>1 — Negligible</t>
        </is>
      </c>
      <c r="D5" s="45" t="inlineStr">
        <is>
          <t>2 — Minor</t>
        </is>
      </c>
      <c r="E5" s="45" t="inlineStr">
        <is>
          <t>3 — Moderate</t>
        </is>
      </c>
      <c r="F5" s="45" t="inlineStr">
        <is>
          <t>4 — Significant</t>
        </is>
      </c>
      <c r="G5" s="45" t="inlineStr">
        <is>
          <t>5 — Critical</t>
        </is>
      </c>
    </row>
    <row r="6" ht="34.5" customHeight="1" s="27">
      <c r="B6" s="45" t="inlineStr">
        <is>
          <t>5 — Almost Certain</t>
        </is>
      </c>
      <c r="C6" s="46" t="n">
        <v>5</v>
      </c>
      <c r="D6" s="47" t="n">
        <v>10</v>
      </c>
      <c r="E6" s="48" t="n">
        <v>15</v>
      </c>
      <c r="F6" s="48" t="n">
        <v>20</v>
      </c>
      <c r="G6" s="48" t="n">
        <v>25</v>
      </c>
    </row>
    <row r="7" ht="34.5" customHeight="1" s="27">
      <c r="B7" s="45" t="inlineStr">
        <is>
          <t>4 — Likely</t>
        </is>
      </c>
      <c r="C7" s="46" t="n">
        <v>4</v>
      </c>
      <c r="D7" s="47" t="n">
        <v>8</v>
      </c>
      <c r="E7" s="47" t="n">
        <v>12</v>
      </c>
      <c r="F7" s="48" t="n">
        <v>16</v>
      </c>
      <c r="G7" s="48" t="n">
        <v>20</v>
      </c>
    </row>
    <row r="8" ht="34.5" customHeight="1" s="27">
      <c r="B8" s="45" t="inlineStr">
        <is>
          <t>3 — Possible</t>
        </is>
      </c>
      <c r="C8" s="46" t="n">
        <v>3</v>
      </c>
      <c r="D8" s="46" t="n">
        <v>6</v>
      </c>
      <c r="E8" s="47" t="n">
        <v>9</v>
      </c>
      <c r="F8" s="47" t="n">
        <v>12</v>
      </c>
      <c r="G8" s="48" t="n">
        <v>15</v>
      </c>
    </row>
    <row r="9" ht="34.5" customHeight="1" s="27">
      <c r="B9" s="45" t="inlineStr">
        <is>
          <t>2 — Unlikely</t>
        </is>
      </c>
      <c r="C9" s="46" t="n">
        <v>2</v>
      </c>
      <c r="D9" s="46" t="n">
        <v>4</v>
      </c>
      <c r="E9" s="46" t="n">
        <v>6</v>
      </c>
      <c r="F9" s="47" t="n">
        <v>8</v>
      </c>
      <c r="G9" s="47" t="n">
        <v>10</v>
      </c>
    </row>
    <row r="10" ht="34.5" customHeight="1" s="27">
      <c r="B10" s="45" t="inlineStr">
        <is>
          <t>1 — Rare</t>
        </is>
      </c>
      <c r="C10" s="46" t="n">
        <v>1</v>
      </c>
      <c r="D10" s="46" t="n">
        <v>2</v>
      </c>
      <c r="E10" s="46" t="n">
        <v>3</v>
      </c>
      <c r="F10" s="46" t="n">
        <v>4</v>
      </c>
      <c r="G10" s="46" t="n">
        <v>5</v>
      </c>
    </row>
    <row r="11"/>
    <row r="12"/>
    <row r="13" ht="15" customHeight="1" s="27">
      <c r="B13" s="30" t="inlineStr">
        <is>
          <t>Legend</t>
        </is>
      </c>
    </row>
    <row r="14" ht="24.75" customHeight="1" s="27">
      <c r="B14" s="49" t="inlineStr">
        <is>
          <t>HIGH (≥15)</t>
        </is>
      </c>
      <c r="C14" s="38" t="inlineStr">
        <is>
          <t>Unacceptable risk — requires immediate mitigation action and leadership attention</t>
        </is>
      </c>
    </row>
    <row r="15" ht="24.75" customHeight="1" s="27">
      <c r="B15" s="50" t="inlineStr">
        <is>
          <t>MEDIUM (8-14)</t>
        </is>
      </c>
      <c r="C15" s="38" t="inlineStr">
        <is>
          <t>Elevated risk — requires active monitoring and mitigation planning</t>
        </is>
      </c>
    </row>
    <row r="16" ht="24.75" customHeight="1" s="27">
      <c r="B16" s="51" t="inlineStr">
        <is>
          <t>LOW (≤7)</t>
        </is>
      </c>
      <c r="C16" s="38" t="inlineStr">
        <is>
          <t>Acceptable risk — monitor periodically; no immediate action required</t>
        </is>
      </c>
    </row>
    <row r="17"/>
    <row r="18"/>
    <row r="19" ht="15" customHeight="1" s="27">
      <c r="B19" s="42" t="inlineStr">
        <is>
          <t>Template by Acqlerate — Defense Acquisitions Academy | www.acqlerate.com</t>
        </is>
      </c>
    </row>
  </sheetData>
  <mergeCells count="6">
    <mergeCell ref="B3:G3"/>
    <mergeCell ref="B2:G2"/>
    <mergeCell ref="B19:G19"/>
    <mergeCell ref="C16:G16"/>
    <mergeCell ref="C15:G15"/>
    <mergeCell ref="C14:G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2026-03-23T14:38:14Z</dcterms:created>
  <dcterms:modified xmlns:dcterms="http://purl.org/dc/terms/" xmlns:xsi="http://www.w3.org/2001/XMLSchema-instance" xsi:type="dcterms:W3CDTF">2026-04-01T18:08:00Z</dcterms:modified>
  <cp:revision>0</cp:revision>
</cp:coreProperties>
</file>