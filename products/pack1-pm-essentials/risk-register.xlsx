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Register" sheetId="1" state="visible" r:id="rId3"/>
    <sheet name="Risk Matrix Char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<sst xmlns="http://schemas.openxmlformats.org/spreadsheetml/2006/main" count="160" uniqueCount="125">
  <si>
    <t xml:space="preserve">DoD Program Risk Register</t>
  </si>
  <si>
    <t xml:space="preserve">Track, assess, and mitigate program risks per DoD Risk Management Framework</t>
  </si>
  <si>
    <t xml:space="preserve">Risk Summary</t>
  </si>
  <si>
    <t xml:space="preserve">By Risk Level</t>
  </si>
  <si>
    <t xml:space="preserve">By Category</t>
  </si>
  <si>
    <t xml:space="preserve">By Status</t>
  </si>
  <si>
    <t xml:space="preserve">HIGH</t>
  </si>
  <si>
    <t xml:space="preserve">Technical</t>
  </si>
  <si>
    <t xml:space="preserve">Open</t>
  </si>
  <si>
    <t xml:space="preserve">MEDIUM</t>
  </si>
  <si>
    <t xml:space="preserve">Schedule</t>
  </si>
  <si>
    <t xml:space="preserve">Mitigated</t>
  </si>
  <si>
    <t xml:space="preserve">LOW</t>
  </si>
  <si>
    <t xml:space="preserve">Cost</t>
  </si>
  <si>
    <t xml:space="preserve">Closed</t>
  </si>
  <si>
    <t xml:space="preserve">External</t>
  </si>
  <si>
    <t xml:space="preserve">Accepted</t>
  </si>
  <si>
    <t xml:space="preserve">Programmatic</t>
  </si>
  <si>
    <t xml:space="preserve">R-001</t>
  </si>
  <si>
    <t xml:space="preserve">Software Integration Failure</t>
  </si>
  <si>
    <t xml:space="preserve">Integration of legacy C4ISR systems with new cloud-based architecture may fail due to incompatible interfaces and undocumented APIs</t>
  </si>
  <si>
    <t xml:space="preserve">Conduct early integration testing in sprint 2; establish interface control documents (ICDs) before CDR</t>
  </si>
  <si>
    <t xml:space="preserve">Revert to point-to-point integration with middleware adapter layer</t>
  </si>
  <si>
    <t xml:space="preserve">Systems Engineer</t>
  </si>
  <si>
    <t xml:space="preserve">R-002</t>
  </si>
  <si>
    <t xml:space="preserve">Key Personnel Departure</t>
  </si>
  <si>
    <t xml:space="preserve">Program Manager or Technical Lead may depart during performance period, causing knowledge loss and schedule delays</t>
  </si>
  <si>
    <t xml:space="preserve">Cross-train deputy PM; maintain knowledge repository; include retention incentives in compensation plan</t>
  </si>
  <si>
    <t xml:space="preserve">Activate pre-identified replacement from bench; execute 30-day transition plan</t>
  </si>
  <si>
    <t xml:space="preserve">HR Director</t>
  </si>
  <si>
    <t xml:space="preserve">R-003</t>
  </si>
  <si>
    <t xml:space="preserve">Requirements Creep</t>
  </si>
  <si>
    <t xml:space="preserve">Government may issue numerous contract modifications expanding scope without proportional schedule/cost adjustments</t>
  </si>
  <si>
    <t xml:space="preserve">Establish formal change control board; track all requirements changes against baseline; negotiate equitable adjustments promptly</t>
  </si>
  <si>
    <t xml:space="preserve">Invoke REA process; request stop-work on unfunded requirements until modification is executed</t>
  </si>
  <si>
    <t xml:space="preserve">PM</t>
  </si>
  <si>
    <t xml:space="preserve">R-004</t>
  </si>
  <si>
    <t xml:space="preserve">Funding Shortfall / CR Impact</t>
  </si>
  <si>
    <t xml:space="preserve">Continuing Resolution or sequestration may reduce available program funding below planned obligation levels</t>
  </si>
  <si>
    <t xml:space="preserve">Maintain prioritized requirements backlog; identify minimum viable capability set; coordinate with PEO on funding alternatives</t>
  </si>
  <si>
    <t xml:space="preserve">Descope optional CLINs; defer non-critical deliverables to subsequent option years</t>
  </si>
  <si>
    <t xml:space="preserve">Finance Director</t>
  </si>
  <si>
    <t xml:space="preserve">R-005</t>
  </si>
  <si>
    <t xml:space="preserve">Subcontractor Performance</t>
  </si>
  <si>
    <t xml:space="preserve">Critical subcontractor (cybersecurity toolset provider) may fail to deliver on schedule or meet quality standards</t>
  </si>
  <si>
    <t xml:space="preserve">Conduct monthly sub performance reviews; include liquidated damages clause; maintain qualified alternate vendor list</t>
  </si>
  <si>
    <t xml:space="preserve">Activate alternate vendor under pre-negotiated teaming agreement; absorb initial ramp-up costs</t>
  </si>
  <si>
    <t xml:space="preserve">Subcontracts Mgr</t>
  </si>
  <si>
    <t xml:space="preserve">R-006</t>
  </si>
  <si>
    <t xml:space="preserve">CMMC Certification Delay</t>
  </si>
  <si>
    <t xml:space="preserve">Organization may not achieve CMMC Level 2 certification before contract start date, jeopardizing eligibility</t>
  </si>
  <si>
    <t xml:space="preserve">Engage C3PAO assessor 6 months before deadline; conduct internal readiness assessment; remediate POA&amp;M items</t>
  </si>
  <si>
    <t xml:space="preserve">Request government waiver for delayed certification with remediation timeline; implement interim NIST 800-171 controls</t>
  </si>
  <si>
    <t xml:space="preserve">ISSM</t>
  </si>
  <si>
    <t xml:space="preserve">R-007</t>
  </si>
  <si>
    <t xml:space="preserve">Test Environment Unavailability</t>
  </si>
  <si>
    <t xml:space="preserve">Government-furnished test range or lab environment may not be available during scheduled test windows</t>
  </si>
  <si>
    <t xml:space="preserve">Reserve test windows 90 days in advance; develop simulation environment for initial testing; coordinate with range scheduling office</t>
  </si>
  <si>
    <t xml:space="preserve">Use contractor lab environment with government-approved test procedures; reschedule to next available window</t>
  </si>
  <si>
    <t xml:space="preserve">Test Director</t>
  </si>
  <si>
    <t xml:space="preserve">R-008</t>
  </si>
  <si>
    <t xml:space="preserve">Data Rights Dispute</t>
  </si>
  <si>
    <t xml:space="preserve">Disagreement with government over technical data rights (DFARS 252.227-7013) may delay deliverable acceptance</t>
  </si>
  <si>
    <t xml:space="preserve">Document all data rights assertions in proposal; maintain IP development records; engage legal counsel early</t>
  </si>
  <si>
    <t xml:space="preserve">Negotiate limited rights license; escalate to CO for determination; consider ASBCA claim if unresolved</t>
  </si>
  <si>
    <t xml:space="preserve">Legal Counsel</t>
  </si>
  <si>
    <t xml:space="preserve">R-009</t>
  </si>
  <si>
    <t xml:space="preserve">EVM Compliance Gaps</t>
  </si>
  <si>
    <t xml:space="preserve">Earned Value Management System may not meet ANSI/EIA-748 standards, resulting in DCMA surveillance findings</t>
  </si>
  <si>
    <t xml:space="preserve">Conduct EVMS self-assessment; train all CAMs on EVM procedures; schedule pre-IBR dry run</t>
  </si>
  <si>
    <t xml:space="preserve">Engage EVM consultant for remediation; request corrective action timeline extension from DCMA</t>
  </si>
  <si>
    <t xml:space="preserve">R-010</t>
  </si>
  <si>
    <t xml:space="preserve">Supply Chain Disruption</t>
  </si>
  <si>
    <t xml:space="preserve">Critical hardware components (FPGA chips, ruggedized servers) may face extended lead times exceeding 6 months</t>
  </si>
  <si>
    <t xml:space="preserve">Order long-lead items at contract award; qualify multiple vendors; maintain safety stock for critical components</t>
  </si>
  <si>
    <t xml:space="preserve">Redesign with available commercial alternatives; negotiate schedule relief through REA</t>
  </si>
  <si>
    <t xml:space="preserve">Logistics Mgr</t>
  </si>
  <si>
    <t xml:space="preserve">R-011</t>
  </si>
  <si>
    <t xml:space="preserve">Clearance Processing Delays</t>
  </si>
  <si>
    <t xml:space="preserve">Personnel security clearance investigations may exceed expected timelines, delaying staffing of classified positions</t>
  </si>
  <si>
    <t xml:space="preserve">Submit clearance requests immediately upon contract award; utilize interim clearances where permissible; pre-identify cleared alternates</t>
  </si>
  <si>
    <t xml:space="preserve">Assign cleared personnel from other programs temporarily; adjust task sequencing to prioritize unclassified work</t>
  </si>
  <si>
    <t xml:space="preserve">FSO</t>
  </si>
  <si>
    <t xml:space="preserve">R-012</t>
  </si>
  <si>
    <t xml:space="preserve">Technical Debt Accumulation</t>
  </si>
  <si>
    <t xml:space="preserve">Aggressive delivery schedule may force shortcuts in code quality, increasing defect rates and long-term maintenance costs</t>
  </si>
  <si>
    <t xml:space="preserve">Allocate 20% sprint capacity for refactoring; enforce code review gates; track technical debt backlog</t>
  </si>
  <si>
    <t xml:space="preserve">Dedicate full sprint to debt reduction when defect rate exceeds threshold; engage additional developers</t>
  </si>
  <si>
    <t xml:space="preserve">Tech Lead</t>
  </si>
  <si>
    <t xml:space="preserve">R-013</t>
  </si>
  <si>
    <t xml:space="preserve">Government Stakeholder Turnover</t>
  </si>
  <si>
    <t xml:space="preserve">COR or program office key personnel may rotate, requiring re-education and potentially changing program priorities</t>
  </si>
  <si>
    <t xml:space="preserve">Maintain comprehensive program documentation; build relationships across the program office; brief incoming personnel proactively</t>
  </si>
  <si>
    <t xml:space="preserve">Request transition meeting with outgoing/incoming COR; provide program status briefing package</t>
  </si>
  <si>
    <t xml:space="preserve">R-014</t>
  </si>
  <si>
    <t xml:space="preserve">Protest Delays Contract Start</t>
  </si>
  <si>
    <t xml:space="preserve">Losing offeror may file GAO protest, delaying contract award by 60-100 days and compressing performance schedule</t>
  </si>
  <si>
    <t xml:space="preserve">Build schedule float into early milestones; prepare mobilization plan executable on short notice; maintain team availability during protest</t>
  </si>
  <si>
    <t xml:space="preserve">Compress initial transition period; request schedule adjustment through contract modification</t>
  </si>
  <si>
    <t xml:space="preserve">R-015</t>
  </si>
  <si>
    <t xml:space="preserve">Nunn-McCurdy Breach Risk</t>
  </si>
  <si>
    <t xml:space="preserve">Program cost growth may approach Nunn-McCurdy unit cost thresholds, triggering Congressional notification and potential cancellation review</t>
  </si>
  <si>
    <t xml:space="preserve">Monitor unit cost trends monthly against APB thresholds; report cost variances exceeding 5% immediately to PEO</t>
  </si>
  <si>
    <t xml:space="preserve">Prepare program restructure brief; identify cost reduction opportunities; coordinate with CAPE for independent cost estimate</t>
  </si>
  <si>
    <t xml:space="preserve">Template by Acqlerate — Defense Acquisitions Academy | www.acqlerate.com</t>
  </si>
  <si>
    <t xml:space="preserve">5×5 Probability / Impact Risk Matrix</t>
  </si>
  <si>
    <t xml:space="preserve">Risk Score = Probability × Impact | GREEN ≤7 (LOW) | YELLOW 8-14 (MEDIUM) | RED ≥15 (HIGH)</t>
  </si>
  <si>
    <t xml:space="preserve">Probability ↓  /  Impact →</t>
  </si>
  <si>
    <t xml:space="preserve">1 — Negligible</t>
  </si>
  <si>
    <t xml:space="preserve">2 — Minor</t>
  </si>
  <si>
    <t xml:space="preserve">3 — Moderate</t>
  </si>
  <si>
    <t xml:space="preserve">4 — Significant</t>
  </si>
  <si>
    <t xml:space="preserve">5 — Critical</t>
  </si>
  <si>
    <t xml:space="preserve">5 — Almost Certain</t>
  </si>
  <si>
    <t xml:space="preserve">4 — Likely</t>
  </si>
  <si>
    <t xml:space="preserve">3 — Possible</t>
  </si>
  <si>
    <t xml:space="preserve">2 — Unlikely</t>
  </si>
  <si>
    <t xml:space="preserve">1 — Rare</t>
  </si>
  <si>
    <t xml:space="preserve">Legend</t>
  </si>
  <si>
    <t xml:space="preserve">HIGH (≥15)</t>
  </si>
  <si>
    <t xml:space="preserve">Unacceptable risk — requires immediate mitigation action and leadership attention</t>
  </si>
  <si>
    <t xml:space="preserve">MEDIUM (8-14)</t>
  </si>
  <si>
    <t xml:space="preserve">Elevated risk — requires active monitoring and mitigation planning</t>
  </si>
  <si>
    <t xml:space="preserve">LOW (≤7)</t>
  </si>
  <si>
    <t xml:space="preserve">Acceptable risk — monitor periodically; no immediate action required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</si>
</sst>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D1B2A"/>
      <name val="Arial"/>
      <family val="0"/>
      <charset val="1"/>
    </font>
    <font>
      <i val="true"/>
      <sz val="10"/>
      <color rgb="FF7A7974"/>
      <name val="Arial"/>
      <family val="0"/>
      <charset val="1"/>
    </font>
    <font>
      <b val="true"/>
      <sz val="11"/>
      <color rgb="FF01696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i val="true"/>
      <sz val="8"/>
      <color rgb="FF7A7974"/>
      <name val="Arial"/>
      <family val="0"/>
      <charset val="1"/>
    </font>
    <font>
      <b val="true"/>
      <sz val="10"/>
      <color rgb="FF0D1B2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006100"/>
      <name val="Arial"/>
      <family val="0"/>
      <charset val="1"/>
    </font>
    <font>
      <b val="true"/>
      <sz val="14"/>
      <color rgb="FF9C6500"/>
      <name val="Arial"/>
      <family val="0"/>
      <charset val="1"/>
    </font>
    <font>
      <b val="true"/>
      <sz val="14"/>
      <color rgb="FF9C0006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0061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0D1B2A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97D"/>
          <bgColor rgb="FF000000"/>
        </patternFill>
      </fill>
    </dxf>
    <dxf>
      <fill>
        <patternFill patternType="solid">
          <fgColor rgb="FFD8DF81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9975"/>
          <bgColor rgb="FF000000"/>
        </patternFill>
      </fill>
    </dxf>
    <dxf>
      <fill>
        <patternFill patternType="solid">
          <fgColor rgb="FFFCA577"/>
          <bgColor rgb="FF000000"/>
        </patternFill>
      </fill>
    </dxf>
    <dxf>
      <fill>
        <patternFill patternType="solid">
          <fgColor rgb="FFFEC87E"/>
          <bgColor rgb="FF000000"/>
        </patternFill>
      </fill>
    </dxf>
    <dxf>
      <fill>
        <patternFill patternType="solid">
          <fgColor rgb="FFFFE082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1696F"/>
      <rgbColor rgb="FFBFBFBF"/>
      <rgbColor rgb="FF7A7974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iskRegister" displayName="RiskRegister" ref="B15:O30" headerRowCount="1" totalsRowCount="0" totalsRowShown="0">
  <autoFilter ref="B15:O30"/>
  <tableColumns count="14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"/>
    <tableColumn id="13" name=""/>
    <tableColumn id="14" name="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5" topLeftCell="B16" activePane="bottomRight" state="frozen"/>
      <selection pane="topLeft" activeCell="A1" activeCellId="0" sqref="A1"/>
      <selection pane="topRight" activeCell="B1" activeCellId="0" sqref="B1"/>
      <selection pane="bottomLeft" activeCell="A16" activeCellId="0" sqref="A1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9" min="7" style="0" width="12"/>
    <col collapsed="false" customWidth="true" hidden="false" outlineLevel="0" max="10" min="10" style="0" width="35"/>
    <col collapsed="false" customWidth="true" hidden="false" outlineLevel="0" max="11" min="11" style="0" width="3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4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E6" s="4" t="s">
        <v>4</v>
      </c>
      <c r="H6" s="4" t="s">
        <v>5</v>
      </c>
    </row>
    <row r="7" customFormat="false" ht="15" hidden="false" customHeight="false" outlineLevel="0" collapsed="false">
      <c r="B7" s="5" t="s">
        <v>6</v>
      </c>
      <c r="C7" s="6" t="n">
        <f aca="false">COUNTIF(I16:I30,"HIGH")</f>
        <v>3</v>
      </c>
      <c r="E7" s="7" t="s">
        <v>7</v>
      </c>
      <c r="F7" s="6" t="n">
        <f aca="false">COUNTIF(D16:D30,"Technical")</f>
        <v>3</v>
      </c>
      <c r="H7" s="7" t="s">
        <v>8</v>
      </c>
      <c r="I7" s="6" t="n">
        <f aca="false">COUNTIF(N16:N30,"Open")</f>
        <v>11</v>
      </c>
    </row>
    <row r="8" customFormat="false" ht="15" hidden="false" customHeight="false" outlineLevel="0" collapsed="false">
      <c r="B8" s="8" t="s">
        <v>9</v>
      </c>
      <c r="C8" s="6" t="n">
        <f aca="false">COUNTIF(I16:I30,"MEDIUM")</f>
        <v>9</v>
      </c>
      <c r="E8" s="7" t="s">
        <v>10</v>
      </c>
      <c r="F8" s="6" t="n">
        <f aca="false">COUNTIF(D16:D30,"Schedule")</f>
        <v>3</v>
      </c>
      <c r="H8" s="7" t="s">
        <v>11</v>
      </c>
      <c r="I8" s="6" t="n">
        <f aca="false">COUNTIF(N16:N30,"Mitigated")</f>
        <v>2</v>
      </c>
    </row>
    <row r="9" customFormat="false" ht="15" hidden="false" customHeight="false" outlineLevel="0" collapsed="false">
      <c r="B9" s="9" t="s">
        <v>12</v>
      </c>
      <c r="C9" s="6" t="n">
        <f aca="false">COUNTIF(I16:I30,"LOW")</f>
        <v>3</v>
      </c>
      <c r="E9" s="7" t="s">
        <v>13</v>
      </c>
      <c r="F9" s="6" t="n">
        <f aca="false">COUNTIF(D16:D30,"Cost")</f>
        <v>3</v>
      </c>
      <c r="H9" s="7" t="s">
        <v>14</v>
      </c>
      <c r="I9" s="6" t="n">
        <f aca="false">COUNTIF(N16:N30,"Closed")</f>
        <v>0</v>
      </c>
    </row>
    <row r="10" customFormat="false" ht="15" hidden="false" customHeight="false" outlineLevel="0" collapsed="false">
      <c r="E10" s="7" t="s">
        <v>15</v>
      </c>
      <c r="F10" s="6" t="n">
        <f aca="false">COUNTIF(D16:D30,"External")</f>
        <v>3</v>
      </c>
      <c r="H10" s="7" t="s">
        <v>16</v>
      </c>
      <c r="I10" s="6" t="n">
        <f aca="false">COUNTIF(N16:N30,"Accepted")</f>
        <v>2</v>
      </c>
    </row>
    <row r="11" customFormat="false" ht="15" hidden="false" customHeight="false" outlineLevel="0" collapsed="false">
      <c r="E11" s="7" t="s">
        <v>17</v>
      </c>
      <c r="F11" s="6" t="n">
        <f aca="false">COUNTIF(D16:D30,"Programmatic")</f>
        <v>3</v>
      </c>
    </row>
    <row r="16" customFormat="false" ht="49.5" hidden="false" customHeight="true" outlineLevel="0" collapsed="false">
      <c r="B16" s="10" t="s">
        <v>18</v>
      </c>
      <c r="C16" s="11" t="s">
        <v>19</v>
      </c>
      <c r="D16" s="10" t="s">
        <v>7</v>
      </c>
      <c r="E16" s="12" t="s">
        <v>20</v>
      </c>
      <c r="F16" s="10" t="n">
        <v>4</v>
      </c>
      <c r="G16" s="10" t="n">
        <v>5</v>
      </c>
      <c r="H16" s="13" t="n">
        <f aca="false">F16*G16</f>
        <v>20</v>
      </c>
      <c r="I16" s="13" t="str">
        <f aca="false">IF(H16&gt;=15,"HIGH",IF(H16&gt;=8,"MEDIUM","LOW"))</f>
        <v>HIGH</v>
      </c>
      <c r="J16" s="12" t="s">
        <v>21</v>
      </c>
      <c r="K16" s="12" t="s">
        <v>22</v>
      </c>
      <c r="L16" s="10" t="s">
        <v>23</v>
      </c>
      <c r="M16" s="14" t="n">
        <v>46134</v>
      </c>
      <c r="N16" s="10" t="s">
        <v>8</v>
      </c>
      <c r="O16" s="14" t="n">
        <v>46104</v>
      </c>
    </row>
    <row r="17" customFormat="false" ht="49.5" hidden="false" customHeight="true" outlineLevel="0" collapsed="false">
      <c r="B17" s="10" t="s">
        <v>24</v>
      </c>
      <c r="C17" s="11" t="s">
        <v>25</v>
      </c>
      <c r="D17" s="10" t="s">
        <v>17</v>
      </c>
      <c r="E17" s="12" t="s">
        <v>26</v>
      </c>
      <c r="F17" s="10" t="n">
        <v>3</v>
      </c>
      <c r="G17" s="10" t="n">
        <v>4</v>
      </c>
      <c r="H17" s="13" t="n">
        <f aca="false">F17*G17</f>
        <v>12</v>
      </c>
      <c r="I17" s="13" t="str">
        <f aca="false">IF(H17&gt;=15,"HIGH",IF(H17&gt;=8,"MEDIUM","LOW"))</f>
        <v>MEDIUM</v>
      </c>
      <c r="J17" s="12" t="s">
        <v>27</v>
      </c>
      <c r="K17" s="12" t="s">
        <v>28</v>
      </c>
      <c r="L17" s="10" t="s">
        <v>29</v>
      </c>
      <c r="M17" s="14" t="n">
        <v>46164</v>
      </c>
      <c r="N17" s="10" t="s">
        <v>8</v>
      </c>
      <c r="O17" s="14" t="n">
        <v>46104</v>
      </c>
    </row>
    <row r="18" customFormat="false" ht="49.5" hidden="false" customHeight="true" outlineLevel="0" collapsed="false">
      <c r="B18" s="10" t="s">
        <v>30</v>
      </c>
      <c r="C18" s="11" t="s">
        <v>31</v>
      </c>
      <c r="D18" s="10" t="s">
        <v>10</v>
      </c>
      <c r="E18" s="12" t="s">
        <v>32</v>
      </c>
      <c r="F18" s="10" t="n">
        <v>4</v>
      </c>
      <c r="G18" s="10" t="n">
        <v>4</v>
      </c>
      <c r="H18" s="13" t="n">
        <f aca="false">F18*G18</f>
        <v>16</v>
      </c>
      <c r="I18" s="13" t="str">
        <f aca="false">IF(H18&gt;=15,"HIGH",IF(H18&gt;=8,"MEDIUM","LOW"))</f>
        <v>HIGH</v>
      </c>
      <c r="J18" s="12" t="s">
        <v>33</v>
      </c>
      <c r="K18" s="12" t="s">
        <v>34</v>
      </c>
      <c r="L18" s="10" t="s">
        <v>35</v>
      </c>
      <c r="M18" s="14" t="n">
        <v>46149</v>
      </c>
      <c r="N18" s="10" t="s">
        <v>8</v>
      </c>
      <c r="O18" s="14" t="n">
        <v>46104</v>
      </c>
    </row>
    <row r="19" customFormat="false" ht="49.5" hidden="false" customHeight="true" outlineLevel="0" collapsed="false">
      <c r="B19" s="10" t="s">
        <v>36</v>
      </c>
      <c r="C19" s="11" t="s">
        <v>37</v>
      </c>
      <c r="D19" s="10" t="s">
        <v>13</v>
      </c>
      <c r="E19" s="12" t="s">
        <v>38</v>
      </c>
      <c r="F19" s="10" t="n">
        <v>3</v>
      </c>
      <c r="G19" s="10" t="n">
        <v>5</v>
      </c>
      <c r="H19" s="13" t="n">
        <f aca="false">F19*G19</f>
        <v>15</v>
      </c>
      <c r="I19" s="13" t="str">
        <f aca="false">IF(H19&gt;=15,"HIGH",IF(H19&gt;=8,"MEDIUM","LOW"))</f>
        <v>HIGH</v>
      </c>
      <c r="J19" s="12" t="s">
        <v>39</v>
      </c>
      <c r="K19" s="12" t="s">
        <v>40</v>
      </c>
      <c r="L19" s="10" t="s">
        <v>41</v>
      </c>
      <c r="M19" s="14" t="n">
        <v>46194</v>
      </c>
      <c r="N19" s="10" t="s">
        <v>8</v>
      </c>
      <c r="O19" s="14" t="n">
        <v>46104</v>
      </c>
    </row>
    <row r="20" customFormat="false" ht="49.5" hidden="false" customHeight="true" outlineLevel="0" collapsed="false">
      <c r="B20" s="10" t="s">
        <v>42</v>
      </c>
      <c r="C20" s="11" t="s">
        <v>43</v>
      </c>
      <c r="D20" s="10" t="s">
        <v>15</v>
      </c>
      <c r="E20" s="12" t="s">
        <v>44</v>
      </c>
      <c r="F20" s="10" t="n">
        <v>3</v>
      </c>
      <c r="G20" s="10" t="n">
        <v>4</v>
      </c>
      <c r="H20" s="13" t="n">
        <f aca="false">F20*G20</f>
        <v>12</v>
      </c>
      <c r="I20" s="13" t="str">
        <f aca="false">IF(H20&gt;=15,"HIGH",IF(H20&gt;=8,"MEDIUM","LOW"))</f>
        <v>MEDIUM</v>
      </c>
      <c r="J20" s="12" t="s">
        <v>45</v>
      </c>
      <c r="K20" s="12" t="s">
        <v>46</v>
      </c>
      <c r="L20" s="10" t="s">
        <v>47</v>
      </c>
      <c r="M20" s="14" t="n">
        <v>46134</v>
      </c>
      <c r="N20" s="10" t="s">
        <v>8</v>
      </c>
      <c r="O20" s="14" t="n">
        <v>46104</v>
      </c>
    </row>
    <row r="21" customFormat="false" ht="49.5" hidden="false" customHeight="true" outlineLevel="0" collapsed="false">
      <c r="B21" s="10" t="s">
        <v>48</v>
      </c>
      <c r="C21" s="11" t="s">
        <v>49</v>
      </c>
      <c r="D21" s="10" t="s">
        <v>15</v>
      </c>
      <c r="E21" s="12" t="s">
        <v>50</v>
      </c>
      <c r="F21" s="10" t="n">
        <v>2</v>
      </c>
      <c r="G21" s="10" t="n">
        <v>5</v>
      </c>
      <c r="H21" s="13" t="n">
        <f aca="false">F21*G21</f>
        <v>10</v>
      </c>
      <c r="I21" s="13" t="str">
        <f aca="false">IF(H21&gt;=15,"HIGH",IF(H21&gt;=8,"MEDIUM","LOW"))</f>
        <v>MEDIUM</v>
      </c>
      <c r="J21" s="12" t="s">
        <v>51</v>
      </c>
      <c r="K21" s="12" t="s">
        <v>52</v>
      </c>
      <c r="L21" s="10" t="s">
        <v>53</v>
      </c>
      <c r="M21" s="14" t="n">
        <v>46224</v>
      </c>
      <c r="N21" s="10" t="s">
        <v>11</v>
      </c>
      <c r="O21" s="14" t="n">
        <v>46104</v>
      </c>
    </row>
    <row r="22" customFormat="false" ht="49.5" hidden="false" customHeight="true" outlineLevel="0" collapsed="false">
      <c r="B22" s="10" t="s">
        <v>54</v>
      </c>
      <c r="C22" s="11" t="s">
        <v>55</v>
      </c>
      <c r="D22" s="10" t="s">
        <v>7</v>
      </c>
      <c r="E22" s="12" t="s">
        <v>56</v>
      </c>
      <c r="F22" s="10" t="n">
        <v>3</v>
      </c>
      <c r="G22" s="10" t="n">
        <v>3</v>
      </c>
      <c r="H22" s="13" t="n">
        <f aca="false">F22*G22</f>
        <v>9</v>
      </c>
      <c r="I22" s="13" t="str">
        <f aca="false">IF(H22&gt;=15,"HIGH",IF(H22&gt;=8,"MEDIUM","LOW"))</f>
        <v>MEDIUM</v>
      </c>
      <c r="J22" s="12" t="s">
        <v>57</v>
      </c>
      <c r="K22" s="12" t="s">
        <v>58</v>
      </c>
      <c r="L22" s="10" t="s">
        <v>59</v>
      </c>
      <c r="M22" s="14" t="n">
        <v>46149</v>
      </c>
      <c r="N22" s="10" t="s">
        <v>8</v>
      </c>
      <c r="O22" s="14" t="n">
        <v>46104</v>
      </c>
    </row>
    <row r="23" customFormat="false" ht="49.5" hidden="false" customHeight="true" outlineLevel="0" collapsed="false">
      <c r="B23" s="10" t="s">
        <v>60</v>
      </c>
      <c r="C23" s="11" t="s">
        <v>61</v>
      </c>
      <c r="D23" s="10" t="s">
        <v>17</v>
      </c>
      <c r="E23" s="12" t="s">
        <v>62</v>
      </c>
      <c r="F23" s="10" t="n">
        <v>2</v>
      </c>
      <c r="G23" s="10" t="n">
        <v>4</v>
      </c>
      <c r="H23" s="13" t="n">
        <f aca="false">F23*G23</f>
        <v>8</v>
      </c>
      <c r="I23" s="13" t="str">
        <f aca="false">IF(H23&gt;=15,"HIGH",IF(H23&gt;=8,"MEDIUM","LOW"))</f>
        <v>MEDIUM</v>
      </c>
      <c r="J23" s="12" t="s">
        <v>63</v>
      </c>
      <c r="K23" s="12" t="s">
        <v>64</v>
      </c>
      <c r="L23" s="10" t="s">
        <v>65</v>
      </c>
      <c r="M23" s="14" t="n">
        <v>46164</v>
      </c>
      <c r="N23" s="10" t="s">
        <v>16</v>
      </c>
      <c r="O23" s="14" t="n">
        <v>46104</v>
      </c>
    </row>
    <row r="24" customFormat="false" ht="49.5" hidden="false" customHeight="true" outlineLevel="0" collapsed="false">
      <c r="B24" s="10" t="s">
        <v>66</v>
      </c>
      <c r="C24" s="11" t="s">
        <v>67</v>
      </c>
      <c r="D24" s="10" t="s">
        <v>13</v>
      </c>
      <c r="E24" s="12" t="s">
        <v>68</v>
      </c>
      <c r="F24" s="10" t="n">
        <v>2</v>
      </c>
      <c r="G24" s="10" t="n">
        <v>3</v>
      </c>
      <c r="H24" s="13" t="n">
        <f aca="false">F24*G24</f>
        <v>6</v>
      </c>
      <c r="I24" s="13" t="str">
        <f aca="false">IF(H24&gt;=15,"HIGH",IF(H24&gt;=8,"MEDIUM","LOW"))</f>
        <v>LOW</v>
      </c>
      <c r="J24" s="12" t="s">
        <v>69</v>
      </c>
      <c r="K24" s="12" t="s">
        <v>70</v>
      </c>
      <c r="L24" s="10" t="s">
        <v>41</v>
      </c>
      <c r="M24" s="14" t="n">
        <v>46134</v>
      </c>
      <c r="N24" s="10" t="s">
        <v>11</v>
      </c>
      <c r="O24" s="14" t="n">
        <v>46104</v>
      </c>
    </row>
    <row r="25" customFormat="false" ht="49.5" hidden="false" customHeight="true" outlineLevel="0" collapsed="false">
      <c r="B25" s="10" t="s">
        <v>71</v>
      </c>
      <c r="C25" s="11" t="s">
        <v>72</v>
      </c>
      <c r="D25" s="10" t="s">
        <v>15</v>
      </c>
      <c r="E25" s="12" t="s">
        <v>73</v>
      </c>
      <c r="F25" s="10" t="n">
        <v>4</v>
      </c>
      <c r="G25" s="10" t="n">
        <v>3</v>
      </c>
      <c r="H25" s="13" t="n">
        <f aca="false">F25*G25</f>
        <v>12</v>
      </c>
      <c r="I25" s="13" t="str">
        <f aca="false">IF(H25&gt;=15,"HIGH",IF(H25&gt;=8,"MEDIUM","LOW"))</f>
        <v>MEDIUM</v>
      </c>
      <c r="J25" s="12" t="s">
        <v>74</v>
      </c>
      <c r="K25" s="12" t="s">
        <v>75</v>
      </c>
      <c r="L25" s="10" t="s">
        <v>76</v>
      </c>
      <c r="M25" s="14" t="n">
        <v>46119</v>
      </c>
      <c r="N25" s="10" t="s">
        <v>8</v>
      </c>
      <c r="O25" s="14" t="n">
        <v>46104</v>
      </c>
    </row>
    <row r="26" customFormat="false" ht="49.5" hidden="false" customHeight="true" outlineLevel="0" collapsed="false">
      <c r="B26" s="10" t="s">
        <v>77</v>
      </c>
      <c r="C26" s="11" t="s">
        <v>78</v>
      </c>
      <c r="D26" s="10" t="s">
        <v>10</v>
      </c>
      <c r="E26" s="12" t="s">
        <v>79</v>
      </c>
      <c r="F26" s="10" t="n">
        <v>3</v>
      </c>
      <c r="G26" s="10" t="n">
        <v>3</v>
      </c>
      <c r="H26" s="13" t="n">
        <f aca="false">F26*G26</f>
        <v>9</v>
      </c>
      <c r="I26" s="13" t="str">
        <f aca="false">IF(H26&gt;=15,"HIGH",IF(H26&gt;=8,"MEDIUM","LOW"))</f>
        <v>MEDIUM</v>
      </c>
      <c r="J26" s="12" t="s">
        <v>80</v>
      </c>
      <c r="K26" s="12" t="s">
        <v>81</v>
      </c>
      <c r="L26" s="10" t="s">
        <v>82</v>
      </c>
      <c r="M26" s="14" t="n">
        <v>46134</v>
      </c>
      <c r="N26" s="10" t="s">
        <v>8</v>
      </c>
      <c r="O26" s="14" t="n">
        <v>46104</v>
      </c>
    </row>
    <row r="27" customFormat="false" ht="49.5" hidden="false" customHeight="true" outlineLevel="0" collapsed="false">
      <c r="B27" s="10" t="s">
        <v>83</v>
      </c>
      <c r="C27" s="11" t="s">
        <v>84</v>
      </c>
      <c r="D27" s="10" t="s">
        <v>7</v>
      </c>
      <c r="E27" s="12" t="s">
        <v>85</v>
      </c>
      <c r="F27" s="10" t="n">
        <v>3</v>
      </c>
      <c r="G27" s="10" t="n">
        <v>3</v>
      </c>
      <c r="H27" s="13" t="n">
        <f aca="false">F27*G27</f>
        <v>9</v>
      </c>
      <c r="I27" s="13" t="str">
        <f aca="false">IF(H27&gt;=15,"HIGH",IF(H27&gt;=8,"MEDIUM","LOW"))</f>
        <v>MEDIUM</v>
      </c>
      <c r="J27" s="12" t="s">
        <v>86</v>
      </c>
      <c r="K27" s="12" t="s">
        <v>87</v>
      </c>
      <c r="L27" s="10" t="s">
        <v>88</v>
      </c>
      <c r="M27" s="14" t="n">
        <v>46164</v>
      </c>
      <c r="N27" s="10" t="s">
        <v>8</v>
      </c>
      <c r="O27" s="14" t="n">
        <v>46104</v>
      </c>
    </row>
    <row r="28" customFormat="false" ht="49.5" hidden="false" customHeight="true" outlineLevel="0" collapsed="false">
      <c r="B28" s="10" t="s">
        <v>89</v>
      </c>
      <c r="C28" s="11" t="s">
        <v>90</v>
      </c>
      <c r="D28" s="10" t="s">
        <v>17</v>
      </c>
      <c r="E28" s="12" t="s">
        <v>91</v>
      </c>
      <c r="F28" s="10" t="n">
        <v>3</v>
      </c>
      <c r="G28" s="10" t="n">
        <v>2</v>
      </c>
      <c r="H28" s="13" t="n">
        <f aca="false">F28*G28</f>
        <v>6</v>
      </c>
      <c r="I28" s="13" t="str">
        <f aca="false">IF(H28&gt;=15,"HIGH",IF(H28&gt;=8,"MEDIUM","LOW"))</f>
        <v>LOW</v>
      </c>
      <c r="J28" s="12" t="s">
        <v>92</v>
      </c>
      <c r="K28" s="12" t="s">
        <v>93</v>
      </c>
      <c r="L28" s="10" t="s">
        <v>35</v>
      </c>
      <c r="M28" s="14" t="n">
        <v>46194</v>
      </c>
      <c r="N28" s="10" t="s">
        <v>16</v>
      </c>
      <c r="O28" s="14" t="n">
        <v>46104</v>
      </c>
    </row>
    <row r="29" customFormat="false" ht="49.5" hidden="false" customHeight="true" outlineLevel="0" collapsed="false">
      <c r="B29" s="10" t="s">
        <v>94</v>
      </c>
      <c r="C29" s="11" t="s">
        <v>95</v>
      </c>
      <c r="D29" s="10" t="s">
        <v>10</v>
      </c>
      <c r="E29" s="12" t="s">
        <v>96</v>
      </c>
      <c r="F29" s="10" t="n">
        <v>2</v>
      </c>
      <c r="G29" s="10" t="n">
        <v>4</v>
      </c>
      <c r="H29" s="13" t="n">
        <f aca="false">F29*G29</f>
        <v>8</v>
      </c>
      <c r="I29" s="13" t="str">
        <f aca="false">IF(H29&gt;=15,"HIGH",IF(H29&gt;=8,"MEDIUM","LOW"))</f>
        <v>MEDIUM</v>
      </c>
      <c r="J29" s="12" t="s">
        <v>97</v>
      </c>
      <c r="K29" s="12" t="s">
        <v>98</v>
      </c>
      <c r="L29" s="10" t="s">
        <v>35</v>
      </c>
      <c r="M29" s="14" t="n">
        <v>46119</v>
      </c>
      <c r="N29" s="10" t="s">
        <v>8</v>
      </c>
      <c r="O29" s="14" t="n">
        <v>46104</v>
      </c>
    </row>
    <row r="30" customFormat="false" ht="49.5" hidden="false" customHeight="true" outlineLevel="0" collapsed="false">
      <c r="B30" s="10" t="s">
        <v>99</v>
      </c>
      <c r="C30" s="11" t="s">
        <v>100</v>
      </c>
      <c r="D30" s="10" t="s">
        <v>13</v>
      </c>
      <c r="E30" s="12" t="s">
        <v>101</v>
      </c>
      <c r="F30" s="10" t="n">
        <v>1</v>
      </c>
      <c r="G30" s="10" t="n">
        <v>5</v>
      </c>
      <c r="H30" s="13" t="n">
        <f aca="false">F30*G30</f>
        <v>5</v>
      </c>
      <c r="I30" s="13" t="str">
        <f aca="false">IF(H30&gt;=15,"HIGH",IF(H30&gt;=8,"MEDIUM","LOW"))</f>
        <v>LOW</v>
      </c>
      <c r="J30" s="12" t="s">
        <v>102</v>
      </c>
      <c r="K30" s="12" t="s">
        <v>103</v>
      </c>
      <c r="L30" s="10" t="s">
        <v>41</v>
      </c>
      <c r="M30" s="14" t="n">
        <v>46194</v>
      </c>
      <c r="N30" s="10" t="s">
        <v>8</v>
      </c>
      <c r="O30" s="14" t="n">
        <v>46104</v>
      </c>
    </row>
    <row r="33" customFormat="false" ht="15" hidden="false" customHeight="false" outlineLevel="0" collapsed="false">
      <c r="B33" s="15" t="s">
        <v>104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</sheetData>
  <mergeCells count="3">
    <mergeCell ref="B2:O2"/>
    <mergeCell ref="B3:O3"/>
    <mergeCell ref="B33:O33"/>
  </mergeCells>
  <conditionalFormatting sqref="H16:H3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I30">
    <cfRule type="cellIs" priority="3" operator="equal" aboveAverage="0" equalAverage="0" bottom="0" percent="0" rank="0" text="" dxfId="17">
      <formula>"HIGH"</formula>
    </cfRule>
    <cfRule type="cellIs" priority="4" operator="equal" aboveAverage="0" equalAverage="0" bottom="0" percent="0" rank="0" text="" dxfId="18">
      <formula>"MEDIUM"</formula>
    </cfRule>
    <cfRule type="cellIs" priority="5" operator="equal" aboveAverage="0" equalAverage="0" bottom="0" percent="0" rank="0" text="" dxfId="19">
      <formula>"LOW"</formula>
    </cfRule>
  </conditionalFormatting>
  <dataValidations count="3">
    <dataValidation allowBlank="true" errorStyle="stop" operator="between" showDropDown="false" showErrorMessage="false" showInputMessage="false" sqref="D16:D80" type="list">
      <formula1>"Technical,Schedule,Cost,External,Programmatic"</formula1>
      <formula2>0</formula2>
    </dataValidation>
    <dataValidation allowBlank="false" errorStyle="stop" operator="between" showDropDown="false" showErrorMessage="false" showInputMessage="false" sqref="F16:G80" type="whole">
      <formula1>1</formula1>
      <formula2>5</formula2>
    </dataValidation>
    <dataValidation allowBlank="true" errorStyle="stop" operator="between" showDropDown="false" showErrorMessage="false" showInputMessage="false" sqref="N16:N80" type="list">
      <formula1>"Open,Mitigated,Closed,Accepted"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696F"/>
    <pageSetUpPr fitToPage="false"/>
  </sheetPr>
  <dimension ref="B2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7" min="3" style="0" width="16"/>
  </cols>
  <sheetData>
    <row r="2" customFormat="false" ht="30" hidden="false" customHeight="true" outlineLevel="0" collapsed="false">
      <c r="B2" s="16" t="s">
        <v>105</v>
      </c>
      <c r="C2" s="16"/>
      <c r="D2" s="16"/>
      <c r="E2" s="16"/>
      <c r="F2" s="16"/>
      <c r="G2" s="16"/>
    </row>
    <row r="3" customFormat="false" ht="15" hidden="false" customHeight="false" outlineLevel="0" collapsed="false">
      <c r="B3" s="2" t="s">
        <v>106</v>
      </c>
      <c r="C3" s="2"/>
      <c r="D3" s="2"/>
      <c r="E3" s="2"/>
      <c r="F3" s="2"/>
      <c r="G3" s="2"/>
    </row>
    <row r="5" customFormat="false" ht="15" hidden="false" customHeight="false" outlineLevel="0" collapsed="false">
      <c r="B5" s="17" t="s">
        <v>107</v>
      </c>
      <c r="C5" s="18" t="s">
        <v>108</v>
      </c>
      <c r="D5" s="18" t="s">
        <v>109</v>
      </c>
      <c r="E5" s="18" t="s">
        <v>110</v>
      </c>
      <c r="F5" s="18" t="s">
        <v>111</v>
      </c>
      <c r="G5" s="18" t="s">
        <v>112</v>
      </c>
    </row>
    <row r="6" customFormat="false" ht="34.5" hidden="false" customHeight="true" outlineLevel="0" collapsed="false">
      <c r="B6" s="18" t="s">
        <v>113</v>
      </c>
      <c r="C6" s="19" t="n">
        <v>5</v>
      </c>
      <c r="D6" s="20" t="n">
        <v>10</v>
      </c>
      <c r="E6" s="21" t="n">
        <v>15</v>
      </c>
      <c r="F6" s="21" t="n">
        <v>20</v>
      </c>
      <c r="G6" s="21" t="n">
        <v>25</v>
      </c>
    </row>
    <row r="7" customFormat="false" ht="34.5" hidden="false" customHeight="true" outlineLevel="0" collapsed="false">
      <c r="B7" s="18" t="s">
        <v>114</v>
      </c>
      <c r="C7" s="19" t="n">
        <v>4</v>
      </c>
      <c r="D7" s="20" t="n">
        <v>8</v>
      </c>
      <c r="E7" s="20" t="n">
        <v>12</v>
      </c>
      <c r="F7" s="21" t="n">
        <v>16</v>
      </c>
      <c r="G7" s="21" t="n">
        <v>20</v>
      </c>
    </row>
    <row r="8" customFormat="false" ht="34.5" hidden="false" customHeight="true" outlineLevel="0" collapsed="false">
      <c r="B8" s="18" t="s">
        <v>115</v>
      </c>
      <c r="C8" s="19" t="n">
        <v>3</v>
      </c>
      <c r="D8" s="19" t="n">
        <v>6</v>
      </c>
      <c r="E8" s="20" t="n">
        <v>9</v>
      </c>
      <c r="F8" s="20" t="n">
        <v>12</v>
      </c>
      <c r="G8" s="21" t="n">
        <v>15</v>
      </c>
    </row>
    <row r="9" customFormat="false" ht="34.5" hidden="false" customHeight="true" outlineLevel="0" collapsed="false">
      <c r="B9" s="18" t="s">
        <v>116</v>
      </c>
      <c r="C9" s="19" t="n">
        <v>2</v>
      </c>
      <c r="D9" s="19" t="n">
        <v>4</v>
      </c>
      <c r="E9" s="19" t="n">
        <v>6</v>
      </c>
      <c r="F9" s="20" t="n">
        <v>8</v>
      </c>
      <c r="G9" s="20" t="n">
        <v>10</v>
      </c>
    </row>
    <row r="10" customFormat="false" ht="34.5" hidden="false" customHeight="true" outlineLevel="0" collapsed="false">
      <c r="B10" s="18" t="s">
        <v>117</v>
      </c>
      <c r="C10" s="19" t="n">
        <v>1</v>
      </c>
      <c r="D10" s="19" t="n">
        <v>2</v>
      </c>
      <c r="E10" s="19" t="n">
        <v>3</v>
      </c>
      <c r="F10" s="19" t="n">
        <v>4</v>
      </c>
      <c r="G10" s="19" t="n">
        <v>5</v>
      </c>
    </row>
    <row r="13" customFormat="false" ht="15" hidden="false" customHeight="false" outlineLevel="0" collapsed="false">
      <c r="B13" s="3" t="s">
        <v>118</v>
      </c>
    </row>
    <row r="14" customFormat="false" ht="24.75" hidden="false" customHeight="true" outlineLevel="0" collapsed="false">
      <c r="B14" s="22" t="s">
        <v>119</v>
      </c>
      <c r="C14" s="23" t="s">
        <v>120</v>
      </c>
      <c r="D14" s="23"/>
      <c r="E14" s="23"/>
      <c r="F14" s="23"/>
      <c r="G14" s="23"/>
    </row>
    <row r="15" customFormat="false" ht="24.75" hidden="false" customHeight="true" outlineLevel="0" collapsed="false">
      <c r="B15" s="24" t="s">
        <v>121</v>
      </c>
      <c r="C15" s="23" t="s">
        <v>122</v>
      </c>
      <c r="D15" s="23"/>
      <c r="E15" s="23"/>
      <c r="F15" s="23"/>
      <c r="G15" s="23"/>
    </row>
    <row r="16" customFormat="false" ht="24.75" hidden="false" customHeight="true" outlineLevel="0" collapsed="false">
      <c r="B16" s="25" t="s">
        <v>123</v>
      </c>
      <c r="C16" s="23" t="s">
        <v>124</v>
      </c>
      <c r="D16" s="23"/>
      <c r="E16" s="23"/>
      <c r="F16" s="23"/>
      <c r="G16" s="23"/>
    </row>
    <row r="19" customFormat="false" ht="15" hidden="false" customHeight="false" outlineLevel="0" collapsed="false">
      <c r="B19" s="15" t="s">
        <v>104</v>
      </c>
      <c r="C19" s="15"/>
      <c r="D19" s="15"/>
      <c r="E19" s="15"/>
      <c r="F19" s="15"/>
      <c r="G19" s="15"/>
    </row>
  </sheetData>
  <mergeCells count="6">
    <mergeCell ref="B2:G2"/>
    <mergeCell ref="B3:G3"/>
    <mergeCell ref="C14:G14"/>
    <mergeCell ref="C15:G15"/>
    <mergeCell ref="C16:G16"/>
    <mergeCell ref="B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2026-03-23T14:38:14Z</dcterms:created>
  <dc:creator>openpyxl</dc:creator>
  <dc:description/>
  <dc:language>en-US</dc:language>
  <cp:lastModifiedBy/>
  <dcterms:modified xsi:type="dcterms:W3CDTF">2026-03-23T14:38:14Z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