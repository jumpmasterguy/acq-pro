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icing Checklist" sheetId="1" state="visible" r:id="rId1"/>
    <sheet xmlns:r="http://schemas.openxmlformats.org/officeDocument/2006/relationships" name="CLIN Pricing Templat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D1B2A"/>
      <sz val="16"/>
    </font>
    <font>
      <name val="Calibri"/>
      <charset val="1"/>
      <family val="0"/>
      <color rgb="FF01696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437A22"/>
      <sz val="11"/>
    </font>
    <font>
      <name val="Calibri"/>
      <charset val="1"/>
      <family val="0"/>
      <b val="1"/>
      <color rgb="FF01696F"/>
      <sz val="12"/>
    </font>
    <font>
      <name val="Calibri"/>
      <charset val="1"/>
      <family val="0"/>
      <sz val="11"/>
    </font>
    <font>
      <name val="Calibri"/>
      <charset val="1"/>
      <family val="0"/>
      <i val="1"/>
      <color rgb="FF666666"/>
      <sz val="11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0D1B2A"/>
      <sz val="14"/>
    </font>
    <font>
      <name val="Calibri"/>
      <charset val="1"/>
      <family val="0"/>
      <i val="1"/>
      <color rgb="FF999999"/>
      <sz val="10"/>
    </font>
    <font>
      <i val="1"/>
      <color rgb="FF6B7280"/>
      <sz val="9"/>
    </font>
    <font>
      <i val="1"/>
      <color rgb="FF6B7280"/>
      <sz val="8"/>
    </font>
    <font>
      <b val="1"/>
      <color rgb="FF0D1B2A"/>
      <sz val="11"/>
    </font>
  </fonts>
  <fills count="5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0F2F3"/>
        <bgColor rgb="FFCCFFFF"/>
      </patternFill>
    </fill>
    <fill>
      <patternFill patternType="solid">
        <fgColor rgb="FF01696F"/>
        <bgColor rgb="FF008080"/>
      </patternFill>
    </fill>
  </fills>
  <borders count="6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 style="thin">
        <color rgb="FFD4D1CA"/>
      </top>
      <bottom/>
      <diagonal/>
    </border>
    <border>
      <left/>
      <right style="thin">
        <color rgb="FFD4D1CA"/>
      </right>
      <top style="thin">
        <color rgb="FFD4D1CA"/>
      </top>
      <bottom/>
      <diagonal/>
    </border>
    <border>
      <left/>
      <right/>
      <top style="thin">
        <color rgb="FFD4D1CA"/>
      </top>
      <bottom style="thin">
        <color rgb="FFD4D1CA"/>
      </bottom>
      <diagonal/>
    </border>
    <border>
      <left/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9" fontId="9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indent="1"/>
    </xf>
    <xf numFmtId="165" fontId="1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164" fontId="0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indent="1"/>
    </xf>
    <xf numFmtId="165" fontId="0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9" fontId="9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12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indent="1"/>
    </xf>
    <xf numFmtId="165" fontId="1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164" fontId="0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indent="1"/>
    </xf>
    <xf numFmtId="165" fontId="0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17" fillId="0" borderId="0" pivotButton="0" quotePrefix="0" xfId="0"/>
    <xf numFmtId="0" fontId="15" fillId="0" borderId="0" pivotButton="0" quotePrefix="0" xfId="0"/>
    <xf numFmtId="164" fontId="15" fillId="2" borderId="1" applyAlignment="1" pivotButton="0" quotePrefix="0" xfId="0">
      <alignment horizontal="center"/>
    </xf>
    <xf numFmtId="0" fontId="1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0"/>
        <color rgb="FF9C6500"/>
        <sz val="11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1696F"/>
      <rgbColor rgb="FFD4D1CA"/>
      <rgbColor rgb="FF808080"/>
      <rgbColor rgb="FF9999FF"/>
      <rgbColor rgb="FF993366"/>
      <rgbColor rgb="FFFFFFCC"/>
      <rgbColor rgb="FFE0F2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437A22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1696F"/>
    <outlinePr summaryBelow="1" summaryRight="1"/>
    <pageSetUpPr fitToPage="0"/>
  </sheetPr>
  <dimension ref="B2:I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27" min="1" max="1"/>
    <col width="8" customWidth="1" style="27" min="2" max="2"/>
    <col width="48" customWidth="1" style="27" min="3" max="3"/>
    <col width="18" customWidth="1" style="27" min="4" max="4"/>
    <col width="12" customWidth="1" style="27" min="5" max="6"/>
    <col width="20" customWidth="1" style="27" min="7" max="7"/>
    <col width="30" customWidth="1" style="27" min="8" max="8"/>
  </cols>
  <sheetData>
    <row r="2" ht="19.5" customHeight="1" s="28">
      <c r="B2" s="29" t="inlineStr">
        <is>
          <t>PRICING VOLUME COMPLIANCE CHECKLIST</t>
        </is>
      </c>
    </row>
    <row r="3" ht="15" customHeight="1" s="28">
      <c r="B3" s="30" t="inlineStr">
        <is>
          <t>Acqlerate — Defense Acquisitions Academy</t>
        </is>
      </c>
    </row>
    <row r="5" ht="15" customHeight="1" s="28">
      <c r="B5" s="31" t="inlineStr">
        <is>
          <t>COMPLETION SUMMARY</t>
        </is>
      </c>
      <c r="D5" s="32" t="inlineStr">
        <is>
          <t>Total Items:</t>
        </is>
      </c>
      <c r="E5" s="33">
        <f>COUNTA(B9:B48)</f>
        <v/>
      </c>
      <c r="F5" s="34" t="inlineStr">
        <is>
          <t>Complete:</t>
        </is>
      </c>
      <c r="G5" s="33">
        <f>COUNTIF(F9:F48,"Yes")</f>
        <v/>
      </c>
      <c r="H5" s="32" t="inlineStr">
        <is>
          <t>% Complete:</t>
        </is>
      </c>
      <c r="I5" s="35">
        <f>IF(E5&gt;0,G5/E5,0)</f>
        <v/>
      </c>
    </row>
    <row r="8" ht="36" customHeight="1" s="28">
      <c r="B8" s="36" t="inlineStr">
        <is>
          <t>Item #</t>
        </is>
      </c>
      <c r="C8" s="36" t="inlineStr">
        <is>
          <t>Requirement</t>
        </is>
      </c>
      <c r="D8" s="36" t="inlineStr">
        <is>
          <t>FAR/DFARS
Reference</t>
        </is>
      </c>
      <c r="E8" s="36" t="inlineStr">
        <is>
          <t>Required
(Y/N/Cond.)</t>
        </is>
      </c>
      <c r="F8" s="36" t="inlineStr">
        <is>
          <t>Complete?</t>
        </is>
      </c>
      <c r="G8" s="36" t="inlineStr">
        <is>
          <t>Location in
Proposal</t>
        </is>
      </c>
      <c r="H8" s="36" t="inlineStr">
        <is>
          <t>Notes</t>
        </is>
      </c>
    </row>
    <row r="9" ht="31.5" customHeight="1" s="28">
      <c r="B9" s="37" t="n">
        <v>1</v>
      </c>
      <c r="C9" s="38" t="inlineStr">
        <is>
          <t>SF 1449 — Solicitation/Contract/Order for Commercial Items (completed, signed)</t>
        </is>
      </c>
      <c r="D9" s="39" t="inlineStr">
        <is>
          <t>FAR 52.212-1 / SF 1449</t>
        </is>
      </c>
      <c r="E9" s="39" t="inlineStr">
        <is>
          <t>Y</t>
        </is>
      </c>
      <c r="F9" s="39" t="n"/>
      <c r="G9" s="38" t="n"/>
      <c r="H9" s="38" t="inlineStr">
        <is>
          <t>Blocks 17a and 30a signed by authorized representative</t>
        </is>
      </c>
    </row>
    <row r="10" ht="31.5" customHeight="1" s="28">
      <c r="B10" s="37" t="n">
        <v>2</v>
      </c>
      <c r="C10" s="38" t="inlineStr">
        <is>
          <t>Pricing volume cover letter with authorized signatory</t>
        </is>
      </c>
      <c r="D10" s="39" t="inlineStr">
        <is>
          <t>Per RFP Section L</t>
        </is>
      </c>
      <c r="E10" s="39" t="inlineStr">
        <is>
          <t>Conditional</t>
        </is>
      </c>
      <c r="F10" s="39" t="n"/>
      <c r="G10" s="38" t="n"/>
      <c r="H10" s="38" t="inlineStr">
        <is>
          <t>Required only if RFP specifies; include CAGE, UEI, legal name</t>
        </is>
      </c>
    </row>
    <row r="11" ht="31.5" customHeight="1" s="28">
      <c r="B11" s="37" t="n">
        <v>3</v>
      </c>
      <c r="C11" s="38" t="inlineStr">
        <is>
          <t>Table of Contents for pricing volume</t>
        </is>
      </c>
      <c r="D11" s="39" t="inlineStr">
        <is>
          <t>Per RFP Section L</t>
        </is>
      </c>
      <c r="E11" s="39" t="inlineStr">
        <is>
          <t>Y</t>
        </is>
      </c>
      <c r="F11" s="39" t="n"/>
      <c r="G11" s="38" t="n"/>
      <c r="H11" s="38" t="inlineStr">
        <is>
          <t>Page numbers must match final PDF</t>
        </is>
      </c>
    </row>
    <row r="12" ht="31.5" customHeight="1" s="28">
      <c r="B12" s="37" t="n">
        <v>4</v>
      </c>
      <c r="C12" s="38" t="inlineStr">
        <is>
          <t>Government-provided price/cost model completed (all CLINs priced)</t>
        </is>
      </c>
      <c r="D12" s="39" t="inlineStr">
        <is>
          <t>Per RFP Section L</t>
        </is>
      </c>
      <c r="E12" s="39" t="inlineStr">
        <is>
          <t>Y</t>
        </is>
      </c>
      <c r="F12" s="39" t="n"/>
      <c r="G12" s="38" t="n"/>
      <c r="H12" s="38" t="inlineStr">
        <is>
          <t>Use Govt template exactly; do not modify structure</t>
        </is>
      </c>
    </row>
    <row r="13" ht="31.5" customHeight="1" s="28">
      <c r="B13" s="37" t="n">
        <v>5</v>
      </c>
      <c r="C13" s="38" t="inlineStr">
        <is>
          <t>CLIN/SLIN structure matches SOW/PWS WBS</t>
        </is>
      </c>
      <c r="D13" s="39" t="inlineStr">
        <is>
          <t>FAR 4.1001</t>
        </is>
      </c>
      <c r="E13" s="39" t="inlineStr">
        <is>
          <t>Y</t>
        </is>
      </c>
      <c r="F13" s="39" t="n"/>
      <c r="G13" s="38" t="n"/>
      <c r="H13" s="38" t="inlineStr">
        <is>
          <t>Every SOW task must map to at least one CLIN</t>
        </is>
      </c>
    </row>
    <row r="14" ht="31.5" customHeight="1" s="28">
      <c r="B14" s="37" t="n">
        <v>6</v>
      </c>
      <c r="C14" s="38" t="inlineStr">
        <is>
          <t>All option periods priced (Base + Option Years)</t>
        </is>
      </c>
      <c r="D14" s="39" t="inlineStr">
        <is>
          <t>FAR 17.2</t>
        </is>
      </c>
      <c r="E14" s="39" t="inlineStr">
        <is>
          <t>Y</t>
        </is>
      </c>
      <c r="F14" s="39" t="n"/>
      <c r="G14" s="38" t="n"/>
      <c r="H14" s="38" t="inlineStr">
        <is>
          <t>Confirm number of option years matches RFP Section B</t>
        </is>
      </c>
    </row>
    <row r="15" ht="31.5" customHeight="1" s="28">
      <c r="B15" s="37" t="n">
        <v>7</v>
      </c>
      <c r="C15" s="38" t="inlineStr">
        <is>
          <t>All CLINs have correct Contract Type designation (FFP/CPFF/T&amp;M)</t>
        </is>
      </c>
      <c r="D15" s="39" t="inlineStr">
        <is>
          <t>FAR 16.1</t>
        </is>
      </c>
      <c r="E15" s="39" t="inlineStr">
        <is>
          <t>Y</t>
        </is>
      </c>
      <c r="F15" s="39" t="n"/>
      <c r="G15" s="38" t="n"/>
      <c r="H15" s="38" t="inlineStr">
        <is>
          <t>Must match Section B; mixed types require separate line items</t>
        </is>
      </c>
    </row>
    <row r="16" ht="31.5" customHeight="1" s="28">
      <c r="B16" s="37" t="n">
        <v>8</v>
      </c>
      <c r="C16" s="38" t="inlineStr">
        <is>
          <t>CLIN descriptions match SOW task descriptions verbatim</t>
        </is>
      </c>
      <c r="D16" s="39" t="inlineStr">
        <is>
          <t>FAR 4.1001</t>
        </is>
      </c>
      <c r="E16" s="39" t="inlineStr">
        <is>
          <t>Y</t>
        </is>
      </c>
      <c r="F16" s="39" t="n"/>
      <c r="G16" s="38" t="n"/>
      <c r="H16" s="38" t="inlineStr">
        <is>
          <t>Use exact Government language; do not paraphrase</t>
        </is>
      </c>
    </row>
    <row r="17" ht="31.5" customHeight="1" s="28">
      <c r="B17" s="37" t="n">
        <v>9</v>
      </c>
      <c r="C17" s="38" t="inlineStr">
        <is>
          <t>Direct labor categories (LCATs) listed with descriptions</t>
        </is>
      </c>
      <c r="D17" s="39" t="inlineStr">
        <is>
          <t>FAR 15.408, Table 15-2</t>
        </is>
      </c>
      <c r="E17" s="39" t="inlineStr">
        <is>
          <t>Y</t>
        </is>
      </c>
      <c r="F17" s="39" t="n"/>
      <c r="G17" s="38" t="n"/>
      <c r="H17" s="38" t="inlineStr">
        <is>
          <t>Must match LCATs in technical/staffing plan</t>
        </is>
      </c>
    </row>
    <row r="18" ht="31.5" customHeight="1" s="28">
      <c r="B18" s="37" t="n">
        <v>10</v>
      </c>
      <c r="C18" s="38" t="inlineStr">
        <is>
          <t>Direct labor hours broken out by LCAT by CLIN by period</t>
        </is>
      </c>
      <c r="D18" s="39" t="inlineStr">
        <is>
          <t>FAR 15.408, Table 15-2</t>
        </is>
      </c>
      <c r="E18" s="39" t="inlineStr">
        <is>
          <t>Y</t>
        </is>
      </c>
      <c r="F18" s="39" t="n"/>
      <c r="G18" s="38" t="n"/>
      <c r="H18" s="38" t="inlineStr">
        <is>
          <t>Hours must reconcile to staffing plan in Management volume</t>
        </is>
      </c>
    </row>
    <row r="19" ht="31.5" customHeight="1" s="28">
      <c r="B19" s="37" t="n">
        <v>11</v>
      </c>
      <c r="C19" s="38" t="inlineStr">
        <is>
          <t>Direct labor rates provided for each LCAT</t>
        </is>
      </c>
      <c r="D19" s="39" t="inlineStr">
        <is>
          <t>FAR 15.408, Table 15-2</t>
        </is>
      </c>
      <c r="E19" s="39" t="inlineStr">
        <is>
          <t>Y</t>
        </is>
      </c>
      <c r="F19" s="39" t="n"/>
      <c r="G19" s="38" t="n"/>
      <c r="H19" s="38" t="inlineStr">
        <is>
          <t>If escalation applied, state rate and percentage per year</t>
        </is>
      </c>
    </row>
    <row r="20" ht="31.5" customHeight="1" s="28">
      <c r="B20" s="37" t="n">
        <v>12</v>
      </c>
      <c r="C20" s="38" t="inlineStr">
        <is>
          <t>FPRA/FPRR or provisional rate documentation attached</t>
        </is>
      </c>
      <c r="D20" s="39" t="inlineStr">
        <is>
          <t>FAR 42.1701</t>
        </is>
      </c>
      <c r="E20" s="39" t="inlineStr">
        <is>
          <t>Conditional</t>
        </is>
      </c>
      <c r="F20" s="39" t="n"/>
      <c r="G20" s="38" t="n"/>
      <c r="H20" s="38" t="inlineStr">
        <is>
          <t>Required if DCAA-approved rates exist; otherwise provide basis of estimate</t>
        </is>
      </c>
    </row>
    <row r="21" ht="31.5" customHeight="1" s="28">
      <c r="B21" s="37" t="n">
        <v>13</v>
      </c>
      <c r="C21" s="38" t="inlineStr">
        <is>
          <t>Labor rate escalation factors documented and sourced</t>
        </is>
      </c>
      <c r="D21" s="39" t="inlineStr">
        <is>
          <t>FAR 15.404-1</t>
        </is>
      </c>
      <c r="E21" s="39" t="inlineStr">
        <is>
          <t>Conditional</t>
        </is>
      </c>
      <c r="F21" s="39" t="n"/>
      <c r="G21" s="38" t="n"/>
      <c r="H21" s="38" t="inlineStr">
        <is>
          <t>Reference BLS ECI, contract terms, or company policy</t>
        </is>
      </c>
    </row>
    <row r="22" ht="31.5" customHeight="1" s="28">
      <c r="B22" s="37" t="n">
        <v>14</v>
      </c>
      <c r="C22" s="38" t="inlineStr">
        <is>
          <t>Uncompensated overtime policy stated (if applicable)</t>
        </is>
      </c>
      <c r="D22" s="39" t="inlineStr">
        <is>
          <t>FAR 37.115 / DFARS 237.170</t>
        </is>
      </c>
      <c r="E22" s="39" t="inlineStr">
        <is>
          <t>Conditional</t>
        </is>
      </c>
      <c r="F22" s="39" t="n"/>
      <c r="G22" s="38" t="n"/>
      <c r="H22" s="38" t="inlineStr">
        <is>
          <t>State whether professional staff are exempt; impact on rates</t>
        </is>
      </c>
    </row>
    <row r="23" ht="31.5" customHeight="1" s="28">
      <c r="B23" s="37" t="n">
        <v>15</v>
      </c>
      <c r="C23" s="38" t="inlineStr">
        <is>
          <t>Fringe benefit rate documented with basis</t>
        </is>
      </c>
      <c r="D23" s="39" t="inlineStr">
        <is>
          <t>FAR 15.408, Table 15-2</t>
        </is>
      </c>
      <c r="E23" s="39" t="inlineStr">
        <is>
          <t>Y</t>
        </is>
      </c>
      <c r="F23" s="39" t="n"/>
      <c r="G23" s="38" t="n"/>
      <c r="H23" s="38" t="inlineStr">
        <is>
          <t>Percentage and base to which it applies</t>
        </is>
      </c>
    </row>
    <row r="24" ht="31.5" customHeight="1" s="28">
      <c r="B24" s="37" t="n">
        <v>16</v>
      </c>
      <c r="C24" s="38" t="inlineStr">
        <is>
          <t>Overhead rate documented with basis</t>
        </is>
      </c>
      <c r="D24" s="39" t="inlineStr">
        <is>
          <t>FAR 15.408, Table 15-2</t>
        </is>
      </c>
      <c r="E24" s="39" t="inlineStr">
        <is>
          <t>Y</t>
        </is>
      </c>
      <c r="F24" s="39" t="n"/>
      <c r="G24" s="38" t="n"/>
      <c r="H24" s="38" t="inlineStr">
        <is>
          <t>Applied to direct labor + fringe; state pool and base</t>
        </is>
      </c>
    </row>
    <row r="25" ht="31.5" customHeight="1" s="28">
      <c r="B25" s="37" t="n">
        <v>17</v>
      </c>
      <c r="C25" s="38" t="inlineStr">
        <is>
          <t>G&amp;A rate documented with basis</t>
        </is>
      </c>
      <c r="D25" s="39" t="inlineStr">
        <is>
          <t>FAR 15.408, Table 15-2</t>
        </is>
      </c>
      <c r="E25" s="39" t="inlineStr">
        <is>
          <t>Y</t>
        </is>
      </c>
      <c r="F25" s="39" t="n"/>
      <c r="G25" s="38" t="n"/>
      <c r="H25" s="38" t="inlineStr">
        <is>
          <t>Applied to total cost input or value-added base; specify which</t>
        </is>
      </c>
    </row>
    <row r="26" ht="31.5" customHeight="1" s="28">
      <c r="B26" s="37" t="n">
        <v>18</v>
      </c>
      <c r="C26" s="38" t="inlineStr">
        <is>
          <t>DCAA audit status of indirect rates disclosed</t>
        </is>
      </c>
      <c r="D26" s="39" t="inlineStr">
        <is>
          <t>FAR 42.1701</t>
        </is>
      </c>
      <c r="E26" s="39" t="inlineStr">
        <is>
          <t>Y</t>
        </is>
      </c>
      <c r="F26" s="39" t="n"/>
      <c r="G26" s="38" t="n"/>
      <c r="H26" s="38" t="inlineStr">
        <is>
          <t>State: DCAA-approved / audited / provisional / estimated</t>
        </is>
      </c>
    </row>
    <row r="27" ht="31.5" customHeight="1" s="28">
      <c r="B27" s="37" t="n">
        <v>19</v>
      </c>
      <c r="C27" s="38" t="inlineStr">
        <is>
          <t>Rate build-up/waterfall (wrapping calculation) shown</t>
        </is>
      </c>
      <c r="D27" s="39" t="inlineStr">
        <is>
          <t>FAR 15.408</t>
        </is>
      </c>
      <c r="E27" s="39" t="inlineStr">
        <is>
          <t>Y</t>
        </is>
      </c>
      <c r="F27" s="39" t="n"/>
      <c r="G27" s="38" t="n"/>
      <c r="H27" s="38" t="inlineStr">
        <is>
          <t>Show: base rate → +fringe → +overhead → +G&amp;A → fully loaded rate</t>
        </is>
      </c>
    </row>
    <row r="28" ht="31.5" customHeight="1" s="28">
      <c r="B28" s="37" t="n">
        <v>20</v>
      </c>
      <c r="C28" s="38" t="inlineStr">
        <is>
          <t>Travel costs broken out (trips, destination, duration, per diem)</t>
        </is>
      </c>
      <c r="D28" s="39" t="inlineStr">
        <is>
          <t>FAR 31.205-46 / JTR</t>
        </is>
      </c>
      <c r="E28" s="39" t="inlineStr">
        <is>
          <t>Y</t>
        </is>
      </c>
      <c r="F28" s="39" t="n"/>
      <c r="G28" s="38" t="n"/>
      <c r="H28" s="38" t="inlineStr">
        <is>
          <t>Use JTR rates for per diem; cite specific destinations</t>
        </is>
      </c>
    </row>
    <row r="29" ht="31.5" customHeight="1" s="28">
      <c r="B29" s="37" t="n">
        <v>21</v>
      </c>
      <c r="C29" s="38" t="inlineStr">
        <is>
          <t>Materials and supplies itemized</t>
        </is>
      </c>
      <c r="D29" s="39" t="inlineStr">
        <is>
          <t>FAR 15.408, Table 15-2</t>
        </is>
      </c>
      <c r="E29" s="39" t="inlineStr">
        <is>
          <t>Conditional</t>
        </is>
      </c>
      <c r="F29" s="39" t="n"/>
      <c r="G29" s="38" t="n"/>
      <c r="H29" s="38" t="inlineStr">
        <is>
          <t>Required if ODC CLINs exist; provide quantities and unit costs</t>
        </is>
      </c>
    </row>
    <row r="30" ht="31.5" customHeight="1" s="28">
      <c r="B30" s="37" t="n">
        <v>22</v>
      </c>
      <c r="C30" s="38" t="inlineStr">
        <is>
          <t>Subcontractor cost proposals attached for each subcontractor</t>
        </is>
      </c>
      <c r="D30" s="39" t="inlineStr">
        <is>
          <t>FAR 15.404-3</t>
        </is>
      </c>
      <c r="E30" s="39" t="inlineStr">
        <is>
          <t>Y</t>
        </is>
      </c>
      <c r="F30" s="39" t="n"/>
      <c r="G30" s="38" t="n"/>
      <c r="H30" s="38" t="inlineStr">
        <is>
          <t>Each sub must provide their own cost/price proposal</t>
        </is>
      </c>
    </row>
    <row r="31" ht="31.5" customHeight="1" s="28">
      <c r="B31" s="37" t="n">
        <v>23</v>
      </c>
      <c r="C31" s="38" t="inlineStr">
        <is>
          <t>Subcontractor cost/price analysis summary provided</t>
        </is>
      </c>
      <c r="D31" s="39" t="inlineStr">
        <is>
          <t>FAR 15.404-3</t>
        </is>
      </c>
      <c r="E31" s="39" t="inlineStr">
        <is>
          <t>Y</t>
        </is>
      </c>
      <c r="F31" s="39" t="n"/>
      <c r="G31" s="38" t="n"/>
      <c r="H31" s="38" t="inlineStr">
        <is>
          <t>Prime must demonstrate sub prices are fair and reasonable</t>
        </is>
      </c>
    </row>
    <row r="32" ht="31.5" customHeight="1" s="28">
      <c r="B32" s="37" t="n">
        <v>24</v>
      </c>
      <c r="C32" s="38" t="inlineStr">
        <is>
          <t>Other Direct Costs (ODCs) itemized and justified</t>
        </is>
      </c>
      <c r="D32" s="39" t="inlineStr">
        <is>
          <t>FAR 15.408, Table 15-2</t>
        </is>
      </c>
      <c r="E32" s="39" t="inlineStr">
        <is>
          <t>Y</t>
        </is>
      </c>
      <c r="F32" s="39" t="n"/>
      <c r="G32" s="38" t="n"/>
      <c r="H32" s="38" t="inlineStr">
        <is>
          <t>Equipment, licenses, training, certifications — justify each</t>
        </is>
      </c>
    </row>
    <row r="33" ht="31.5" customHeight="1" s="28">
      <c r="B33" s="37" t="n">
        <v>25</v>
      </c>
      <c r="C33" s="38" t="inlineStr">
        <is>
          <t>Material handling rate disclosed (if applicable)</t>
        </is>
      </c>
      <c r="D33" s="39" t="inlineStr">
        <is>
          <t>FAR 31.205-26</t>
        </is>
      </c>
      <c r="E33" s="39" t="inlineStr">
        <is>
          <t>Conditional</t>
        </is>
      </c>
      <c r="F33" s="39" t="n"/>
      <c r="G33" s="38" t="n"/>
      <c r="H33" s="38" t="inlineStr">
        <is>
          <t>Rate applied to material/subcontract costs through your system</t>
        </is>
      </c>
    </row>
    <row r="34" ht="31.5" customHeight="1" s="28">
      <c r="B34" s="37" t="n">
        <v>26</v>
      </c>
      <c r="C34" s="38" t="inlineStr">
        <is>
          <t>Fee/profit percentage stated and justified</t>
        </is>
      </c>
      <c r="D34" s="39" t="inlineStr">
        <is>
          <t>FAR 15.404-4</t>
        </is>
      </c>
      <c r="E34" s="39" t="inlineStr">
        <is>
          <t>Y</t>
        </is>
      </c>
      <c r="F34" s="39" t="n"/>
      <c r="G34" s="38" t="n"/>
      <c r="H34" s="38" t="inlineStr">
        <is>
          <t>Reference weighted guidelines method (DFARS 215.404-71)</t>
        </is>
      </c>
    </row>
    <row r="35" ht="31.5" customHeight="1" s="28">
      <c r="B35" s="37" t="n">
        <v>27</v>
      </c>
      <c r="C35" s="38" t="inlineStr">
        <is>
          <t>Fee/profit narrative explains risk, investment, and complexity</t>
        </is>
      </c>
      <c r="D35" s="39" t="inlineStr">
        <is>
          <t>DFARS 215.404-71</t>
        </is>
      </c>
      <c r="E35" s="39" t="inlineStr">
        <is>
          <t>Y</t>
        </is>
      </c>
      <c r="F35" s="39" t="n"/>
      <c r="G35" s="38" t="n"/>
      <c r="H35" s="38" t="inlineStr">
        <is>
          <t>Higher fee requires higher risk justification</t>
        </is>
      </c>
    </row>
    <row r="36" ht="31.5" customHeight="1" s="28">
      <c r="B36" s="37" t="n">
        <v>28</v>
      </c>
      <c r="C36" s="38" t="inlineStr">
        <is>
          <t>TINA threshold check — certified cost or pricing data required?</t>
        </is>
      </c>
      <c r="D36" s="39" t="inlineStr">
        <is>
          <t>FAR 15.403-4 (&gt;$2.5M)</t>
        </is>
      </c>
      <c r="E36" s="39" t="inlineStr">
        <is>
          <t>Y</t>
        </is>
      </c>
      <c r="F36" s="39" t="n"/>
      <c r="G36" s="38" t="n"/>
      <c r="H36" s="38" t="inlineStr">
        <is>
          <t>If total price &gt;$2.5M, certify per FAR 15.406-2 unless exemption applies</t>
        </is>
      </c>
    </row>
    <row r="37" ht="31.5" customHeight="1" s="28">
      <c r="B37" s="37" t="n">
        <v>29</v>
      </c>
      <c r="C37" s="38" t="inlineStr">
        <is>
          <t>Certificate of Current Cost or Pricing Data (if required)</t>
        </is>
      </c>
      <c r="D37" s="39" t="inlineStr">
        <is>
          <t>FAR 15.406-2</t>
        </is>
      </c>
      <c r="E37" s="39" t="inlineStr">
        <is>
          <t>Conditional</t>
        </is>
      </c>
      <c r="F37" s="39" t="n"/>
      <c r="G37" s="38" t="n"/>
      <c r="H37" s="38" t="inlineStr">
        <is>
          <t>Required if above TINA threshold and no exception per FAR 15.403-1</t>
        </is>
      </c>
    </row>
    <row r="38" ht="31.5" customHeight="1" s="28">
      <c r="B38" s="37" t="n">
        <v>30</v>
      </c>
      <c r="C38" s="38" t="inlineStr">
        <is>
          <t>Price realism narrative (for cost-type contracts)</t>
        </is>
      </c>
      <c r="D38" s="39" t="inlineStr">
        <is>
          <t>FAR 15.404-1(d)</t>
        </is>
      </c>
      <c r="E38" s="39" t="inlineStr">
        <is>
          <t>Conditional</t>
        </is>
      </c>
      <c r="F38" s="39" t="n"/>
      <c r="G38" s="38" t="n"/>
      <c r="H38" s="38" t="inlineStr">
        <is>
          <t>Required for cost-reimbursement; explain why costs are realistic, not low</t>
        </is>
      </c>
    </row>
    <row r="39" ht="31.5" customHeight="1" s="28">
      <c r="B39" s="37" t="n">
        <v>31</v>
      </c>
      <c r="C39" s="38" t="inlineStr">
        <is>
          <t>Price reasonableness analysis support (for FFP)</t>
        </is>
      </c>
      <c r="D39" s="39" t="inlineStr">
        <is>
          <t>FAR 15.404-1(b)</t>
        </is>
      </c>
      <c r="E39" s="39" t="inlineStr">
        <is>
          <t>Conditional</t>
        </is>
      </c>
      <c r="F39" s="39" t="n"/>
      <c r="G39" s="38" t="n"/>
      <c r="H39" s="38" t="inlineStr">
        <is>
          <t>Provide market data, historical pricing, or competitive analysis</t>
        </is>
      </c>
    </row>
    <row r="40" ht="31.5" customHeight="1" s="28">
      <c r="B40" s="37" t="n">
        <v>32</v>
      </c>
      <c r="C40" s="38" t="inlineStr">
        <is>
          <t>SAM.gov registration current and active</t>
        </is>
      </c>
      <c r="D40" s="39" t="inlineStr">
        <is>
          <t>FAR 52.204-7</t>
        </is>
      </c>
      <c r="E40" s="39" t="inlineStr">
        <is>
          <t>Y</t>
        </is>
      </c>
      <c r="F40" s="39" t="n"/>
      <c r="G40" s="38" t="n"/>
      <c r="H40" s="38" t="inlineStr">
        <is>
          <t>Verify expiration date; print SAM.gov entity page</t>
        </is>
      </c>
    </row>
    <row r="41" ht="31.5" customHeight="1" s="28">
      <c r="B41" s="37" t="n">
        <v>33</v>
      </c>
      <c r="C41" s="38" t="inlineStr">
        <is>
          <t>CAGE code correct and current</t>
        </is>
      </c>
      <c r="D41" s="39" t="inlineStr">
        <is>
          <t>DFARS 204.1870</t>
        </is>
      </c>
      <c r="E41" s="39" t="inlineStr">
        <is>
          <t>Y</t>
        </is>
      </c>
      <c r="F41" s="39" t="n"/>
      <c r="G41" s="38" t="n"/>
      <c r="H41" s="38" t="inlineStr">
        <is>
          <t>Must match SAM.gov registration; verify at cage.dla.mil</t>
        </is>
      </c>
    </row>
    <row r="42" ht="31.5" customHeight="1" s="28">
      <c r="B42" s="37" t="n">
        <v>34</v>
      </c>
      <c r="C42" s="38" t="inlineStr">
        <is>
          <t>Size standard certification (small business self-certification)</t>
        </is>
      </c>
      <c r="D42" s="39" t="inlineStr">
        <is>
          <t>FAR 19.301</t>
        </is>
      </c>
      <c r="E42" s="39" t="inlineStr">
        <is>
          <t>Y</t>
        </is>
      </c>
      <c r="F42" s="39" t="n"/>
      <c r="G42" s="38" t="n"/>
      <c r="H42" s="38" t="inlineStr">
        <is>
          <t>Based on NAICS code in RFP; verify at SBA.gov</t>
        </is>
      </c>
    </row>
    <row r="43" ht="31.5" customHeight="1" s="28">
      <c r="B43" s="37" t="n">
        <v>35</v>
      </c>
      <c r="C43" s="38" t="inlineStr">
        <is>
          <t>Representations and Certifications (FAR 52.204-8 or SAM printout)</t>
        </is>
      </c>
      <c r="D43" s="39" t="inlineStr">
        <is>
          <t>FAR 52.204-8</t>
        </is>
      </c>
      <c r="E43" s="39" t="inlineStr">
        <is>
          <t>Y</t>
        </is>
      </c>
      <c r="F43" s="39" t="n"/>
      <c r="G43" s="38" t="n"/>
      <c r="H43" s="38" t="inlineStr">
        <is>
          <t>Complete in SAM.gov or provide with proposal per RFP instructions</t>
        </is>
      </c>
    </row>
    <row r="44" ht="31.5" customHeight="1" s="28">
      <c r="B44" s="37" t="n">
        <v>36</v>
      </c>
      <c r="C44" s="38" t="inlineStr">
        <is>
          <t>DD Form 1423 — CDRLs completed for all required deliverables</t>
        </is>
      </c>
      <c r="D44" s="39" t="inlineStr">
        <is>
          <t>DFARS 252.242-7006</t>
        </is>
      </c>
      <c r="E44" s="39" t="inlineStr">
        <is>
          <t>Conditional</t>
        </is>
      </c>
      <c r="F44" s="39" t="n"/>
      <c r="G44" s="38" t="n"/>
      <c r="H44" s="38" t="inlineStr">
        <is>
          <t>One form per deliverable; match DID numbers to SOW</t>
        </is>
      </c>
    </row>
    <row r="45" ht="31.5" customHeight="1" s="28">
      <c r="B45" s="37" t="n">
        <v>37</v>
      </c>
      <c r="C45" s="38" t="inlineStr">
        <is>
          <t>Basis of Estimate (BOE) narrative for each cost element</t>
        </is>
      </c>
      <c r="D45" s="39" t="inlineStr">
        <is>
          <t>FAR 15.408, Table 15-2</t>
        </is>
      </c>
      <c r="E45" s="39" t="inlineStr">
        <is>
          <t>Y</t>
        </is>
      </c>
      <c r="F45" s="39" t="n"/>
      <c r="G45" s="38" t="n"/>
      <c r="H45" s="38" t="inlineStr">
        <is>
          <t>Explain methodology for each major cost: labor, ODC, travel, subs</t>
        </is>
      </c>
    </row>
    <row r="46" ht="31.5" customHeight="1" s="28">
      <c r="B46" s="37" t="n">
        <v>38</v>
      </c>
      <c r="C46" s="38" t="inlineStr">
        <is>
          <t>Wage Determination compliance statement (SCA/DBA)</t>
        </is>
      </c>
      <c r="D46" s="39" t="inlineStr">
        <is>
          <t>FAR 22.1002 / 29 CFR 4</t>
        </is>
      </c>
      <c r="E46" s="39" t="inlineStr">
        <is>
          <t>Conditional</t>
        </is>
      </c>
      <c r="F46" s="39" t="n"/>
      <c r="G46" s="38" t="n"/>
      <c r="H46" s="38" t="inlineStr">
        <is>
          <t>Required if Service Contract Act applies; cite WD number from SAM.gov</t>
        </is>
      </c>
    </row>
    <row r="47" ht="31.5" customHeight="1" s="28">
      <c r="B47" s="37" t="n">
        <v>39</v>
      </c>
      <c r="C47" s="38" t="inlineStr">
        <is>
          <t>Small Business Subcontracting Plan (if &gt;$750K)</t>
        </is>
      </c>
      <c r="D47" s="39" t="inlineStr">
        <is>
          <t>FAR 52.219-9</t>
        </is>
      </c>
      <c r="E47" s="39" t="inlineStr">
        <is>
          <t>Conditional</t>
        </is>
      </c>
      <c r="F47" s="39" t="n"/>
      <c r="G47" s="38" t="n"/>
      <c r="H47" s="38" t="inlineStr">
        <is>
          <t>Required for other-than-small business &gt;$750K; include all SB category goals</t>
        </is>
      </c>
    </row>
    <row r="48" ht="31.5" customHeight="1" s="28">
      <c r="B48" s="37" t="n">
        <v>40</v>
      </c>
      <c r="C48" s="38" t="inlineStr">
        <is>
          <t>Cross-reference: pricing labor hours match staffing plan in Vol II</t>
        </is>
      </c>
      <c r="D48" s="39" t="inlineStr">
        <is>
          <t>Internal QC</t>
        </is>
      </c>
      <c r="E48" s="39" t="inlineStr">
        <is>
          <t>Y</t>
        </is>
      </c>
      <c r="F48" s="39" t="n"/>
      <c r="G48" s="38" t="n"/>
      <c r="H48" s="38" t="inlineStr">
        <is>
          <t>Total hours by LCAT must reconcile exactly between Price and Management volumes</t>
        </is>
      </c>
    </row>
    <row r="50">
      <c r="B50" s="56" t="inlineStr">
        <is>
          <t>License &amp; Use</t>
        </is>
      </c>
    </row>
    <row r="51">
      <c r="B51" s="57" t="inlineStr">
        <is>
          <t>This template is licensed for use on one program, by one organization, under your Acqlerate purchase. Customize the text, branding, and layout freely for your own program. Deploying it company-wide, sharing it outside your organization, or reselling it requires an Acqlerate Team License (acqlerate.com/team).</t>
        </is>
      </c>
    </row>
  </sheetData>
  <mergeCells count="3">
    <mergeCell ref="B3:H3"/>
    <mergeCell ref="B2:H2"/>
    <mergeCell ref="B5:C5"/>
  </mergeCells>
  <conditionalFormatting sqref="F9:F48">
    <cfRule type="cellIs" rank="0" priority="2" equalAverage="0" operator="equal" aboveAverage="0" dxfId="0" text="" percent="0" bottom="0">
      <formula>"Yes"</formula>
    </cfRule>
    <cfRule type="cellIs" rank="0" priority="3" equalAverage="0" operator="equal" aboveAverage="0" dxfId="1" text="" percent="0" bottom="0">
      <formula>"No"</formula>
    </cfRule>
    <cfRule type="cellIs" rank="0" priority="4" equalAverage="0" operator="equal" aboveAverage="0" dxfId="2" text="" percent="0" bottom="0">
      <formula>"In Progress"</formula>
    </cfRule>
  </conditionalFormatting>
  <dataValidations count="2">
    <dataValidation sqref="E9:E48" showDropDown="0" showInputMessage="0" showErrorMessage="0" allowBlank="1" type="list" errorStyle="stop" operator="between">
      <formula1>"Y,N,Conditional"</formula1>
      <formula2>0</formula2>
    </dataValidation>
    <dataValidation sqref="F9:F48" showDropDown="0" showInputMessage="0" showErrorMessage="0" allowBlank="1" type="list" errorStyle="stop" operator="between">
      <formula1>"Yes,No,N/A,In Progress"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1696F"/>
    <outlinePr summaryBelow="1" summaryRight="1"/>
    <pageSetUpPr fitToPage="0"/>
  </sheetPr>
  <dimension ref="B2:M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27" min="1" max="1"/>
    <col width="28" customWidth="1" style="27" min="2" max="2"/>
    <col width="14" customWidth="1" style="27" min="3" max="12"/>
    <col width="16" customWidth="1" style="27" min="13" max="13"/>
  </cols>
  <sheetData>
    <row r="2" ht="19.5" customHeight="1" s="28">
      <c r="B2" s="29" t="inlineStr">
        <is>
          <t>CLIN/SLIN PRICING TABLE</t>
        </is>
      </c>
    </row>
    <row r="3" ht="15" customHeight="1" s="28">
      <c r="B3" s="30" t="inlineStr">
        <is>
          <t>Acqlerate — Defense Acquisitions Academy</t>
        </is>
      </c>
    </row>
    <row r="4" ht="15" customHeight="1" s="28">
      <c r="B4" s="40" t="inlineStr">
        <is>
          <t>Customize this template to match your RFP's CLIN structure. Formulas auto-calculate totals.</t>
        </is>
      </c>
    </row>
    <row r="6" ht="36" customHeight="1" s="28">
      <c r="B6" s="36" t="inlineStr">
        <is>
          <t>CLIN/SLIN</t>
        </is>
      </c>
      <c r="C6" s="36" t="inlineStr">
        <is>
          <t>Description</t>
        </is>
      </c>
      <c r="D6" s="36" t="inlineStr">
        <is>
          <t>Contract
Type</t>
        </is>
      </c>
      <c r="E6" s="36" t="inlineStr">
        <is>
          <t>Unit</t>
        </is>
      </c>
      <c r="F6" s="36" t="inlineStr">
        <is>
          <t>Qty</t>
        </is>
      </c>
      <c r="G6" s="36" t="inlineStr">
        <is>
          <t>Unit Price</t>
        </is>
      </c>
      <c r="H6" s="36" t="inlineStr">
        <is>
          <t>Base Year</t>
        </is>
      </c>
      <c r="I6" s="36" t="inlineStr">
        <is>
          <t>Option Yr 1</t>
        </is>
      </c>
      <c r="J6" s="36" t="inlineStr">
        <is>
          <t>Option Yr 2</t>
        </is>
      </c>
      <c r="K6" s="36" t="inlineStr">
        <is>
          <t>Option Yr 3</t>
        </is>
      </c>
      <c r="L6" s="36" t="inlineStr">
        <is>
          <t>Option Yr 4</t>
        </is>
      </c>
      <c r="M6" s="36" t="inlineStr">
        <is>
          <t>Total</t>
        </is>
      </c>
    </row>
    <row r="7" ht="24" customHeight="1" s="28">
      <c r="B7" s="41" t="inlineStr">
        <is>
          <t>0001</t>
        </is>
      </c>
      <c r="C7" s="38" t="inlineStr">
        <is>
          <t>Program Management</t>
        </is>
      </c>
      <c r="D7" s="37" t="inlineStr">
        <is>
          <t>FFP</t>
        </is>
      </c>
      <c r="E7" s="37" t="inlineStr">
        <is>
          <t>MO</t>
        </is>
      </c>
      <c r="F7" s="37" t="inlineStr">
        <is>
          <t>12</t>
        </is>
      </c>
      <c r="G7" s="42" t="n"/>
      <c r="H7" s="42" t="n"/>
      <c r="I7" s="42" t="n"/>
      <c r="J7" s="42" t="n"/>
      <c r="K7" s="42" t="n"/>
      <c r="L7" s="42" t="n"/>
      <c r="M7" s="43">
        <f>SUM(H7:L7)</f>
        <v/>
      </c>
    </row>
    <row r="8" ht="24" customHeight="1" s="28">
      <c r="B8" s="41" t="inlineStr">
        <is>
          <t>0002</t>
        </is>
      </c>
      <c r="C8" s="38" t="inlineStr">
        <is>
          <t>Systems Engineering &amp; Technical Support</t>
        </is>
      </c>
      <c r="D8" s="37" t="inlineStr">
        <is>
          <t>T&amp;M</t>
        </is>
      </c>
      <c r="E8" s="37" t="inlineStr">
        <is>
          <t>HR</t>
        </is>
      </c>
      <c r="F8" s="37" t="n"/>
      <c r="G8" s="42" t="n"/>
      <c r="H8" s="42" t="n"/>
      <c r="I8" s="42" t="n"/>
      <c r="J8" s="42" t="n"/>
      <c r="K8" s="42" t="n"/>
      <c r="L8" s="42" t="n"/>
      <c r="M8" s="43">
        <f>SUM(H8:L8)</f>
        <v/>
      </c>
    </row>
    <row r="9" ht="24" customHeight="1" s="28">
      <c r="B9" s="41" t="inlineStr">
        <is>
          <t>0002AA</t>
        </is>
      </c>
      <c r="C9" s="38" t="inlineStr">
        <is>
          <t xml:space="preserve">  — Senior Systems Engineer</t>
        </is>
      </c>
      <c r="D9" s="37" t="inlineStr">
        <is>
          <t>T&amp;M</t>
        </is>
      </c>
      <c r="E9" s="37" t="inlineStr">
        <is>
          <t>HR</t>
        </is>
      </c>
      <c r="F9" s="37" t="n"/>
      <c r="G9" s="42" t="n"/>
      <c r="H9" s="42" t="n"/>
      <c r="I9" s="42" t="n"/>
      <c r="J9" s="42" t="n"/>
      <c r="K9" s="42" t="n"/>
      <c r="L9" s="42" t="n"/>
      <c r="M9" s="43">
        <f>SUM(H9:L9)</f>
        <v/>
      </c>
    </row>
    <row r="10" ht="24" customHeight="1" s="28">
      <c r="B10" s="41" t="inlineStr">
        <is>
          <t>0002AB</t>
        </is>
      </c>
      <c r="C10" s="38" t="inlineStr">
        <is>
          <t xml:space="preserve">  — Systems Engineer</t>
        </is>
      </c>
      <c r="D10" s="37" t="inlineStr">
        <is>
          <t>T&amp;M</t>
        </is>
      </c>
      <c r="E10" s="37" t="inlineStr">
        <is>
          <t>HR</t>
        </is>
      </c>
      <c r="F10" s="37" t="n"/>
      <c r="G10" s="42" t="n"/>
      <c r="H10" s="42" t="n"/>
      <c r="I10" s="42" t="n"/>
      <c r="J10" s="42" t="n"/>
      <c r="K10" s="42" t="n"/>
      <c r="L10" s="42" t="n"/>
      <c r="M10" s="43">
        <f>SUM(H10:L10)</f>
        <v/>
      </c>
    </row>
    <row r="11" ht="24" customHeight="1" s="28">
      <c r="B11" s="41" t="inlineStr">
        <is>
          <t>0002AC</t>
        </is>
      </c>
      <c r="C11" s="38" t="inlineStr">
        <is>
          <t xml:space="preserve">  — Junior Systems Engineer</t>
        </is>
      </c>
      <c r="D11" s="37" t="inlineStr">
        <is>
          <t>T&amp;M</t>
        </is>
      </c>
      <c r="E11" s="37" t="inlineStr">
        <is>
          <t>HR</t>
        </is>
      </c>
      <c r="F11" s="37" t="n"/>
      <c r="G11" s="42" t="n"/>
      <c r="H11" s="42" t="n"/>
      <c r="I11" s="42" t="n"/>
      <c r="J11" s="42" t="n"/>
      <c r="K11" s="42" t="n"/>
      <c r="L11" s="42" t="n"/>
      <c r="M11" s="43">
        <f>SUM(H11:L11)</f>
        <v/>
      </c>
    </row>
    <row r="12" ht="24" customHeight="1" s="28">
      <c r="B12" s="41" t="inlineStr">
        <is>
          <t>0003</t>
        </is>
      </c>
      <c r="C12" s="38" t="inlineStr">
        <is>
          <t>Cybersecurity Operations</t>
        </is>
      </c>
      <c r="D12" s="37" t="inlineStr">
        <is>
          <t>FFP</t>
        </is>
      </c>
      <c r="E12" s="37" t="inlineStr">
        <is>
          <t>MO</t>
        </is>
      </c>
      <c r="F12" s="37" t="inlineStr">
        <is>
          <t>12</t>
        </is>
      </c>
      <c r="G12" s="42" t="n"/>
      <c r="H12" s="42" t="n"/>
      <c r="I12" s="42" t="n"/>
      <c r="J12" s="42" t="n"/>
      <c r="K12" s="42" t="n"/>
      <c r="L12" s="42" t="n"/>
      <c r="M12" s="43">
        <f>SUM(H12:L12)</f>
        <v/>
      </c>
    </row>
    <row r="13" ht="24" customHeight="1" s="28">
      <c r="B13" s="41" t="inlineStr">
        <is>
          <t>0004</t>
        </is>
      </c>
      <c r="C13" s="38" t="inlineStr">
        <is>
          <t>Cloud Migration Services</t>
        </is>
      </c>
      <c r="D13" s="37" t="inlineStr">
        <is>
          <t>CPFF</t>
        </is>
      </c>
      <c r="E13" s="37" t="inlineStr">
        <is>
          <t>LOT</t>
        </is>
      </c>
      <c r="F13" s="37" t="inlineStr">
        <is>
          <t>1</t>
        </is>
      </c>
      <c r="G13" s="42" t="n"/>
      <c r="H13" s="42" t="n"/>
      <c r="I13" s="42" t="n"/>
      <c r="J13" s="42" t="n"/>
      <c r="K13" s="42" t="n"/>
      <c r="L13" s="42" t="n"/>
      <c r="M13" s="43">
        <f>SUM(H13:L13)</f>
        <v/>
      </c>
    </row>
    <row r="14" ht="24" customHeight="1" s="28">
      <c r="B14" s="41" t="inlineStr">
        <is>
          <t>0005</t>
        </is>
      </c>
      <c r="C14" s="38" t="inlineStr">
        <is>
          <t>Help Desk / Service Desk (Tier I-III)</t>
        </is>
      </c>
      <c r="D14" s="37" t="inlineStr">
        <is>
          <t>FFP</t>
        </is>
      </c>
      <c r="E14" s="37" t="inlineStr">
        <is>
          <t>MO</t>
        </is>
      </c>
      <c r="F14" s="37" t="inlineStr">
        <is>
          <t>12</t>
        </is>
      </c>
      <c r="G14" s="42" t="n"/>
      <c r="H14" s="42" t="n"/>
      <c r="I14" s="42" t="n"/>
      <c r="J14" s="42" t="n"/>
      <c r="K14" s="42" t="n"/>
      <c r="L14" s="42" t="n"/>
      <c r="M14" s="43">
        <f>SUM(H14:L14)</f>
        <v/>
      </c>
    </row>
    <row r="15" ht="24" customHeight="1" s="28">
      <c r="B15" s="41" t="inlineStr">
        <is>
          <t>0006</t>
        </is>
      </c>
      <c r="C15" s="38" t="inlineStr">
        <is>
          <t>Travel</t>
        </is>
      </c>
      <c r="D15" s="37" t="inlineStr">
        <is>
          <t>NTE</t>
        </is>
      </c>
      <c r="E15" s="37" t="inlineStr">
        <is>
          <t>LOT</t>
        </is>
      </c>
      <c r="F15" s="37" t="inlineStr">
        <is>
          <t>1</t>
        </is>
      </c>
      <c r="G15" s="42" t="n"/>
      <c r="H15" s="42" t="n"/>
      <c r="I15" s="42" t="n"/>
      <c r="J15" s="42" t="n"/>
      <c r="K15" s="42" t="n"/>
      <c r="L15" s="42" t="n"/>
      <c r="M15" s="43">
        <f>SUM(H15:L15)</f>
        <v/>
      </c>
    </row>
    <row r="16" ht="24" customHeight="1" s="28">
      <c r="B16" s="41" t="inlineStr">
        <is>
          <t>0007</t>
        </is>
      </c>
      <c r="C16" s="38" t="inlineStr">
        <is>
          <t>Other Direct Costs (Materials, Licenses)</t>
        </is>
      </c>
      <c r="D16" s="37" t="inlineStr">
        <is>
          <t>NTE</t>
        </is>
      </c>
      <c r="E16" s="37" t="inlineStr">
        <is>
          <t>LOT</t>
        </is>
      </c>
      <c r="F16" s="37" t="inlineStr">
        <is>
          <t>1</t>
        </is>
      </c>
      <c r="G16" s="42" t="n"/>
      <c r="H16" s="42" t="n"/>
      <c r="I16" s="42" t="n"/>
      <c r="J16" s="42" t="n"/>
      <c r="K16" s="42" t="n"/>
      <c r="L16" s="42" t="n"/>
      <c r="M16" s="43">
        <f>SUM(H16:L16)</f>
        <v/>
      </c>
    </row>
    <row r="17" ht="24" customHeight="1" s="28">
      <c r="B17" s="41" t="inlineStr">
        <is>
          <t>1001</t>
        </is>
      </c>
      <c r="C17" s="38" t="inlineStr">
        <is>
          <t>Program Management (Option Year 1)</t>
        </is>
      </c>
      <c r="D17" s="37" t="inlineStr">
        <is>
          <t>FFP</t>
        </is>
      </c>
      <c r="E17" s="37" t="inlineStr">
        <is>
          <t>MO</t>
        </is>
      </c>
      <c r="F17" s="37" t="inlineStr">
        <is>
          <t>12</t>
        </is>
      </c>
      <c r="G17" s="42" t="n"/>
      <c r="H17" s="42" t="n"/>
      <c r="I17" s="42" t="n"/>
      <c r="J17" s="42" t="n"/>
      <c r="K17" s="42" t="n"/>
      <c r="L17" s="42" t="n"/>
      <c r="M17" s="43">
        <f>SUM(H17:L17)</f>
        <v/>
      </c>
    </row>
    <row r="18" ht="24" customHeight="1" s="28">
      <c r="B18" s="41" t="inlineStr">
        <is>
          <t>1002</t>
        </is>
      </c>
      <c r="C18" s="38" t="inlineStr">
        <is>
          <t>Systems Engineering &amp; Technical Support (OY1)</t>
        </is>
      </c>
      <c r="D18" s="37" t="inlineStr">
        <is>
          <t>T&amp;M</t>
        </is>
      </c>
      <c r="E18" s="37" t="inlineStr">
        <is>
          <t>HR</t>
        </is>
      </c>
      <c r="F18" s="37" t="n"/>
      <c r="G18" s="42" t="n"/>
      <c r="H18" s="42" t="n"/>
      <c r="I18" s="42" t="n"/>
      <c r="J18" s="42" t="n"/>
      <c r="K18" s="42" t="n"/>
      <c r="L18" s="42" t="n"/>
      <c r="M18" s="43">
        <f>SUM(H18:L18)</f>
        <v/>
      </c>
    </row>
    <row r="19" ht="24" customHeight="1" s="28">
      <c r="B19" s="41" t="inlineStr">
        <is>
          <t>1003</t>
        </is>
      </c>
      <c r="C19" s="38" t="inlineStr">
        <is>
          <t>Cybersecurity Operations (OY1)</t>
        </is>
      </c>
      <c r="D19" s="37" t="inlineStr">
        <is>
          <t>FFP</t>
        </is>
      </c>
      <c r="E19" s="37" t="inlineStr">
        <is>
          <t>MO</t>
        </is>
      </c>
      <c r="F19" s="37" t="inlineStr">
        <is>
          <t>12</t>
        </is>
      </c>
      <c r="G19" s="42" t="n"/>
      <c r="H19" s="42" t="n"/>
      <c r="I19" s="42" t="n"/>
      <c r="J19" s="42" t="n"/>
      <c r="K19" s="42" t="n"/>
      <c r="L19" s="42" t="n"/>
      <c r="M19" s="43">
        <f>SUM(H19:L19)</f>
        <v/>
      </c>
    </row>
    <row r="21" ht="30" customHeight="1" s="28">
      <c r="B21" s="44" t="inlineStr">
        <is>
          <t>GRAND TOTAL</t>
        </is>
      </c>
      <c r="C21" s="45" t="n"/>
      <c r="D21" s="45" t="n"/>
      <c r="E21" s="45" t="n"/>
      <c r="F21" s="46" t="n"/>
      <c r="G21" s="58" t="inlineStr">
        <is>
          <t>n/a</t>
        </is>
      </c>
      <c r="H21" s="47">
        <f>SUM(H7:H19)</f>
        <v/>
      </c>
      <c r="I21" s="47">
        <f>SUM(I7:I19)</f>
        <v/>
      </c>
      <c r="J21" s="47">
        <f>SUM(J7:J19)</f>
        <v/>
      </c>
      <c r="K21" s="47">
        <f>SUM(K7:K19)</f>
        <v/>
      </c>
      <c r="L21" s="47">
        <f>SUM(L7:L19)</f>
        <v/>
      </c>
      <c r="M21" s="47">
        <f>SUM(M7:M19)</f>
        <v/>
      </c>
    </row>
    <row r="22">
      <c r="B22" s="59" t="inlineStr">
        <is>
          <t>Unit Price has no meaningful total — CLINs use different units (MO, HR, LOT). Year columns and Total are the real rollups.</t>
        </is>
      </c>
    </row>
    <row r="24" ht="27.75" customHeight="1" s="28">
      <c r="B24" s="48" t="inlineStr">
        <is>
          <t>LABOR CATEGORY RATE SUMMARY</t>
        </is>
      </c>
    </row>
    <row r="25" ht="31.5" customHeight="1" s="28">
      <c r="B25" s="36" t="inlineStr">
        <is>
          <t>LCAT</t>
        </is>
      </c>
      <c r="C25" s="36" t="inlineStr">
        <is>
          <t>Base Year
Rate</t>
        </is>
      </c>
      <c r="D25" s="36" t="inlineStr">
        <is>
          <t>OY1 Rate</t>
        </is>
      </c>
      <c r="E25" s="36" t="inlineStr">
        <is>
          <t>OY2 Rate</t>
        </is>
      </c>
      <c r="F25" s="36" t="inlineStr">
        <is>
          <t>OY3 Rate</t>
        </is>
      </c>
      <c r="G25" s="36" t="inlineStr">
        <is>
          <t>OY4 Rate</t>
        </is>
      </c>
      <c r="H25" s="36" t="inlineStr">
        <is>
          <t>Escalation %</t>
        </is>
      </c>
    </row>
    <row r="26" ht="15" customHeight="1" s="28">
      <c r="B26" s="49" t="inlineStr">
        <is>
          <t>Program Manager</t>
        </is>
      </c>
      <c r="C26" s="42" t="n"/>
      <c r="D26" s="42">
        <f>IF(C26="","",C26*(1+H26))</f>
        <v/>
      </c>
      <c r="E26" s="42">
        <f>IF(C26="","",C26*(1+H26)^2)</f>
        <v/>
      </c>
      <c r="F26" s="42">
        <f>IF(C26="","",C26*(1+H26)^3)</f>
        <v/>
      </c>
      <c r="G26" s="42">
        <f>IF(C26="","",C26*(1+H26)^4)</f>
        <v/>
      </c>
      <c r="H26" s="50" t="n"/>
    </row>
    <row r="27" ht="15" customHeight="1" s="28">
      <c r="B27" s="49" t="inlineStr">
        <is>
          <t>Deputy Program Manager</t>
        </is>
      </c>
      <c r="C27" s="42" t="n"/>
      <c r="D27" s="42">
        <f>IF(C27="","",C27*(1+H27))</f>
        <v/>
      </c>
      <c r="E27" s="42">
        <f>IF(C27="","",C27*(1+H27)^2)</f>
        <v/>
      </c>
      <c r="F27" s="42">
        <f>IF(C27="","",C27*(1+H27)^3)</f>
        <v/>
      </c>
      <c r="G27" s="42">
        <f>IF(C27="","",C27*(1+H27)^4)</f>
        <v/>
      </c>
      <c r="H27" s="50" t="n"/>
    </row>
    <row r="28" ht="15" customHeight="1" s="28">
      <c r="B28" s="49" t="inlineStr">
        <is>
          <t>Senior Systems Engineer</t>
        </is>
      </c>
      <c r="C28" s="42" t="n"/>
      <c r="D28" s="42">
        <f>IF(C28="","",C28*(1+H28))</f>
        <v/>
      </c>
      <c r="E28" s="42">
        <f>IF(C28="","",C28*(1+H28)^2)</f>
        <v/>
      </c>
      <c r="F28" s="42">
        <f>IF(C28="","",C28*(1+H28)^3)</f>
        <v/>
      </c>
      <c r="G28" s="42">
        <f>IF(C28="","",C28*(1+H28)^4)</f>
        <v/>
      </c>
      <c r="H28" s="50" t="n"/>
    </row>
    <row r="29" ht="15" customHeight="1" s="28">
      <c r="B29" s="49" t="inlineStr">
        <is>
          <t>Systems Engineer</t>
        </is>
      </c>
      <c r="C29" s="42" t="n"/>
      <c r="D29" s="42">
        <f>IF(C29="","",C29*(1+H29))</f>
        <v/>
      </c>
      <c r="E29" s="42">
        <f>IF(C29="","",C29*(1+H29)^2)</f>
        <v/>
      </c>
      <c r="F29" s="42">
        <f>IF(C29="","",C29*(1+H29)^3)</f>
        <v/>
      </c>
      <c r="G29" s="42">
        <f>IF(C29="","",C29*(1+H29)^4)</f>
        <v/>
      </c>
      <c r="H29" s="50" t="n"/>
    </row>
    <row r="30" ht="15" customHeight="1" s="28">
      <c r="B30" s="49" t="inlineStr">
        <is>
          <t>Junior Systems Engineer</t>
        </is>
      </c>
      <c r="C30" s="42" t="n"/>
      <c r="D30" s="42">
        <f>IF(C30="","",C30*(1+H30))</f>
        <v/>
      </c>
      <c r="E30" s="42">
        <f>IF(C30="","",C30*(1+H30)^2)</f>
        <v/>
      </c>
      <c r="F30" s="42">
        <f>IF(C30="","",C30*(1+H30)^3)</f>
        <v/>
      </c>
      <c r="G30" s="42">
        <f>IF(C30="","",C30*(1+H30)^4)</f>
        <v/>
      </c>
      <c r="H30" s="50" t="n"/>
    </row>
    <row r="31" ht="15" customHeight="1" s="28">
      <c r="B31" s="49" t="inlineStr">
        <is>
          <t>Cybersecurity Analyst (Senior)</t>
        </is>
      </c>
      <c r="C31" s="42" t="n"/>
      <c r="D31" s="42">
        <f>IF(C31="","",C31*(1+H31))</f>
        <v/>
      </c>
      <c r="E31" s="42">
        <f>IF(C31="","",C31*(1+H31)^2)</f>
        <v/>
      </c>
      <c r="F31" s="42">
        <f>IF(C31="","",C31*(1+H31)^3)</f>
        <v/>
      </c>
      <c r="G31" s="42">
        <f>IF(C31="","",C31*(1+H31)^4)</f>
        <v/>
      </c>
      <c r="H31" s="50" t="n"/>
    </row>
    <row r="32" ht="15" customHeight="1" s="28">
      <c r="B32" s="49" t="inlineStr">
        <is>
          <t>Cybersecurity Analyst</t>
        </is>
      </c>
      <c r="C32" s="42" t="n"/>
      <c r="D32" s="42">
        <f>IF(C32="","",C32*(1+H32))</f>
        <v/>
      </c>
      <c r="E32" s="42">
        <f>IF(C32="","",C32*(1+H32)^2)</f>
        <v/>
      </c>
      <c r="F32" s="42">
        <f>IF(C32="","",C32*(1+H32)^3)</f>
        <v/>
      </c>
      <c r="G32" s="42">
        <f>IF(C32="","",C32*(1+H32)^4)</f>
        <v/>
      </c>
      <c r="H32" s="50" t="n"/>
    </row>
    <row r="33" ht="15" customHeight="1" s="28">
      <c r="B33" s="49" t="inlineStr">
        <is>
          <t>Cloud Architect</t>
        </is>
      </c>
      <c r="C33" s="42" t="n"/>
      <c r="D33" s="42">
        <f>IF(C33="","",C33*(1+H33))</f>
        <v/>
      </c>
      <c r="E33" s="42">
        <f>IF(C33="","",C33*(1+H33)^2)</f>
        <v/>
      </c>
      <c r="F33" s="42">
        <f>IF(C33="","",C33*(1+H33)^3)</f>
        <v/>
      </c>
      <c r="G33" s="42">
        <f>IF(C33="","",C33*(1+H33)^4)</f>
        <v/>
      </c>
      <c r="H33" s="50" t="n"/>
    </row>
    <row r="34" ht="15" customHeight="1" s="28">
      <c r="B34" s="49" t="inlineStr">
        <is>
          <t>Help Desk Specialist (Tier I)</t>
        </is>
      </c>
      <c r="C34" s="42" t="n"/>
      <c r="D34" s="42">
        <f>IF(C34="","",C34*(1+H34))</f>
        <v/>
      </c>
      <c r="E34" s="42">
        <f>IF(C34="","",C34*(1+H34)^2)</f>
        <v/>
      </c>
      <c r="F34" s="42">
        <f>IF(C34="","",C34*(1+H34)^3)</f>
        <v/>
      </c>
      <c r="G34" s="42">
        <f>IF(C34="","",C34*(1+H34)^4)</f>
        <v/>
      </c>
      <c r="H34" s="50" t="n"/>
    </row>
    <row r="35" ht="15" customHeight="1" s="28">
      <c r="B35" s="49" t="inlineStr">
        <is>
          <t>Help Desk Specialist (Tier II)</t>
        </is>
      </c>
      <c r="C35" s="42" t="n"/>
      <c r="D35" s="42">
        <f>IF(C35="","",C35*(1+H35))</f>
        <v/>
      </c>
      <c r="E35" s="42">
        <f>IF(C35="","",C35*(1+H35)^2)</f>
        <v/>
      </c>
      <c r="F35" s="42">
        <f>IF(C35="","",C35*(1+H35)^3)</f>
        <v/>
      </c>
      <c r="G35" s="42">
        <f>IF(C35="","",C35*(1+H35)^4)</f>
        <v/>
      </c>
      <c r="H35" s="50" t="n"/>
    </row>
    <row r="36" ht="15" customHeight="1" s="28">
      <c r="B36" s="49" t="inlineStr">
        <is>
          <t>Help Desk Specialist (Tier III)</t>
        </is>
      </c>
      <c r="C36" s="42" t="n"/>
      <c r="D36" s="42">
        <f>IF(C36="","",C36*(1+H36))</f>
        <v/>
      </c>
      <c r="E36" s="42">
        <f>IF(C36="","",C36*(1+H36)^2)</f>
        <v/>
      </c>
      <c r="F36" s="42">
        <f>IF(C36="","",C36*(1+H36)^3)</f>
        <v/>
      </c>
      <c r="G36" s="42">
        <f>IF(C36="","",C36*(1+H36)^4)</f>
        <v/>
      </c>
      <c r="H36" s="50" t="n"/>
    </row>
    <row r="37" ht="15" customHeight="1" s="28">
      <c r="B37" s="49" t="inlineStr">
        <is>
          <t>Database Administrator</t>
        </is>
      </c>
      <c r="C37" s="42" t="n"/>
      <c r="D37" s="42">
        <f>IF(C37="","",C37*(1+H37))</f>
        <v/>
      </c>
      <c r="E37" s="42">
        <f>IF(C37="","",C37*(1+H37)^2)</f>
        <v/>
      </c>
      <c r="F37" s="42">
        <f>IF(C37="","",C37*(1+H37)^3)</f>
        <v/>
      </c>
      <c r="G37" s="42">
        <f>IF(C37="","",C37*(1+H37)^4)</f>
        <v/>
      </c>
      <c r="H37" s="50" t="n"/>
    </row>
    <row r="38" ht="15" customHeight="1" s="28">
      <c r="B38" s="49" t="inlineStr">
        <is>
          <t>Technical Writer</t>
        </is>
      </c>
      <c r="C38" s="42" t="n"/>
      <c r="D38" s="42">
        <f>IF(C38="","",C38*(1+H38))</f>
        <v/>
      </c>
      <c r="E38" s="42">
        <f>IF(C38="","",C38*(1+H38)^2)</f>
        <v/>
      </c>
      <c r="F38" s="42">
        <f>IF(C38="","",C38*(1+H38)^3)</f>
        <v/>
      </c>
      <c r="G38" s="42">
        <f>IF(C38="","",C38*(1+H38)^4)</f>
        <v/>
      </c>
      <c r="H38" s="50" t="n"/>
    </row>
    <row r="39" ht="15" customHeight="1" s="28">
      <c r="B39" s="49" t="inlineStr">
        <is>
          <t>Quality Assurance Analyst</t>
        </is>
      </c>
      <c r="C39" s="42" t="n"/>
      <c r="D39" s="42">
        <f>IF(C39="","",C39*(1+H39))</f>
        <v/>
      </c>
      <c r="E39" s="42">
        <f>IF(C39="","",C39*(1+H39)^2)</f>
        <v/>
      </c>
      <c r="F39" s="42">
        <f>IF(C39="","",C39*(1+H39)^3)</f>
        <v/>
      </c>
      <c r="G39" s="42">
        <f>IF(C39="","",C39*(1+H39)^4)</f>
        <v/>
      </c>
      <c r="H39" s="50" t="n"/>
    </row>
    <row r="40" ht="15" customHeight="1" s="28">
      <c r="B40" s="49" t="inlineStr">
        <is>
          <t>Administrative Support</t>
        </is>
      </c>
      <c r="C40" s="42" t="n"/>
      <c r="D40" s="42">
        <f>IF(C40="","",C40*(1+H40))</f>
        <v/>
      </c>
      <c r="E40" s="42">
        <f>IF(C40="","",C40*(1+H40)^2)</f>
        <v/>
      </c>
      <c r="F40" s="42">
        <f>IF(C40="","",C40*(1+H40)^3)</f>
        <v/>
      </c>
      <c r="G40" s="42">
        <f>IF(C40="","",C40*(1+H40)^4)</f>
        <v/>
      </c>
      <c r="H40" s="50" t="n"/>
    </row>
    <row r="43" ht="27.75" customHeight="1" s="28">
      <c r="B43" s="48" t="inlineStr">
        <is>
          <t>INDIRECT RATE BUILD-UP</t>
        </is>
      </c>
    </row>
    <row r="44" ht="24" customHeight="1" s="28">
      <c r="B44" s="51" t="inlineStr">
        <is>
          <t>Direct Labor Rate (Base):</t>
        </is>
      </c>
      <c r="C44" s="52" t="n"/>
      <c r="D44" s="53" t="inlineStr">
        <is>
          <t>Enter direct hourly or annual rate</t>
        </is>
      </c>
    </row>
    <row r="45" ht="24" customHeight="1" s="28">
      <c r="B45" s="51" t="inlineStr">
        <is>
          <t>Fringe Benefit Rate:</t>
        </is>
      </c>
      <c r="C45" s="54" t="n"/>
      <c r="D45" s="53" t="inlineStr">
        <is>
          <t>e.g., 32.5%</t>
        </is>
      </c>
    </row>
    <row r="46" ht="24" customHeight="1" s="28">
      <c r="B46" s="51" t="inlineStr">
        <is>
          <t>Overhead Rate:</t>
        </is>
      </c>
      <c r="C46" s="54" t="n"/>
      <c r="D46" s="53" t="inlineStr">
        <is>
          <t>e.g., 45.0%</t>
        </is>
      </c>
    </row>
    <row r="47" ht="24" customHeight="1" s="28">
      <c r="B47" s="51" t="inlineStr">
        <is>
          <t>G&amp;A Rate:</t>
        </is>
      </c>
      <c r="C47" s="54" t="n"/>
      <c r="D47" s="53" t="inlineStr">
        <is>
          <t>e.g., 12.0%</t>
        </is>
      </c>
    </row>
    <row r="48" ht="24" customHeight="1" s="28">
      <c r="B48" s="51" t="inlineStr">
        <is>
          <t>Fee/Profit:</t>
        </is>
      </c>
      <c r="C48" s="54" t="n"/>
      <c r="D48" s="53" t="inlineStr">
        <is>
          <t>e.g., 8.0%</t>
        </is>
      </c>
    </row>
    <row r="49" ht="24" customHeight="1" s="28">
      <c r="B49" s="51" t="inlineStr">
        <is>
          <t>Fully Burdened Rate:</t>
        </is>
      </c>
      <c r="C49" s="55">
        <f>IF(C44="","",C44*(1+C45)*(1+C46)*(1+C47)*(1+C48))</f>
        <v/>
      </c>
      <c r="D49" s="53" t="inlineStr">
        <is>
          <t>Base × (1 + Fringe) × (1 + OH) × (1 + G&amp;A) × (1 + Fee)</t>
        </is>
      </c>
    </row>
  </sheetData>
  <mergeCells count="6">
    <mergeCell ref="B21:F21"/>
    <mergeCell ref="B4:L4"/>
    <mergeCell ref="B43:E43"/>
    <mergeCell ref="B3:L3"/>
    <mergeCell ref="B2:L2"/>
    <mergeCell ref="B24:H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2026-03-23T14:50:51Z</dcterms:created>
  <dcterms:modified xmlns:dcterms="http://purl.org/dc/terms/" xmlns:xsi="http://www.w3.org/2001/XMLSchema-instance" xsi:type="dcterms:W3CDTF">2026-09-14T16:01:50Z</dcterms:modified>
  <cp:revision>0</cp:revision>
</cp:coreProperties>
</file>