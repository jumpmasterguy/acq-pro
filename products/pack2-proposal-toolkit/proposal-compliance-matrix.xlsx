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liance Matrix" sheetId="1" state="visible" r:id="rId3"/>
    <sheet name="Instruction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<sst xmlns="http://schemas.openxmlformats.org/spreadsheetml/2006/main" count="292" uniqueCount="175">
  <si>
    <t xml:space="preserve">PROPOSAL COMPLIANCE MATRIX</t>
  </si>
  <si>
    <t xml:space="preserve">Acqlerate — Defense Acquisitions Academy</t>
  </si>
  <si>
    <t xml:space="preserve">SUMMARY</t>
  </si>
  <si>
    <t xml:space="preserve">Total Items:</t>
  </si>
  <si>
    <t xml:space="preserve">Compliant:</t>
  </si>
  <si>
    <t xml:space="preserve">Partial:</t>
  </si>
  <si>
    <t xml:space="preserve">Non-Compliant:</t>
  </si>
  <si>
    <t xml:space="preserve">Not Started:</t>
  </si>
  <si>
    <t xml:space="preserve">Item #</t>
  </si>
  <si>
    <t xml:space="preserve">Section L Ref</t>
  </si>
  <si>
    <t xml:space="preserve">Requirement</t>
  </si>
  <si>
    <t xml:space="preserve">Volume
(I/II/III/IV/V)</t>
  </si>
  <si>
    <t xml:space="preserve">Page Limit</t>
  </si>
  <si>
    <t xml:space="preserve">Applies To
(Prime/Sub/Both)</t>
  </si>
  <si>
    <t xml:space="preserve">Required Format</t>
  </si>
  <si>
    <t xml:space="preserve">Compliance Status</t>
  </si>
  <si>
    <t xml:space="preserve">Location in Proposal</t>
  </si>
  <si>
    <t xml:space="preserve">Reviewer</t>
  </si>
  <si>
    <t xml:space="preserve">Notes</t>
  </si>
  <si>
    <t xml:space="preserve">L.5.1.1</t>
  </si>
  <si>
    <t xml:space="preserve">Cover Sheet / Title Page per RFP format</t>
  </si>
  <si>
    <t xml:space="preserve">V - Admin</t>
  </si>
  <si>
    <t xml:space="preserve">1</t>
  </si>
  <si>
    <t xml:space="preserve">Prime</t>
  </si>
  <si>
    <t xml:space="preserve">PDF</t>
  </si>
  <si>
    <t xml:space="preserve">Not Started</t>
  </si>
  <si>
    <t xml:space="preserve">Include CAGE code, DUNS, contract #</t>
  </si>
  <si>
    <t xml:space="preserve">L.5.1.2</t>
  </si>
  <si>
    <t xml:space="preserve">Table of Contents with page references</t>
  </si>
  <si>
    <t xml:space="preserve">2</t>
  </si>
  <si>
    <t xml:space="preserve">Must match volume structure</t>
  </si>
  <si>
    <t xml:space="preserve">L.5.1.3</t>
  </si>
  <si>
    <t xml:space="preserve">Executive Summary — overview of approach &amp; capabilities</t>
  </si>
  <si>
    <t xml:space="preserve">I - Technical</t>
  </si>
  <si>
    <t xml:space="preserve">3</t>
  </si>
  <si>
    <t xml:space="preserve">Highlight win themes; keep non-technical</t>
  </si>
  <si>
    <t xml:space="preserve">L.5.2.1</t>
  </si>
  <si>
    <t xml:space="preserve">Technical Approach — overview of methodology and framework</t>
  </si>
  <si>
    <t xml:space="preserve">10</t>
  </si>
  <si>
    <t xml:space="preserve">Both</t>
  </si>
  <si>
    <t xml:space="preserve">Address all SOW tasks</t>
  </si>
  <si>
    <t xml:space="preserve">L.5.2.2</t>
  </si>
  <si>
    <t xml:space="preserve">Technical Approach — innovation &amp; emerging technology integration</t>
  </si>
  <si>
    <t xml:space="preserve">5</t>
  </si>
  <si>
    <t xml:space="preserve">Tie to M Factor: Innovation (15%)</t>
  </si>
  <si>
    <t xml:space="preserve">L.5.2.3</t>
  </si>
  <si>
    <t xml:space="preserve">Technical Approach — risk identification &amp; mitigation strategy</t>
  </si>
  <si>
    <t xml:space="preserve">Include risk register excerpt</t>
  </si>
  <si>
    <t xml:space="preserve">L.5.2.4</t>
  </si>
  <si>
    <t xml:space="preserve">Technical Approach — schedule &amp; milestone plan</t>
  </si>
  <si>
    <t xml:space="preserve">PDF + Gantt</t>
  </si>
  <si>
    <t xml:space="preserve">IMS required; show critical path</t>
  </si>
  <si>
    <t xml:space="preserve">L.5.2.5</t>
  </si>
  <si>
    <t xml:space="preserve">Technical Approach — quality assurance &amp; control procedures</t>
  </si>
  <si>
    <t xml:space="preserve">Reference ISO 9001 or CMMI if applicable</t>
  </si>
  <si>
    <t xml:space="preserve">L.5.3.1</t>
  </si>
  <si>
    <t xml:space="preserve">Management Plan — organizational structure &amp; governance</t>
  </si>
  <si>
    <t xml:space="preserve">II - Management</t>
  </si>
  <si>
    <t xml:space="preserve">PDF + Org Chart</t>
  </si>
  <si>
    <t xml:space="preserve">Show reporting chain to COR</t>
  </si>
  <si>
    <t xml:space="preserve">L.5.3.2</t>
  </si>
  <si>
    <t xml:space="preserve">Management Plan — key personnel qualifications &amp; resumes</t>
  </si>
  <si>
    <t xml:space="preserve">2/person</t>
  </si>
  <si>
    <t xml:space="preserve">PDF (resume format)</t>
  </si>
  <si>
    <t xml:space="preserve">PM, Deputy PM, Tech Lead minimum</t>
  </si>
  <si>
    <t xml:space="preserve">L.5.3.3</t>
  </si>
  <si>
    <t xml:space="preserve">Management Plan — staffing plan by LCAT &amp; period</t>
  </si>
  <si>
    <t xml:space="preserve">PDF + Matrix</t>
  </si>
  <si>
    <t xml:space="preserve">Must match pricing labor hours</t>
  </si>
  <si>
    <t xml:space="preserve">L.5.3.4</t>
  </si>
  <si>
    <t xml:space="preserve">Management Plan — subcontractor management approach</t>
  </si>
  <si>
    <t xml:space="preserve">Include teaming agreements summary</t>
  </si>
  <si>
    <t xml:space="preserve">L.5.3.5</t>
  </si>
  <si>
    <t xml:space="preserve">Management Plan — transition/phase-in plan</t>
  </si>
  <si>
    <t xml:space="preserve">PDF + Timeline</t>
  </si>
  <si>
    <t xml:space="preserve">30/60/90-day milestones required</t>
  </si>
  <si>
    <t xml:space="preserve">L.5.4.1</t>
  </si>
  <si>
    <t xml:space="preserve">Past Performance — PPQ forms (3-5 references)</t>
  </si>
  <si>
    <t xml:space="preserve">III - Past Performance</t>
  </si>
  <si>
    <t xml:space="preserve">1/ref</t>
  </si>
  <si>
    <t xml:space="preserve">SF 1420 or custom</t>
  </si>
  <si>
    <t xml:space="preserve">Submit to POCs at least 14 days early</t>
  </si>
  <si>
    <t xml:space="preserve">L.5.4.2</t>
  </si>
  <si>
    <t xml:space="preserve">Past Performance — narrative for each reference</t>
  </si>
  <si>
    <t xml:space="preserve">2/ref</t>
  </si>
  <si>
    <t xml:space="preserve">Emphasize relevance to current scope</t>
  </si>
  <si>
    <t xml:space="preserve">L.5.4.3</t>
  </si>
  <si>
    <t xml:space="preserve">Past Performance — CPARS printouts or verification</t>
  </si>
  <si>
    <t xml:space="preserve">N/A</t>
  </si>
  <si>
    <t xml:space="preserve">PDF printout</t>
  </si>
  <si>
    <t xml:space="preserve">Request from CPARS focal point</t>
  </si>
  <si>
    <t xml:space="preserve">L.5.5.1</t>
  </si>
  <si>
    <t xml:space="preserve">Price/Cost Model — completed pricing spreadsheet (all CLINs)</t>
  </si>
  <si>
    <t xml:space="preserve">IV - Price/Cost</t>
  </si>
  <si>
    <t xml:space="preserve">Excel per template</t>
  </si>
  <si>
    <t xml:space="preserve">Use Govt-provided template if available</t>
  </si>
  <si>
    <t xml:space="preserve">L.5.5.2</t>
  </si>
  <si>
    <t xml:space="preserve">Price/Cost Model — basis of estimate narrative</t>
  </si>
  <si>
    <t xml:space="preserve">Must trace to technical approach</t>
  </si>
  <si>
    <t xml:space="preserve">L.5.5.3</t>
  </si>
  <si>
    <t xml:space="preserve">Price/Cost Model — rate documentation (FPRA/FPRR or provisional)</t>
  </si>
  <si>
    <t xml:space="preserve">PDF/Excel</t>
  </si>
  <si>
    <t xml:space="preserve">DCAA-approved rates preferred</t>
  </si>
  <si>
    <t xml:space="preserve">L.5.6.1</t>
  </si>
  <si>
    <t xml:space="preserve">DD Form 1423 — CDRLs list completed per SOW</t>
  </si>
  <si>
    <t xml:space="preserve">DD 1423 form</t>
  </si>
  <si>
    <t xml:space="preserve">One form per CDRL; match DID numbers</t>
  </si>
  <si>
    <t xml:space="preserve">L.5.6.2</t>
  </si>
  <si>
    <t xml:space="preserve">SF 1449 — Solicitation/Contract/Order for Commercial Items</t>
  </si>
  <si>
    <t xml:space="preserve">SF 1449</t>
  </si>
  <si>
    <t xml:space="preserve">Sign blocks 17a and 30a</t>
  </si>
  <si>
    <t xml:space="preserve">L.5.6.3</t>
  </si>
  <si>
    <t xml:space="preserve">Representations and Certifications (FAR 52.204-8 or SAM.gov)</t>
  </si>
  <si>
    <t xml:space="preserve">SAM printout</t>
  </si>
  <si>
    <t xml:space="preserve">Verify SAM.gov is current; print date</t>
  </si>
  <si>
    <t xml:space="preserve">L.5.6.4</t>
  </si>
  <si>
    <t xml:space="preserve">Small Business Subcontracting Plan (FAR 52.219-9)</t>
  </si>
  <si>
    <t xml:space="preserve">PDF per template</t>
  </si>
  <si>
    <t xml:space="preserve">Required if contract &gt;$750K; include goals</t>
  </si>
  <si>
    <t xml:space="preserve">L.5.6.5</t>
  </si>
  <si>
    <t xml:space="preserve">Cybersecurity Attestation — DFARS 252.204-7012 compliance</t>
  </si>
  <si>
    <t xml:space="preserve">NIST SP 800-171 SPRS score required</t>
  </si>
  <si>
    <t xml:space="preserve">L.5.6.6</t>
  </si>
  <si>
    <t xml:space="preserve">Wage Determination compliance (SCA or DBA as applicable)</t>
  </si>
  <si>
    <t xml:space="preserve">PDF reference</t>
  </si>
  <si>
    <t xml:space="preserve">Check SAM.gov for current WD</t>
  </si>
  <si>
    <t xml:space="preserve">L.5.6.7</t>
  </si>
  <si>
    <t xml:space="preserve">OSHA/Safety Plan (if applicable per SOW)</t>
  </si>
  <si>
    <t xml:space="preserve">Only if on-site work required</t>
  </si>
  <si>
    <t xml:space="preserve">L.5.3.2a</t>
  </si>
  <si>
    <t xml:space="preserve">Key Personnel Bio — Program Manager</t>
  </si>
  <si>
    <t xml:space="preserve">Resume template</t>
  </si>
  <si>
    <t xml:space="preserve">Must meet minimum qualifications in SOW</t>
  </si>
  <si>
    <t xml:space="preserve">L.5.3.2b</t>
  </si>
  <si>
    <t xml:space="preserve">Key Personnel Bio — Deputy Program Manager</t>
  </si>
  <si>
    <t xml:space="preserve">Demonstrate relevant clearance level</t>
  </si>
  <si>
    <t xml:space="preserve">L.5.3.2c</t>
  </si>
  <si>
    <t xml:space="preserve">Key Personnel Bio — Technical Lead / Chief Engineer</t>
  </si>
  <si>
    <t xml:space="preserve">Include certifications (PMP, CISSP, etc.)</t>
  </si>
  <si>
    <t xml:space="preserve">L.5.2.1a</t>
  </si>
  <si>
    <t xml:space="preserve">Organizational Chart — full team structure</t>
  </si>
  <si>
    <t xml:space="preserve">PDF (landscape OK)</t>
  </si>
  <si>
    <t xml:space="preserve">Show prime &amp; sub relationships; names on chart</t>
  </si>
  <si>
    <t xml:space="preserve">COMPLIANCE MATRIX — INSTRUCTIONS</t>
  </si>
  <si>
    <t xml:space="preserve">WHAT IS A COMPLIANCE MATRIX?</t>
  </si>
  <si>
    <t xml:space="preserve">A Compliance Matrix is the single most important proposal management tool. It maps EVERY requirement in Section L (Instructions to Offerors) to your proposal response, ensuring nothing is missed. Government evaluators use Section M (Evaluation Criteria) to score your proposal — if you fail to address an L requirement, you lose points under M.</t>
  </si>
  <si>
    <t xml:space="preserve">SECTION L vs. SECTION M DISCIPLINE</t>
  </si>
  <si>
    <t xml:space="preserve">Section L tells you WHAT to submit and HOW to format it. Section M tells you HOW IT WILL BE SCORED.</t>
  </si>
  <si>
    <t xml:space="preserve">Golden Rule: Every Section M evaluation factor must trace to at least one Section L instruction, and vice versa. If you find an L requirement with no obvious M factor, it is likely pass/fail (administrative compliance). Do not ignore it.</t>
  </si>
  <si>
    <t xml:space="preserve">HOW TO USE THIS MATRIX</t>
  </si>
  <si>
    <t xml:space="preserve">Step 1: Read the entire RFP — Sections L, M, C (SOW/PWS), and J (Attachments). Do not start filling this matrix until you have read the full solicitation.</t>
  </si>
  <si>
    <t xml:space="preserve">Step 2: Enter every L instruction as a separate row. Break compound instructions into individual requirements (e.g., 'Describe your approach and provide a schedule' = 2 rows).</t>
  </si>
  <si>
    <t xml:space="preserve">Step 3: Assign each requirement to the correct Volume (I-V). Cross-reference with L instructions on volume structure.</t>
  </si>
  <si>
    <t xml:space="preserve">Step 4: Note page limits. These are HARD limits — exceeding them can result in non-evaluation of excess pages.</t>
  </si>
  <si>
    <t xml:space="preserve">Step 5: Assign a writer and set target completion dates.</t>
  </si>
  <si>
    <t xml:space="preserve">Step 6: Update Compliance Status as drafts progress: Not Started → Partial → Compliant.</t>
  </si>
  <si>
    <t xml:space="preserve">Step 7: Before final submission, every row must show 'Compliant' or 'N/A'. Any 'Non-Compliant' or 'Not Started' items are submission risks.</t>
  </si>
  <si>
    <t xml:space="preserve">STATUS DEFINITIONS</t>
  </si>
  <si>
    <t xml:space="preserve">Compliant — Requirement fully addressed in the proposal at the specified location.</t>
  </si>
  <si>
    <t xml:space="preserve">Partial — Requirement partially addressed; additional content or revision needed.</t>
  </si>
  <si>
    <t xml:space="preserve">Non-Compliant — Requirement identified but not yet addressed; action needed immediately.</t>
  </si>
  <si>
    <t xml:space="preserve">Not Started — Work has not begun on this requirement.</t>
  </si>
  <si>
    <t xml:space="preserve">N/A — Requirement does not apply (document your rationale in Notes).</t>
  </si>
  <si>
    <t xml:space="preserve">TIPS FOR SUCCESS</t>
  </si>
  <si>
    <t xml:space="preserve">• Use the Requirement column verbatim from the RFP where possible — evaluators look for their own language.</t>
  </si>
  <si>
    <t xml:space="preserve">• Cross-reference the Location in Proposal column with your document outline to ensure no gaps.</t>
  </si>
  <si>
    <t xml:space="preserve">• Assign a single Reviewer per item — shared ownership means no ownership.</t>
  </si>
  <si>
    <t xml:space="preserve">• Run a compliance review 48 hours before submission with a fresh set of eyes.</t>
  </si>
  <si>
    <t xml:space="preserve">• Print the matrix and physically check off items against the final PDF before upload.</t>
  </si>
  <si>
    <t xml:space="preserve">COMMON PITFALLS</t>
  </si>
  <si>
    <t xml:space="preserve">• Missing a sub-requirement buried in a long L paragraph. Break every sentence into its own row.</t>
  </si>
  <si>
    <t xml:space="preserve">• Ignoring Section J attachments — CDRLs, DD forms, and templates are compliance requirements too.</t>
  </si>
  <si>
    <t xml:space="preserve">• Exceeding page limits. Count pages in your final PDF, not your Word document.</t>
  </si>
  <si>
    <t xml:space="preserve">• Failing to use the Government's prescribed format (font, margins, spacing) — this can cause rejection.</t>
  </si>
  <si>
    <t xml:space="preserve">© Acqlerate — Defense Acquisitions Academy. For training use only.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</si>
</sst>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D1B2A"/>
      <name val="Calibri"/>
      <family val="0"/>
      <charset val="1"/>
    </font>
    <font>
      <sz val="11"/>
      <color rgb="FF01696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437A22"/>
      <name val="Calibri"/>
      <family val="0"/>
      <charset val="1"/>
    </font>
    <font>
      <b val="true"/>
      <sz val="11"/>
      <color rgb="FF964219"/>
      <name val="Calibri"/>
      <family val="0"/>
      <charset val="1"/>
    </font>
    <font>
      <b val="true"/>
      <sz val="11"/>
      <color rgb="FFA12C7B"/>
      <name val="Calibri"/>
      <family val="0"/>
      <charset val="1"/>
    </font>
    <font>
      <sz val="11"/>
      <name val="Calibri"/>
      <family val="0"/>
      <charset val="1"/>
    </font>
    <font>
      <b val="true"/>
      <sz val="12"/>
      <color rgb="FF01696F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E0F2F3"/>
        <bgColor rgb="FFE0E0E0"/>
      </patternFill>
    </fill>
    <fill>
      <patternFill patternType="solid">
        <fgColor rgb="FF01696F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4D1CA"/>
      </left>
      <right style="thin">
        <color rgb="FFD4D1CA"/>
      </right>
      <top style="thin">
        <color rgb="FFD4D1CA"/>
      </top>
      <bottom style="thin">
        <color rgb="FFD4D1C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Calibri"/>
        <charset val="1"/>
        <family val="0"/>
        <color rgb="FF006100"/>
        <sz val="11"/>
      </font>
      <fill>
        <patternFill>
          <bgColor rgb="FFC6EFCE"/>
        </patternFill>
      </fill>
    </dxf>
    <dxf>
      <font>
        <name val="Calibri"/>
        <charset val="1"/>
        <family val="0"/>
        <color rgb="FF9C6500"/>
        <sz val="11"/>
      </font>
      <fill>
        <patternFill>
          <bgColor rgb="FFFFEB9C"/>
        </patternFill>
      </fill>
    </dxf>
    <dxf>
      <font>
        <name val="Calibri"/>
        <charset val="1"/>
        <family val="0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0"/>
        <color rgb="FF666666"/>
        <sz val="11"/>
      </font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1696F"/>
      <rgbColor rgb="FFD4D1CA"/>
      <rgbColor rgb="FF808080"/>
      <rgbColor rgb="FF9999FF"/>
      <rgbColor rgb="FFA12C7B"/>
      <rgbColor rgb="FFFFFFCC"/>
      <rgbColor rgb="FFE0F2F3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437A22"/>
      <rgbColor rgb="FF0D1B2A"/>
      <rgbColor rgb="FF333300"/>
      <rgbColor rgb="FF964219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1696F"/>
    <pageSetUpPr fitToPage="false"/>
  </sheetPr>
  <dimension ref="B2:M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14"/>
    <col collapsed="false" customWidth="true" hidden="false" outlineLevel="0" max="4" min="4" style="0" width="50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9" min="7" style="0" width="16"/>
    <col collapsed="false" customWidth="true" hidden="false" outlineLevel="0" max="10" min="10" style="0" width="20"/>
    <col collapsed="false" customWidth="true" hidden="false" outlineLevel="0" max="11" min="11" style="0" width="14"/>
    <col collapsed="false" customWidth="true" hidden="false" outlineLevel="0" max="12" min="12" style="0" width="25"/>
  </cols>
  <sheetData>
    <row r="2" customFormat="false" ht="19.7" hidden="false" customHeight="fals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15" hidden="false" customHeight="false" outlineLevel="0" collapsed="false">
      <c r="B3" s="2" t="s">
        <v>1</v>
      </c>
      <c r="C3" s="2"/>
      <c r="D3" s="2"/>
      <c r="E3" s="2"/>
      <c r="F3" s="2"/>
      <c r="G3" s="2"/>
      <c r="H3" s="2"/>
      <c r="I3" s="2"/>
      <c r="J3" s="2"/>
      <c r="K3" s="2"/>
      <c r="L3" s="2"/>
    </row>
    <row r="5" customFormat="false" ht="15" hidden="false" customHeight="false" outlineLevel="0" collapsed="false">
      <c r="B5" s="3" t="s">
        <v>2</v>
      </c>
      <c r="C5" s="3"/>
      <c r="D5" s="4" t="s">
        <v>3</v>
      </c>
      <c r="E5" s="5" t="n">
        <f aca="false">COUNTA(B9:B38)</f>
        <v>30</v>
      </c>
      <c r="F5" s="6" t="s">
        <v>4</v>
      </c>
      <c r="G5" s="5" t="n">
        <f aca="false">COUNTIF(I9:I38,"Compliant")</f>
        <v>0</v>
      </c>
      <c r="H5" s="7" t="s">
        <v>5</v>
      </c>
      <c r="I5" s="5" t="n">
        <f aca="false">COUNTIF(I9:I38,"Partial")</f>
        <v>0</v>
      </c>
      <c r="J5" s="8" t="s">
        <v>6</v>
      </c>
      <c r="K5" s="5" t="n">
        <f aca="false">COUNTIF(I9:I38,"Non-Compliant")</f>
        <v>0</v>
      </c>
      <c r="L5" s="4" t="s">
        <v>7</v>
      </c>
      <c r="M5" s="5" t="n">
        <f aca="false">COUNTIF(I9:I38,"Not Started")</f>
        <v>30</v>
      </c>
    </row>
    <row r="8" customFormat="false" ht="36" hidden="false" customHeight="true" outlineLevel="0" collapsed="false">
      <c r="B8" s="9" t="s">
        <v>8</v>
      </c>
      <c r="C8" s="9" t="s">
        <v>9</v>
      </c>
      <c r="D8" s="9" t="s">
        <v>10</v>
      </c>
      <c r="E8" s="9" t="s">
        <v>11</v>
      </c>
      <c r="F8" s="9" t="s">
        <v>12</v>
      </c>
      <c r="G8" s="9" t="s">
        <v>13</v>
      </c>
      <c r="H8" s="9" t="s">
        <v>14</v>
      </c>
      <c r="I8" s="9" t="s">
        <v>15</v>
      </c>
      <c r="J8" s="9" t="s">
        <v>16</v>
      </c>
      <c r="K8" s="9" t="s">
        <v>17</v>
      </c>
      <c r="L8" s="9" t="s">
        <v>18</v>
      </c>
    </row>
    <row r="9" customFormat="false" ht="15" hidden="false" customHeight="false" outlineLevel="0" collapsed="false">
      <c r="B9" s="10" t="n">
        <v>1</v>
      </c>
      <c r="C9" s="11" t="s">
        <v>19</v>
      </c>
      <c r="D9" s="12" t="s">
        <v>20</v>
      </c>
      <c r="E9" s="13" t="s">
        <v>21</v>
      </c>
      <c r="F9" s="13" t="s">
        <v>22</v>
      </c>
      <c r="G9" s="13" t="s">
        <v>23</v>
      </c>
      <c r="H9" s="13" t="s">
        <v>24</v>
      </c>
      <c r="I9" s="13" t="s">
        <v>25</v>
      </c>
      <c r="J9" s="11"/>
      <c r="K9" s="11"/>
      <c r="L9" s="11" t="s">
        <v>26</v>
      </c>
    </row>
    <row r="10" customFormat="false" ht="15" hidden="false" customHeight="false" outlineLevel="0" collapsed="false">
      <c r="B10" s="10" t="n">
        <v>2</v>
      </c>
      <c r="C10" s="11" t="s">
        <v>27</v>
      </c>
      <c r="D10" s="12" t="s">
        <v>28</v>
      </c>
      <c r="E10" s="13" t="s">
        <v>21</v>
      </c>
      <c r="F10" s="13" t="s">
        <v>29</v>
      </c>
      <c r="G10" s="13" t="s">
        <v>23</v>
      </c>
      <c r="H10" s="13" t="s">
        <v>24</v>
      </c>
      <c r="I10" s="13" t="s">
        <v>25</v>
      </c>
      <c r="J10" s="11"/>
      <c r="K10" s="11"/>
      <c r="L10" s="11" t="s">
        <v>30</v>
      </c>
    </row>
    <row r="11" customFormat="false" ht="28.35" hidden="false" customHeight="false" outlineLevel="0" collapsed="false">
      <c r="B11" s="10" t="n">
        <v>3</v>
      </c>
      <c r="C11" s="11" t="s">
        <v>31</v>
      </c>
      <c r="D11" s="12" t="s">
        <v>32</v>
      </c>
      <c r="E11" s="13" t="s">
        <v>33</v>
      </c>
      <c r="F11" s="13" t="s">
        <v>34</v>
      </c>
      <c r="G11" s="13" t="s">
        <v>23</v>
      </c>
      <c r="H11" s="13" t="s">
        <v>24</v>
      </c>
      <c r="I11" s="13" t="s">
        <v>25</v>
      </c>
      <c r="J11" s="11"/>
      <c r="K11" s="11"/>
      <c r="L11" s="11" t="s">
        <v>35</v>
      </c>
    </row>
    <row r="12" customFormat="false" ht="28.35" hidden="false" customHeight="false" outlineLevel="0" collapsed="false">
      <c r="B12" s="10" t="n">
        <v>4</v>
      </c>
      <c r="C12" s="11" t="s">
        <v>36</v>
      </c>
      <c r="D12" s="12" t="s">
        <v>37</v>
      </c>
      <c r="E12" s="13" t="s">
        <v>33</v>
      </c>
      <c r="F12" s="13" t="s">
        <v>38</v>
      </c>
      <c r="G12" s="13" t="s">
        <v>39</v>
      </c>
      <c r="H12" s="13" t="s">
        <v>24</v>
      </c>
      <c r="I12" s="13" t="s">
        <v>25</v>
      </c>
      <c r="J12" s="11"/>
      <c r="K12" s="11"/>
      <c r="L12" s="11" t="s">
        <v>40</v>
      </c>
    </row>
    <row r="13" customFormat="false" ht="28.35" hidden="false" customHeight="false" outlineLevel="0" collapsed="false">
      <c r="B13" s="10" t="n">
        <v>5</v>
      </c>
      <c r="C13" s="11" t="s">
        <v>41</v>
      </c>
      <c r="D13" s="12" t="s">
        <v>42</v>
      </c>
      <c r="E13" s="13" t="s">
        <v>33</v>
      </c>
      <c r="F13" s="13" t="s">
        <v>43</v>
      </c>
      <c r="G13" s="13" t="s">
        <v>23</v>
      </c>
      <c r="H13" s="13" t="s">
        <v>24</v>
      </c>
      <c r="I13" s="13" t="s">
        <v>25</v>
      </c>
      <c r="J13" s="11"/>
      <c r="K13" s="11"/>
      <c r="L13" s="11" t="s">
        <v>44</v>
      </c>
    </row>
    <row r="14" customFormat="false" ht="28.35" hidden="false" customHeight="false" outlineLevel="0" collapsed="false">
      <c r="B14" s="10" t="n">
        <v>6</v>
      </c>
      <c r="C14" s="11" t="s">
        <v>45</v>
      </c>
      <c r="D14" s="12" t="s">
        <v>46</v>
      </c>
      <c r="E14" s="13" t="s">
        <v>33</v>
      </c>
      <c r="F14" s="13" t="s">
        <v>43</v>
      </c>
      <c r="G14" s="13" t="s">
        <v>39</v>
      </c>
      <c r="H14" s="13" t="s">
        <v>24</v>
      </c>
      <c r="I14" s="13" t="s">
        <v>25</v>
      </c>
      <c r="J14" s="11"/>
      <c r="K14" s="11"/>
      <c r="L14" s="11" t="s">
        <v>47</v>
      </c>
    </row>
    <row r="15" customFormat="false" ht="15" hidden="false" customHeight="false" outlineLevel="0" collapsed="false">
      <c r="B15" s="10" t="n">
        <v>7</v>
      </c>
      <c r="C15" s="11" t="s">
        <v>48</v>
      </c>
      <c r="D15" s="12" t="s">
        <v>49</v>
      </c>
      <c r="E15" s="13" t="s">
        <v>33</v>
      </c>
      <c r="F15" s="13" t="s">
        <v>43</v>
      </c>
      <c r="G15" s="13" t="s">
        <v>23</v>
      </c>
      <c r="H15" s="13" t="s">
        <v>50</v>
      </c>
      <c r="I15" s="13" t="s">
        <v>25</v>
      </c>
      <c r="J15" s="11"/>
      <c r="K15" s="11"/>
      <c r="L15" s="11" t="s">
        <v>51</v>
      </c>
    </row>
    <row r="16" customFormat="false" ht="28.35" hidden="false" customHeight="false" outlineLevel="0" collapsed="false">
      <c r="B16" s="10" t="n">
        <v>8</v>
      </c>
      <c r="C16" s="11" t="s">
        <v>52</v>
      </c>
      <c r="D16" s="12" t="s">
        <v>53</v>
      </c>
      <c r="E16" s="13" t="s">
        <v>33</v>
      </c>
      <c r="F16" s="13" t="s">
        <v>34</v>
      </c>
      <c r="G16" s="13" t="s">
        <v>39</v>
      </c>
      <c r="H16" s="13" t="s">
        <v>24</v>
      </c>
      <c r="I16" s="13" t="s">
        <v>25</v>
      </c>
      <c r="J16" s="11"/>
      <c r="K16" s="11"/>
      <c r="L16" s="11" t="s">
        <v>54</v>
      </c>
    </row>
    <row r="17" customFormat="false" ht="28.35" hidden="false" customHeight="false" outlineLevel="0" collapsed="false">
      <c r="B17" s="10" t="n">
        <v>9</v>
      </c>
      <c r="C17" s="11" t="s">
        <v>55</v>
      </c>
      <c r="D17" s="12" t="s">
        <v>56</v>
      </c>
      <c r="E17" s="13" t="s">
        <v>57</v>
      </c>
      <c r="F17" s="13" t="s">
        <v>43</v>
      </c>
      <c r="G17" s="13" t="s">
        <v>23</v>
      </c>
      <c r="H17" s="13" t="s">
        <v>58</v>
      </c>
      <c r="I17" s="13" t="s">
        <v>25</v>
      </c>
      <c r="J17" s="11"/>
      <c r="K17" s="11"/>
      <c r="L17" s="11" t="s">
        <v>59</v>
      </c>
    </row>
    <row r="18" customFormat="false" ht="28.35" hidden="false" customHeight="false" outlineLevel="0" collapsed="false">
      <c r="B18" s="10" t="n">
        <v>10</v>
      </c>
      <c r="C18" s="11" t="s">
        <v>60</v>
      </c>
      <c r="D18" s="12" t="s">
        <v>61</v>
      </c>
      <c r="E18" s="13" t="s">
        <v>57</v>
      </c>
      <c r="F18" s="13" t="s">
        <v>62</v>
      </c>
      <c r="G18" s="13" t="s">
        <v>39</v>
      </c>
      <c r="H18" s="13" t="s">
        <v>63</v>
      </c>
      <c r="I18" s="13" t="s">
        <v>25</v>
      </c>
      <c r="J18" s="11"/>
      <c r="K18" s="11"/>
      <c r="L18" s="11" t="s">
        <v>64</v>
      </c>
    </row>
    <row r="19" customFormat="false" ht="28.35" hidden="false" customHeight="false" outlineLevel="0" collapsed="false">
      <c r="B19" s="10" t="n">
        <v>11</v>
      </c>
      <c r="C19" s="11" t="s">
        <v>65</v>
      </c>
      <c r="D19" s="12" t="s">
        <v>66</v>
      </c>
      <c r="E19" s="13" t="s">
        <v>57</v>
      </c>
      <c r="F19" s="13" t="s">
        <v>43</v>
      </c>
      <c r="G19" s="13" t="s">
        <v>39</v>
      </c>
      <c r="H19" s="13" t="s">
        <v>67</v>
      </c>
      <c r="I19" s="13" t="s">
        <v>25</v>
      </c>
      <c r="J19" s="11"/>
      <c r="K19" s="11"/>
      <c r="L19" s="11" t="s">
        <v>68</v>
      </c>
    </row>
    <row r="20" customFormat="false" ht="28.35" hidden="false" customHeight="false" outlineLevel="0" collapsed="false">
      <c r="B20" s="10" t="n">
        <v>12</v>
      </c>
      <c r="C20" s="11" t="s">
        <v>69</v>
      </c>
      <c r="D20" s="12" t="s">
        <v>70</v>
      </c>
      <c r="E20" s="13" t="s">
        <v>57</v>
      </c>
      <c r="F20" s="13" t="s">
        <v>34</v>
      </c>
      <c r="G20" s="13" t="s">
        <v>23</v>
      </c>
      <c r="H20" s="13" t="s">
        <v>24</v>
      </c>
      <c r="I20" s="13" t="s">
        <v>25</v>
      </c>
      <c r="J20" s="11"/>
      <c r="K20" s="11"/>
      <c r="L20" s="11" t="s">
        <v>71</v>
      </c>
    </row>
    <row r="21" customFormat="false" ht="28.35" hidden="false" customHeight="false" outlineLevel="0" collapsed="false">
      <c r="B21" s="10" t="n">
        <v>13</v>
      </c>
      <c r="C21" s="11" t="s">
        <v>72</v>
      </c>
      <c r="D21" s="12" t="s">
        <v>73</v>
      </c>
      <c r="E21" s="13" t="s">
        <v>57</v>
      </c>
      <c r="F21" s="13" t="s">
        <v>43</v>
      </c>
      <c r="G21" s="13" t="s">
        <v>23</v>
      </c>
      <c r="H21" s="13" t="s">
        <v>74</v>
      </c>
      <c r="I21" s="13" t="s">
        <v>25</v>
      </c>
      <c r="J21" s="11"/>
      <c r="K21" s="11"/>
      <c r="L21" s="11" t="s">
        <v>75</v>
      </c>
    </row>
    <row r="22" customFormat="false" ht="28.35" hidden="false" customHeight="false" outlineLevel="0" collapsed="false">
      <c r="B22" s="10" t="n">
        <v>14</v>
      </c>
      <c r="C22" s="11" t="s">
        <v>76</v>
      </c>
      <c r="D22" s="12" t="s">
        <v>77</v>
      </c>
      <c r="E22" s="13" t="s">
        <v>78</v>
      </c>
      <c r="F22" s="13" t="s">
        <v>79</v>
      </c>
      <c r="G22" s="13" t="s">
        <v>39</v>
      </c>
      <c r="H22" s="13" t="s">
        <v>80</v>
      </c>
      <c r="I22" s="13" t="s">
        <v>25</v>
      </c>
      <c r="J22" s="11"/>
      <c r="K22" s="11"/>
      <c r="L22" s="11" t="s">
        <v>81</v>
      </c>
    </row>
    <row r="23" customFormat="false" ht="28.35" hidden="false" customHeight="false" outlineLevel="0" collapsed="false">
      <c r="B23" s="10" t="n">
        <v>15</v>
      </c>
      <c r="C23" s="11" t="s">
        <v>82</v>
      </c>
      <c r="D23" s="12" t="s">
        <v>83</v>
      </c>
      <c r="E23" s="13" t="s">
        <v>78</v>
      </c>
      <c r="F23" s="13" t="s">
        <v>84</v>
      </c>
      <c r="G23" s="13" t="s">
        <v>39</v>
      </c>
      <c r="H23" s="13" t="s">
        <v>24</v>
      </c>
      <c r="I23" s="13" t="s">
        <v>25</v>
      </c>
      <c r="J23" s="11"/>
      <c r="K23" s="11"/>
      <c r="L23" s="11" t="s">
        <v>85</v>
      </c>
    </row>
    <row r="24" customFormat="false" ht="28.35" hidden="false" customHeight="false" outlineLevel="0" collapsed="false">
      <c r="B24" s="10" t="n">
        <v>16</v>
      </c>
      <c r="C24" s="11" t="s">
        <v>86</v>
      </c>
      <c r="D24" s="12" t="s">
        <v>87</v>
      </c>
      <c r="E24" s="13" t="s">
        <v>78</v>
      </c>
      <c r="F24" s="13" t="s">
        <v>88</v>
      </c>
      <c r="G24" s="13" t="s">
        <v>39</v>
      </c>
      <c r="H24" s="13" t="s">
        <v>89</v>
      </c>
      <c r="I24" s="13" t="s">
        <v>25</v>
      </c>
      <c r="J24" s="11"/>
      <c r="K24" s="11"/>
      <c r="L24" s="11" t="s">
        <v>90</v>
      </c>
    </row>
    <row r="25" customFormat="false" ht="28.35" hidden="false" customHeight="false" outlineLevel="0" collapsed="false">
      <c r="B25" s="10" t="n">
        <v>17</v>
      </c>
      <c r="C25" s="11" t="s">
        <v>91</v>
      </c>
      <c r="D25" s="12" t="s">
        <v>92</v>
      </c>
      <c r="E25" s="13" t="s">
        <v>93</v>
      </c>
      <c r="F25" s="13" t="s">
        <v>88</v>
      </c>
      <c r="G25" s="13" t="s">
        <v>39</v>
      </c>
      <c r="H25" s="13" t="s">
        <v>94</v>
      </c>
      <c r="I25" s="13" t="s">
        <v>25</v>
      </c>
      <c r="J25" s="11"/>
      <c r="K25" s="11"/>
      <c r="L25" s="11" t="s">
        <v>95</v>
      </c>
    </row>
    <row r="26" customFormat="false" ht="15" hidden="false" customHeight="false" outlineLevel="0" collapsed="false">
      <c r="B26" s="10" t="n">
        <v>18</v>
      </c>
      <c r="C26" s="11" t="s">
        <v>96</v>
      </c>
      <c r="D26" s="12" t="s">
        <v>97</v>
      </c>
      <c r="E26" s="13" t="s">
        <v>93</v>
      </c>
      <c r="F26" s="13" t="s">
        <v>38</v>
      </c>
      <c r="G26" s="13" t="s">
        <v>23</v>
      </c>
      <c r="H26" s="13" t="s">
        <v>24</v>
      </c>
      <c r="I26" s="13" t="s">
        <v>25</v>
      </c>
      <c r="J26" s="11"/>
      <c r="K26" s="11"/>
      <c r="L26" s="11" t="s">
        <v>98</v>
      </c>
    </row>
    <row r="27" customFormat="false" ht="28.35" hidden="false" customHeight="false" outlineLevel="0" collapsed="false">
      <c r="B27" s="10" t="n">
        <v>19</v>
      </c>
      <c r="C27" s="11" t="s">
        <v>99</v>
      </c>
      <c r="D27" s="12" t="s">
        <v>100</v>
      </c>
      <c r="E27" s="13" t="s">
        <v>93</v>
      </c>
      <c r="F27" s="13" t="s">
        <v>88</v>
      </c>
      <c r="G27" s="13" t="s">
        <v>39</v>
      </c>
      <c r="H27" s="13" t="s">
        <v>101</v>
      </c>
      <c r="I27" s="13" t="s">
        <v>25</v>
      </c>
      <c r="J27" s="11"/>
      <c r="K27" s="11"/>
      <c r="L27" s="11" t="s">
        <v>102</v>
      </c>
    </row>
    <row r="28" customFormat="false" ht="15" hidden="false" customHeight="false" outlineLevel="0" collapsed="false">
      <c r="B28" s="10" t="n">
        <v>20</v>
      </c>
      <c r="C28" s="11" t="s">
        <v>103</v>
      </c>
      <c r="D28" s="12" t="s">
        <v>104</v>
      </c>
      <c r="E28" s="13" t="s">
        <v>21</v>
      </c>
      <c r="F28" s="13" t="s">
        <v>88</v>
      </c>
      <c r="G28" s="13" t="s">
        <v>23</v>
      </c>
      <c r="H28" s="13" t="s">
        <v>105</v>
      </c>
      <c r="I28" s="13" t="s">
        <v>25</v>
      </c>
      <c r="J28" s="11"/>
      <c r="K28" s="11"/>
      <c r="L28" s="11" t="s">
        <v>106</v>
      </c>
    </row>
    <row r="29" customFormat="false" ht="28.35" hidden="false" customHeight="false" outlineLevel="0" collapsed="false">
      <c r="B29" s="10" t="n">
        <v>21</v>
      </c>
      <c r="C29" s="11" t="s">
        <v>107</v>
      </c>
      <c r="D29" s="12" t="s">
        <v>108</v>
      </c>
      <c r="E29" s="13" t="s">
        <v>21</v>
      </c>
      <c r="F29" s="13" t="s">
        <v>88</v>
      </c>
      <c r="G29" s="13" t="s">
        <v>23</v>
      </c>
      <c r="H29" s="13" t="s">
        <v>109</v>
      </c>
      <c r="I29" s="13" t="s">
        <v>25</v>
      </c>
      <c r="J29" s="11"/>
      <c r="K29" s="11"/>
      <c r="L29" s="11" t="s">
        <v>110</v>
      </c>
    </row>
    <row r="30" customFormat="false" ht="28.35" hidden="false" customHeight="false" outlineLevel="0" collapsed="false">
      <c r="B30" s="10" t="n">
        <v>22</v>
      </c>
      <c r="C30" s="11" t="s">
        <v>111</v>
      </c>
      <c r="D30" s="12" t="s">
        <v>112</v>
      </c>
      <c r="E30" s="13" t="s">
        <v>21</v>
      </c>
      <c r="F30" s="13" t="s">
        <v>88</v>
      </c>
      <c r="G30" s="13" t="s">
        <v>23</v>
      </c>
      <c r="H30" s="13" t="s">
        <v>113</v>
      </c>
      <c r="I30" s="13" t="s">
        <v>25</v>
      </c>
      <c r="J30" s="11"/>
      <c r="K30" s="11"/>
      <c r="L30" s="11" t="s">
        <v>114</v>
      </c>
    </row>
    <row r="31" customFormat="false" ht="15" hidden="false" customHeight="false" outlineLevel="0" collapsed="false">
      <c r="B31" s="10" t="n">
        <v>23</v>
      </c>
      <c r="C31" s="11" t="s">
        <v>115</v>
      </c>
      <c r="D31" s="12" t="s">
        <v>116</v>
      </c>
      <c r="E31" s="13" t="s">
        <v>21</v>
      </c>
      <c r="F31" s="13" t="s">
        <v>43</v>
      </c>
      <c r="G31" s="13" t="s">
        <v>23</v>
      </c>
      <c r="H31" s="13" t="s">
        <v>117</v>
      </c>
      <c r="I31" s="13" t="s">
        <v>25</v>
      </c>
      <c r="J31" s="11"/>
      <c r="K31" s="11"/>
      <c r="L31" s="11" t="s">
        <v>118</v>
      </c>
    </row>
    <row r="32" customFormat="false" ht="28.35" hidden="false" customHeight="false" outlineLevel="0" collapsed="false">
      <c r="B32" s="10" t="n">
        <v>24</v>
      </c>
      <c r="C32" s="11" t="s">
        <v>119</v>
      </c>
      <c r="D32" s="12" t="s">
        <v>120</v>
      </c>
      <c r="E32" s="13" t="s">
        <v>21</v>
      </c>
      <c r="F32" s="13" t="s">
        <v>29</v>
      </c>
      <c r="G32" s="13" t="s">
        <v>39</v>
      </c>
      <c r="H32" s="13" t="s">
        <v>24</v>
      </c>
      <c r="I32" s="13" t="s">
        <v>25</v>
      </c>
      <c r="J32" s="11"/>
      <c r="K32" s="11"/>
      <c r="L32" s="11" t="s">
        <v>121</v>
      </c>
    </row>
    <row r="33" customFormat="false" ht="28.35" hidden="false" customHeight="false" outlineLevel="0" collapsed="false">
      <c r="B33" s="10" t="n">
        <v>25</v>
      </c>
      <c r="C33" s="11" t="s">
        <v>122</v>
      </c>
      <c r="D33" s="12" t="s">
        <v>123</v>
      </c>
      <c r="E33" s="13" t="s">
        <v>21</v>
      </c>
      <c r="F33" s="13" t="s">
        <v>88</v>
      </c>
      <c r="G33" s="13" t="s">
        <v>39</v>
      </c>
      <c r="H33" s="13" t="s">
        <v>124</v>
      </c>
      <c r="I33" s="13" t="s">
        <v>25</v>
      </c>
      <c r="J33" s="11"/>
      <c r="K33" s="11"/>
      <c r="L33" s="11" t="s">
        <v>125</v>
      </c>
    </row>
    <row r="34" customFormat="false" ht="15" hidden="false" customHeight="false" outlineLevel="0" collapsed="false">
      <c r="B34" s="10" t="n">
        <v>26</v>
      </c>
      <c r="C34" s="11" t="s">
        <v>126</v>
      </c>
      <c r="D34" s="12" t="s">
        <v>127</v>
      </c>
      <c r="E34" s="13" t="s">
        <v>21</v>
      </c>
      <c r="F34" s="13" t="s">
        <v>34</v>
      </c>
      <c r="G34" s="13" t="s">
        <v>39</v>
      </c>
      <c r="H34" s="13" t="s">
        <v>24</v>
      </c>
      <c r="I34" s="13" t="s">
        <v>25</v>
      </c>
      <c r="J34" s="11"/>
      <c r="K34" s="11"/>
      <c r="L34" s="11" t="s">
        <v>128</v>
      </c>
    </row>
    <row r="35" customFormat="false" ht="28.35" hidden="false" customHeight="false" outlineLevel="0" collapsed="false">
      <c r="B35" s="10" t="n">
        <v>27</v>
      </c>
      <c r="C35" s="11" t="s">
        <v>129</v>
      </c>
      <c r="D35" s="12" t="s">
        <v>130</v>
      </c>
      <c r="E35" s="13" t="s">
        <v>57</v>
      </c>
      <c r="F35" s="13" t="s">
        <v>29</v>
      </c>
      <c r="G35" s="13" t="s">
        <v>23</v>
      </c>
      <c r="H35" s="13" t="s">
        <v>131</v>
      </c>
      <c r="I35" s="13" t="s">
        <v>25</v>
      </c>
      <c r="J35" s="11"/>
      <c r="K35" s="11"/>
      <c r="L35" s="11" t="s">
        <v>132</v>
      </c>
    </row>
    <row r="36" customFormat="false" ht="28.35" hidden="false" customHeight="false" outlineLevel="0" collapsed="false">
      <c r="B36" s="10" t="n">
        <v>28</v>
      </c>
      <c r="C36" s="11" t="s">
        <v>133</v>
      </c>
      <c r="D36" s="12" t="s">
        <v>134</v>
      </c>
      <c r="E36" s="13" t="s">
        <v>57</v>
      </c>
      <c r="F36" s="13" t="s">
        <v>29</v>
      </c>
      <c r="G36" s="13" t="s">
        <v>23</v>
      </c>
      <c r="H36" s="13" t="s">
        <v>131</v>
      </c>
      <c r="I36" s="13" t="s">
        <v>25</v>
      </c>
      <c r="J36" s="11"/>
      <c r="K36" s="11"/>
      <c r="L36" s="11" t="s">
        <v>135</v>
      </c>
    </row>
    <row r="37" customFormat="false" ht="28.35" hidden="false" customHeight="false" outlineLevel="0" collapsed="false">
      <c r="B37" s="10" t="n">
        <v>29</v>
      </c>
      <c r="C37" s="11" t="s">
        <v>136</v>
      </c>
      <c r="D37" s="12" t="s">
        <v>137</v>
      </c>
      <c r="E37" s="13" t="s">
        <v>57</v>
      </c>
      <c r="F37" s="13" t="s">
        <v>29</v>
      </c>
      <c r="G37" s="13" t="s">
        <v>39</v>
      </c>
      <c r="H37" s="13" t="s">
        <v>131</v>
      </c>
      <c r="I37" s="13" t="s">
        <v>25</v>
      </c>
      <c r="J37" s="11"/>
      <c r="K37" s="11"/>
      <c r="L37" s="11" t="s">
        <v>138</v>
      </c>
    </row>
    <row r="38" customFormat="false" ht="28.35" hidden="false" customHeight="false" outlineLevel="0" collapsed="false">
      <c r="B38" s="10" t="n">
        <v>30</v>
      </c>
      <c r="C38" s="11" t="s">
        <v>139</v>
      </c>
      <c r="D38" s="12" t="s">
        <v>140</v>
      </c>
      <c r="E38" s="13" t="s">
        <v>57</v>
      </c>
      <c r="F38" s="13" t="s">
        <v>22</v>
      </c>
      <c r="G38" s="13" t="s">
        <v>23</v>
      </c>
      <c r="H38" s="13" t="s">
        <v>141</v>
      </c>
      <c r="I38" s="13" t="s">
        <v>25</v>
      </c>
      <c r="J38" s="11"/>
      <c r="K38" s="11"/>
      <c r="L38" s="11" t="s">
        <v>142</v>
      </c>
    </row>
  </sheetData>
  <mergeCells count="3">
    <mergeCell ref="B2:L2"/>
    <mergeCell ref="B3:L3"/>
    <mergeCell ref="B5:C5"/>
  </mergeCells>
  <conditionalFormatting sqref="I9:I38">
    <cfRule type="cellIs" priority="2" operator="equal" aboveAverage="0" equalAverage="0" bottom="0" percent="0" rank="0" text="" dxfId="0">
      <formula>"Compliant"</formula>
    </cfRule>
    <cfRule type="cellIs" priority="3" operator="equal" aboveAverage="0" equalAverage="0" bottom="0" percent="0" rank="0" text="" dxfId="1">
      <formula>"Partial"</formula>
    </cfRule>
    <cfRule type="cellIs" priority="4" operator="equal" aboveAverage="0" equalAverage="0" bottom="0" percent="0" rank="0" text="" dxfId="2">
      <formula>"Non-Compliant"</formula>
    </cfRule>
    <cfRule type="cellIs" priority="5" operator="equal" aboveAverage="0" equalAverage="0" bottom="0" percent="0" rank="0" text="" dxfId="3">
      <formula>"Not Started"</formula>
    </cfRule>
  </conditionalFormatting>
  <dataValidations count="3">
    <dataValidation allowBlank="true" error="Please select a valid status" errorStyle="stop" errorTitle="Invalid Status" operator="between" showDropDown="false" showErrorMessage="false" showInputMessage="false" sqref="I9:I38" type="list">
      <formula1>"Compliant,Partial,Non-Compliant,Not Started,N/A"</formula1>
      <formula2>0</formula2>
    </dataValidation>
    <dataValidation allowBlank="true" errorStyle="stop" operator="between" showDropDown="false" showErrorMessage="false" showInputMessage="false" sqref="E9:E38" type="list">
      <formula1>"I - Technical,II - Management,III - Past Performance,IV - Price/Cost,V - Admin"</formula1>
      <formula2>0</formula2>
    </dataValidation>
    <dataValidation allowBlank="true" errorStyle="stop" operator="between" showDropDown="false" showErrorMessage="false" showInputMessage="false" sqref="G9:G38" type="list">
      <formula1>"Prime,Sub,Both"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D1B2A"/>
    <pageSetUpPr fitToPage="false"/>
  </sheetPr>
  <dimension ref="B2:B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90"/>
  </cols>
  <sheetData>
    <row r="2" customFormat="false" ht="30" hidden="false" customHeight="true" outlineLevel="0" collapsed="false">
      <c r="B2" s="14" t="s">
        <v>143</v>
      </c>
    </row>
    <row r="3" customFormat="false" ht="15" hidden="false" customHeight="false" outlineLevel="0" collapsed="false">
      <c r="B3" s="15" t="s">
        <v>1</v>
      </c>
    </row>
    <row r="6" customFormat="false" ht="21.75" hidden="false" customHeight="true" outlineLevel="0" collapsed="false">
      <c r="B6" s="16" t="s">
        <v>144</v>
      </c>
    </row>
    <row r="7" customFormat="false" ht="79.5" hidden="false" customHeight="true" outlineLevel="0" collapsed="false">
      <c r="B7" s="17" t="s">
        <v>145</v>
      </c>
    </row>
    <row r="9" customFormat="false" ht="21.75" hidden="false" customHeight="true" outlineLevel="0" collapsed="false">
      <c r="B9" s="16" t="s">
        <v>146</v>
      </c>
    </row>
    <row r="10" customFormat="false" ht="31.5" hidden="false" customHeight="true" outlineLevel="0" collapsed="false">
      <c r="B10" s="17" t="s">
        <v>147</v>
      </c>
    </row>
    <row r="11" customFormat="false" ht="48" hidden="false" customHeight="true" outlineLevel="0" collapsed="false">
      <c r="B11" s="17" t="s">
        <v>148</v>
      </c>
    </row>
    <row r="13" customFormat="false" ht="21.75" hidden="false" customHeight="true" outlineLevel="0" collapsed="false">
      <c r="B13" s="16" t="s">
        <v>149</v>
      </c>
    </row>
    <row r="14" customFormat="false" ht="31.5" hidden="false" customHeight="true" outlineLevel="0" collapsed="false">
      <c r="B14" s="17" t="s">
        <v>150</v>
      </c>
    </row>
    <row r="15" customFormat="false" ht="48" hidden="false" customHeight="true" outlineLevel="0" collapsed="false">
      <c r="B15" s="17" t="s">
        <v>151</v>
      </c>
    </row>
    <row r="16" customFormat="false" ht="31.5" hidden="false" customHeight="true" outlineLevel="0" collapsed="false">
      <c r="B16" s="17" t="s">
        <v>152</v>
      </c>
    </row>
    <row r="17" customFormat="false" ht="31.5" hidden="false" customHeight="true" outlineLevel="0" collapsed="false">
      <c r="B17" s="17" t="s">
        <v>153</v>
      </c>
    </row>
    <row r="18" customFormat="false" ht="18" hidden="false" customHeight="true" outlineLevel="0" collapsed="false">
      <c r="B18" s="17" t="s">
        <v>154</v>
      </c>
    </row>
    <row r="19" customFormat="false" ht="31.5" hidden="false" customHeight="true" outlineLevel="0" collapsed="false">
      <c r="B19" s="17" t="s">
        <v>155</v>
      </c>
    </row>
    <row r="20" customFormat="false" ht="31.5" hidden="false" customHeight="true" outlineLevel="0" collapsed="false">
      <c r="B20" s="17" t="s">
        <v>156</v>
      </c>
    </row>
    <row r="22" customFormat="false" ht="21.75" hidden="false" customHeight="true" outlineLevel="0" collapsed="false">
      <c r="B22" s="16" t="s">
        <v>157</v>
      </c>
    </row>
    <row r="23" customFormat="false" ht="18" hidden="false" customHeight="true" outlineLevel="0" collapsed="false">
      <c r="B23" s="17" t="s">
        <v>158</v>
      </c>
    </row>
    <row r="24" customFormat="false" ht="18" hidden="false" customHeight="true" outlineLevel="0" collapsed="false">
      <c r="B24" s="17" t="s">
        <v>159</v>
      </c>
    </row>
    <row r="25" customFormat="false" ht="31.5" hidden="false" customHeight="true" outlineLevel="0" collapsed="false">
      <c r="B25" s="17" t="s">
        <v>160</v>
      </c>
    </row>
    <row r="26" customFormat="false" ht="18" hidden="false" customHeight="true" outlineLevel="0" collapsed="false">
      <c r="B26" s="17" t="s">
        <v>161</v>
      </c>
    </row>
    <row r="27" customFormat="false" ht="18" hidden="false" customHeight="true" outlineLevel="0" collapsed="false">
      <c r="B27" s="17" t="s">
        <v>162</v>
      </c>
    </row>
    <row r="29" customFormat="false" ht="21.75" hidden="false" customHeight="true" outlineLevel="0" collapsed="false">
      <c r="B29" s="16" t="s">
        <v>163</v>
      </c>
    </row>
    <row r="30" customFormat="false" ht="31.5" hidden="false" customHeight="true" outlineLevel="0" collapsed="false">
      <c r="B30" s="17" t="s">
        <v>164</v>
      </c>
    </row>
    <row r="31" customFormat="false" ht="31.5" hidden="false" customHeight="true" outlineLevel="0" collapsed="false">
      <c r="B31" s="17" t="s">
        <v>165</v>
      </c>
    </row>
    <row r="32" customFormat="false" ht="18" hidden="false" customHeight="true" outlineLevel="0" collapsed="false">
      <c r="B32" s="17" t="s">
        <v>166</v>
      </c>
    </row>
    <row r="33" customFormat="false" ht="18" hidden="false" customHeight="true" outlineLevel="0" collapsed="false">
      <c r="B33" s="17" t="s">
        <v>167</v>
      </c>
    </row>
    <row r="34" customFormat="false" ht="31.5" hidden="false" customHeight="true" outlineLevel="0" collapsed="false">
      <c r="B34" s="17" t="s">
        <v>168</v>
      </c>
    </row>
    <row r="36" customFormat="false" ht="21.75" hidden="false" customHeight="true" outlineLevel="0" collapsed="false">
      <c r="B36" s="16" t="s">
        <v>169</v>
      </c>
    </row>
    <row r="37" customFormat="false" ht="31.5" hidden="false" customHeight="true" outlineLevel="0" collapsed="false">
      <c r="B37" s="17" t="s">
        <v>170</v>
      </c>
    </row>
    <row r="38" customFormat="false" ht="31.5" hidden="false" customHeight="true" outlineLevel="0" collapsed="false">
      <c r="B38" s="17" t="s">
        <v>171</v>
      </c>
    </row>
    <row r="39" customFormat="false" ht="18" hidden="false" customHeight="true" outlineLevel="0" collapsed="false">
      <c r="B39" s="17" t="s">
        <v>172</v>
      </c>
    </row>
    <row r="40" customFormat="false" ht="31.5" hidden="false" customHeight="true" outlineLevel="0" collapsed="false">
      <c r="B40" s="17" t="s">
        <v>173</v>
      </c>
    </row>
    <row r="42" customFormat="false" ht="18" hidden="false" customHeight="true" outlineLevel="0" collapsed="false">
      <c r="B42" s="17" t="s">
        <v>174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2026-03-23T14:50:50Z</dcterms:created>
  <dc:creator>openpyxl</dc:creator>
  <dc:description/>
  <dc:language>en-US</dc:language>
  <cp:lastModifiedBy/>
  <dcterms:modified xsi:type="dcterms:W3CDTF">2026-03-23T14:50:50Z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