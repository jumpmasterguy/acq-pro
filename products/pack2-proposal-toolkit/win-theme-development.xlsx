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in Themes" sheetId="1" state="visible" r:id="rId3"/>
    <sheet name="Theme Matrix" sheetId="2" state="visible" r:id="rId4"/>
    <sheet name="Instruction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<sst xmlns="http://schemas.openxmlformats.org/spreadsheetml/2006/main" count="171" uniqueCount="115">
  <si>
    <t xml:space="preserve">WIN THEME DEVELOPMENT TRACKER</t>
  </si>
  <si>
    <t xml:space="preserve">Acqlerate — Defense Acquisitions Academy</t>
  </si>
  <si>
    <t xml:space="preserve">Theme #</t>
  </si>
  <si>
    <t xml:space="preserve">Theme Statement</t>
  </si>
  <si>
    <t xml:space="preserve">Supporting Evidence</t>
  </si>
  <si>
    <t xml:space="preserve">Discriminator?
(Y/N)</t>
  </si>
  <si>
    <t xml:space="preserve">Ghost
(Competitor Weakness)?</t>
  </si>
  <si>
    <t xml:space="preserve">Section(s) to Emphasize</t>
  </si>
  <si>
    <t xml:space="preserve">Reviewer
Score (1-5)</t>
  </si>
  <si>
    <t xml:space="preserve">Status</t>
  </si>
  <si>
    <t xml:space="preserve">Notes</t>
  </si>
  <si>
    <t xml:space="preserve">Only team with 3+ years of verified CPARS Exceptional ratings on identical scope</t>
  </si>
  <si>
    <t xml:space="preserve">CPARS reports for contracts FA8726-20-F-0045 and W911QX-21-C-0089 — both rated Exceptional in Quality, Schedule, and Management for 3 consecutive years</t>
  </si>
  <si>
    <t xml:space="preserve">Y</t>
  </si>
  <si>
    <t xml:space="preserve">Primary competitor has only Satisfactory ratings on their most relevant contract; secondary competitor lacks any comparable scope</t>
  </si>
  <si>
    <t xml:space="preserve">Past Performance (Vol III), Executive Summary</t>
  </si>
  <si>
    <t xml:space="preserve">Approved</t>
  </si>
  <si>
    <t xml:space="preserve">Lead with this in Exec Summary opening paragraph</t>
  </si>
  <si>
    <t xml:space="preserve">Incumbent transition risk eliminated — our team knows your systems</t>
  </si>
  <si>
    <t xml:space="preserve">Currently performing 95% of the scope under Task Order 0003; all 12 key personnel have active CACs and system access; zero transition period needed</t>
  </si>
  <si>
    <t xml:space="preserve">Any non-incumbent must plan 60-90 day transition, costing the Government productivity and increasing risk</t>
  </si>
  <si>
    <t xml:space="preserve">Management (Vol II), Technical (Vol I — Transition Plan)</t>
  </si>
  <si>
    <t xml:space="preserve">Ghost subtly: 'eliminates the risk and cost of transition learning curves'</t>
  </si>
  <si>
    <t xml:space="preserve">Proprietary methodology reduces onboarding time by 40%</t>
  </si>
  <si>
    <t xml:space="preserve">Acqlerate Rapid Integration Framework™ deployed on 4 contracts; documented 40% reduction in time-to-productivity per CDRL 0007 monthly status reports</t>
  </si>
  <si>
    <t xml:space="preserve">Competitors use generic onboarding; no proprietary accelerators documented</t>
  </si>
  <si>
    <t xml:space="preserve">Technical (Vol I — Innovation), Management (Vol II — Staffing)</t>
  </si>
  <si>
    <t xml:space="preserve">Under Review</t>
  </si>
  <si>
    <t xml:space="preserve">Include graphic showing 40% comparison; cite specific contract data</t>
  </si>
  <si>
    <t xml:space="preserve">100% key personnel retention for 3 years on current contract</t>
  </si>
  <si>
    <t xml:space="preserve">Zero voluntary attrition among 8 key personnel since 2023 contract start; demonstrated through monthly staffing reports to COR</t>
  </si>
  <si>
    <t xml:space="preserve">Industry average turnover for GovCon professional services is 22-28% annually; competitor X lost their PM mid-performance period on similar contract</t>
  </si>
  <si>
    <t xml:space="preserve">Management (Vol II — Key Personnel), Past Performance (Vol III)</t>
  </si>
  <si>
    <t xml:space="preserve">Quantify cost of turnover to the Government: recruitment, re-clearance, ramp-up</t>
  </si>
  <si>
    <t xml:space="preserve">Cleared facility within 10 miles of customer site enables same-day surge support</t>
  </si>
  <si>
    <t xml:space="preserve">SCIF-certified facility at 1234 Pentagon Row, Arlington VA; 8.2 miles from customer HQ; 15 TS/SCI-cleared staff available for surge</t>
  </si>
  <si>
    <t xml:space="preserve">N</t>
  </si>
  <si>
    <t xml:space="preserve">Primary competitor's nearest cleared facility is 45 miles away in Columbia, MD</t>
  </si>
  <si>
    <t xml:space="preserve">Technical (Vol I — Responsiveness), Management (Vol II — Facilities)</t>
  </si>
  <si>
    <t xml:space="preserve">Draft</t>
  </si>
  <si>
    <t xml:space="preserve">Include map graphic; emphasize response time for urgent classified tasking</t>
  </si>
  <si>
    <t xml:space="preserve">Team brings $2.3M in GFE-equivalent tools at no additional cost to the Government</t>
  </si>
  <si>
    <t xml:space="preserve">Enterprise licenses for Jira, Confluence, ServiceNow, and Splunk already procured; no GFE or GOTS required; saves Government $2.3M over 5-year PoP</t>
  </si>
  <si>
    <t xml:space="preserve">Competitors will either request GFE or price tools as ODCs, increasing total evaluated cost</t>
  </si>
  <si>
    <t xml:space="preserve">Technical (Vol I — Tools), Price/Cost (Vol IV — BOE narrative)</t>
  </si>
  <si>
    <t xml:space="preserve">Price advantage: our tools are in overhead, not ODC line items</t>
  </si>
  <si>
    <t xml:space="preserve">Proven small business mentor-protégé team exceeds all SB subcontracting goals by 15%+</t>
  </si>
  <si>
    <t xml:space="preserve">Active SBA-approved Mentor-Protégé agreement with 3 8(a) firms; achieved 48% SB utilization on current contract vs. 33% goal</t>
  </si>
  <si>
    <t xml:space="preserve">Competitor teams often scramble to meet SB goals post-award; our pipeline is established</t>
  </si>
  <si>
    <t xml:space="preserve">Admin (Vol V — SB Sub Plan), Management (Vol II — Teaming)</t>
  </si>
  <si>
    <t xml:space="preserve">Aligns with agency's stated priority for small business participation</t>
  </si>
  <si>
    <t xml:space="preserve">ISO 27001 + CMMI ML3 dual certification ensures quality and security from Day 1</t>
  </si>
  <si>
    <t xml:space="preserve">ISO 27001:2022 certified (Cert #IS-78234); CMMI ML3 appraised 2025 (Appraisal #MA-2025-0456); both current and maintained</t>
  </si>
  <si>
    <t xml:space="preserve">Most mid-tier competitors hold one or neither certification; this demonstrates institutional maturity</t>
  </si>
  <si>
    <t xml:space="preserve">Technical (Vol I — QA/QC), Management (Vol II — Corporate Experience)</t>
  </si>
  <si>
    <t xml:space="preserve">Certification logos in header; reference in Exec Summary and Tech approach</t>
  </si>
  <si>
    <t xml:space="preserve">WIN THEME-TO-EVALUATION FACTOR MATRIX</t>
  </si>
  <si>
    <t xml:space="preserve">Map each win theme to the evaluation factors and proposal sections where it should appear.</t>
  </si>
  <si>
    <t xml:space="preserve">Theme Statement (abbreviated)</t>
  </si>
  <si>
    <t xml:space="preserve">Innovation
(M-1.1, 15%)</t>
  </si>
  <si>
    <t xml:space="preserve">Risk Mitigation
(M-1.2, 15%)</t>
  </si>
  <si>
    <t xml:space="preserve">Schedule Realism
(M-1.3, 10%)</t>
  </si>
  <si>
    <t xml:space="preserve">Key Personnel
(M-2.1, 15%)</t>
  </si>
  <si>
    <t xml:space="preserve">Corporate Exp.
(M-2.2, 15%)</t>
  </si>
  <si>
    <t xml:space="preserve">Past Performance
(M-3, 20%)</t>
  </si>
  <si>
    <t xml:space="preserve">Price/Cost
(M-4, 10%)</t>
  </si>
  <si>
    <t xml:space="preserve">Exec Summary</t>
  </si>
  <si>
    <t xml:space="preserve">Tech Vol I</t>
  </si>
  <si>
    <t xml:space="preserve">Mgmt Vol II</t>
  </si>
  <si>
    <t xml:space="preserve">PP Vol III</t>
  </si>
  <si>
    <t xml:space="preserve">Price Vol IV</t>
  </si>
  <si>
    <t xml:space="preserve">Admin Vol V</t>
  </si>
  <si>
    <t xml:space="preserve">3+ yrs CPARS Exceptional</t>
  </si>
  <si>
    <t xml:space="preserve">X</t>
  </si>
  <si>
    <t xml:space="preserve">Incumbent — no transition risk</t>
  </si>
  <si>
    <t xml:space="preserve">Proprietary 40% faster onboarding</t>
  </si>
  <si>
    <t xml:space="preserve">100% key personnel retention</t>
  </si>
  <si>
    <t xml:space="preserve">Cleared facility within 10 miles</t>
  </si>
  <si>
    <t xml:space="preserve">$2.3M tools at no cost</t>
  </si>
  <si>
    <t xml:space="preserve">SB mentor-protégé exceeds goals</t>
  </si>
  <si>
    <t xml:space="preserve">ISO 27001 + CMMI ML3 dual cert</t>
  </si>
  <si>
    <t xml:space="preserve">TOTAL THEMES PER FACTOR</t>
  </si>
  <si>
    <t xml:space="preserve">WIN THEME DEVELOPMENT — INSTRUCTIONS</t>
  </si>
  <si>
    <t xml:space="preserve">WHAT IS A WIN THEME?</t>
  </si>
  <si>
    <t xml:space="preserve">A win theme is a concise, provable statement that explains WHY the Government should select your team over all others. It is not a slogan or marketing tagline — it is an evidence-based differentiator tied directly to evaluation criteria.</t>
  </si>
  <si>
    <t xml:space="preserve">A strong win theme has three components:</t>
  </si>
  <si>
    <t xml:space="preserve">1. A clear CLAIM ('Our team reduces transition risk to zero')</t>
  </si>
  <si>
    <t xml:space="preserve">2. Specific EVIDENCE ('Currently performing 95% of scope under TO-0003 with all key personnel cleared and badged')</t>
  </si>
  <si>
    <t xml:space="preserve">3. A clear BENEFIT to the Government ('The Government saves 60-90 days of lost productivity and avoids re-training costs')</t>
  </si>
  <si>
    <t xml:space="preserve">THE 3 E's OF WIN THEMES</t>
  </si>
  <si>
    <t xml:space="preserve">Evidence — Every theme must be supported by verifiable, quantified proof. 'We are experienced' is not a theme. 'We have 15 years and 4 CPARS Exceptional ratings on identical scope' is a theme.</t>
  </si>
  <si>
    <t xml:space="preserve">Emphasis — Win themes must appear PROMINENTLY in the sections where the related evaluation factor is scored. Do not bury a critical theme in a footnote. Use callout boxes, bold headers, and opening paragraphs to ensure evaluators see it.</t>
  </si>
  <si>
    <t xml:space="preserve">Everywhere — A strong win theme appears in multiple places throughout the proposal. Your best themes should echo in the Executive Summary, the Technical Volume, the Management Volume, and even the Past Performance narratives. Repetition (with variation) builds conviction.</t>
  </si>
  <si>
    <t xml:space="preserve">HOW TO GHOST A COMPETITOR ETHICALLY</t>
  </si>
  <si>
    <t xml:space="preserve">Ghosting means highlighting a competitor's weakness WITHOUT naming them. This is standard practice in federal proposals and is completely ethical when done correctly.</t>
  </si>
  <si>
    <t xml:space="preserve">DO: 'Unlike firms that must transition new staff onto your systems, our incumbent team is already cleared, badged, and productive — eliminating the 60-90 day ramp-up period that typically accompanies a contract transition.'</t>
  </si>
  <si>
    <t xml:space="preserve">DON'T: 'Company XYZ lost their program manager mid-contract and failed to meet SLAs for 3 months.'</t>
  </si>
  <si>
    <t xml:space="preserve">Rules for ethical ghosting:</t>
  </si>
  <si>
    <t xml:space="preserve">• Never name a competitor</t>
  </si>
  <si>
    <t xml:space="preserve">• Focus on structural disadvantages (they must transition; they lack certification; they don't have local presence), not personal attacks</t>
  </si>
  <si>
    <t xml:space="preserve">• Frame as a positive for your team, not a negative about others ('Our team brings X' rather than 'Others lack X')</t>
  </si>
  <si>
    <t xml:space="preserve">• Only ghost weaknesses you can PROVE are likely (e.g., they are not incumbent, they don't hold a specific certification)</t>
  </si>
  <si>
    <t xml:space="preserve">USING THE THEME MATRIX</t>
  </si>
  <si>
    <t xml:space="preserve">The Theme Matrix (Sheet 2) maps each win theme to the evaluation factors and proposal sections where it should appear. Use it to:</t>
  </si>
  <si>
    <t xml:space="preserve">• Ensure every evaluation factor has at least 2 supporting themes</t>
  </si>
  <si>
    <t xml:space="preserve">• Identify 'theme gaps' — evaluation factors with no discriminating themes</t>
  </si>
  <si>
    <t xml:space="preserve">• Brief writers on which themes to emphasize in their sections</t>
  </si>
  <si>
    <t xml:space="preserve">• Track coverage: if a theme only appears in one section, you are underutilizing it</t>
  </si>
  <si>
    <t xml:space="preserve">SCORING GUIDE (Reviewer Score 1-5)</t>
  </si>
  <si>
    <t xml:space="preserve">5 — Irrefutable discriminator with quantified evidence; impossible for competitor to match</t>
  </si>
  <si>
    <t xml:space="preserve">4 — Strong discriminator with solid evidence; difficult for competitor to match</t>
  </si>
  <si>
    <t xml:space="preserve">3 — Valid differentiator but evidence is soft or competitors could make similar claim</t>
  </si>
  <si>
    <t xml:space="preserve">2 — Marginal theme; true but not compelling or unique</t>
  </si>
  <si>
    <t xml:space="preserve">1 — Weak or unsubstantiated; remove or significantly rework</t>
  </si>
  <si>
    <t xml:space="preserve">© Acqlerate — Defense Acquisitions Academy. For training use only.</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</si>
</sst>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sz val="16"/>
      <color rgb="FF0D1B2A"/>
      <name val="Calibri"/>
      <family val="0"/>
      <charset val="1"/>
    </font>
    <font>
      <sz val="11"/>
      <color rgb="FF01696F"/>
      <name val="Calibri"/>
      <family val="0"/>
      <charset val="1"/>
    </font>
    <font>
      <b val="true"/>
      <sz val="11"/>
      <color rgb="FFFFFFFF"/>
      <name val="Calibri"/>
      <family val="0"/>
      <charset val="1"/>
    </font>
    <font>
      <sz val="11"/>
      <name val="Calibri"/>
      <family val="0"/>
      <charset val="1"/>
    </font>
    <font>
      <i val="true"/>
      <sz val="11"/>
      <color rgb="FF666666"/>
      <name val="Calibri"/>
      <family val="0"/>
      <charset val="1"/>
    </font>
    <font>
      <b val="true"/>
      <sz val="11"/>
      <color rgb="FF01696F"/>
      <name val="Calibri"/>
      <family val="0"/>
      <charset val="1"/>
    </font>
    <font>
      <b val="true"/>
      <sz val="11"/>
      <name val="Calibri"/>
      <family val="0"/>
      <charset val="1"/>
    </font>
    <font>
      <b val="true"/>
      <sz val="12"/>
      <color rgb="FF01696F"/>
      <name val="Calibri"/>
      <family val="0"/>
      <charset val="1"/>
    </font>
  </fonts>
  <fills count="4">
    <fill>
      <patternFill patternType="none"/>
    </fill>
    <fill>
      <patternFill patternType="gray125"/>
    </fill>
    <fill>
      <patternFill patternType="solid">
        <fgColor rgb="FF01696F"/>
        <bgColor rgb="FF008080"/>
      </patternFill>
    </fill>
    <fill>
      <patternFill patternType="solid">
        <fgColor rgb="FFE0F2F3"/>
        <bgColor rgb="FFCCFFFF"/>
      </patternFill>
    </fill>
  </fills>
  <borders count="2">
    <border diagonalUp="false" diagonalDown="false">
      <left/>
      <right/>
      <top/>
      <bottom/>
      <diagonal/>
    </border>
    <border diagonalUp="false" diagonalDown="false">
      <left style="thin">
        <color rgb="FFD4D1CA"/>
      </left>
      <right style="thin">
        <color rgb="FFD4D1CA"/>
      </right>
      <top style="thin">
        <color rgb="FFD4D1CA"/>
      </top>
      <bottom style="thin">
        <color rgb="FFD4D1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1"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Calibri"/>
        <charset val="1"/>
        <family val="0"/>
        <color rgb="FF006100"/>
        <sz val="11"/>
      </font>
      <fill>
        <patternFill>
          <bgColor rgb="FFC6EFCE"/>
        </patternFill>
      </fill>
    </dxf>
    <dxf>
      <font>
        <name val="Calibri"/>
        <charset val="1"/>
        <family val="0"/>
        <color rgb="FF9C6500"/>
        <sz val="11"/>
      </font>
      <fill>
        <patternFill>
          <bgColor rgb="FFFFEB9C"/>
        </patternFill>
      </fill>
    </dxf>
    <dxf>
      <font>
        <name val="Calibri"/>
        <charset val="1"/>
        <family val="0"/>
        <color rgb="FF9C0006"/>
        <sz val="11"/>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1696F"/>
      <rgbColor rgb="FFD4D1CA"/>
      <rgbColor rgb="FF808080"/>
      <rgbColor rgb="FF9999FF"/>
      <rgbColor rgb="FF993366"/>
      <rgbColor rgb="FFFFFFCC"/>
      <rgbColor rgb="FFE0F2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69696"/>
      <rgbColor rgb="FF003366"/>
      <rgbColor rgb="FF339966"/>
      <rgbColor rgb="FF0D1B2A"/>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696F"/>
    <pageSetUpPr fitToPage="false"/>
  </sheetPr>
  <dimension ref="B2:J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42"/>
    <col collapsed="false" customWidth="true" hidden="false" outlineLevel="0" max="4" min="4" style="0" width="40"/>
    <col collapsed="false" customWidth="true" hidden="false" outlineLevel="0" max="5" min="5" style="0" width="14"/>
    <col collapsed="false" customWidth="true" hidden="false" outlineLevel="0" max="6" min="6" style="0" width="35"/>
    <col collapsed="false" customWidth="true" hidden="false" outlineLevel="0" max="7" min="7" style="0" width="22"/>
    <col collapsed="false" customWidth="true" hidden="false" outlineLevel="0" max="8" min="8" style="0" width="12"/>
    <col collapsed="false" customWidth="true" hidden="false" outlineLevel="0" max="9" min="9" style="0" width="14"/>
    <col collapsed="false" customWidth="true" hidden="false" outlineLevel="0" max="10" min="10" style="0" width="28"/>
  </cols>
  <sheetData>
    <row r="2" customFormat="false" ht="19.7" hidden="false" customHeight="false" outlineLevel="0" collapsed="false">
      <c r="B2" s="1" t="s">
        <v>0</v>
      </c>
      <c r="C2" s="1"/>
      <c r="D2" s="1"/>
      <c r="E2" s="1"/>
      <c r="F2" s="1"/>
      <c r="G2" s="1"/>
      <c r="H2" s="1"/>
      <c r="I2" s="1"/>
      <c r="J2" s="1"/>
    </row>
    <row r="3" customFormat="false" ht="15" hidden="false" customHeight="false" outlineLevel="0" collapsed="false">
      <c r="B3" s="2" t="s">
        <v>1</v>
      </c>
      <c r="C3" s="2"/>
      <c r="D3" s="2"/>
      <c r="E3" s="2"/>
      <c r="F3" s="2"/>
      <c r="G3" s="2"/>
      <c r="H3" s="2"/>
      <c r="I3" s="2"/>
      <c r="J3" s="2"/>
    </row>
    <row r="5" customFormat="false" ht="36" hidden="false" customHeight="true" outlineLevel="0" collapsed="false">
      <c r="B5" s="3" t="s">
        <v>2</v>
      </c>
      <c r="C5" s="3" t="s">
        <v>3</v>
      </c>
      <c r="D5" s="3" t="s">
        <v>4</v>
      </c>
      <c r="E5" s="3" t="s">
        <v>5</v>
      </c>
      <c r="F5" s="3" t="s">
        <v>6</v>
      </c>
      <c r="G5" s="3" t="s">
        <v>7</v>
      </c>
      <c r="H5" s="3" t="s">
        <v>8</v>
      </c>
      <c r="I5" s="3" t="s">
        <v>9</v>
      </c>
      <c r="J5" s="3" t="s">
        <v>10</v>
      </c>
    </row>
    <row r="6" customFormat="false" ht="60" hidden="false" customHeight="true" outlineLevel="0" collapsed="false">
      <c r="B6" s="4" t="n">
        <v>1</v>
      </c>
      <c r="C6" s="5" t="s">
        <v>11</v>
      </c>
      <c r="D6" s="5" t="s">
        <v>12</v>
      </c>
      <c r="E6" s="6" t="s">
        <v>13</v>
      </c>
      <c r="F6" s="5" t="s">
        <v>14</v>
      </c>
      <c r="G6" s="5" t="s">
        <v>15</v>
      </c>
      <c r="H6" s="6"/>
      <c r="I6" s="6" t="s">
        <v>16</v>
      </c>
      <c r="J6" s="5" t="s">
        <v>17</v>
      </c>
    </row>
    <row r="7" customFormat="false" ht="60" hidden="false" customHeight="true" outlineLevel="0" collapsed="false">
      <c r="B7" s="4" t="n">
        <v>2</v>
      </c>
      <c r="C7" s="5" t="s">
        <v>18</v>
      </c>
      <c r="D7" s="5" t="s">
        <v>19</v>
      </c>
      <c r="E7" s="6" t="s">
        <v>13</v>
      </c>
      <c r="F7" s="5" t="s">
        <v>20</v>
      </c>
      <c r="G7" s="5" t="s">
        <v>21</v>
      </c>
      <c r="H7" s="6"/>
      <c r="I7" s="6" t="s">
        <v>16</v>
      </c>
      <c r="J7" s="5" t="s">
        <v>22</v>
      </c>
    </row>
    <row r="8" customFormat="false" ht="60" hidden="false" customHeight="true" outlineLevel="0" collapsed="false">
      <c r="B8" s="4" t="n">
        <v>3</v>
      </c>
      <c r="C8" s="5" t="s">
        <v>23</v>
      </c>
      <c r="D8" s="5" t="s">
        <v>24</v>
      </c>
      <c r="E8" s="6" t="s">
        <v>13</v>
      </c>
      <c r="F8" s="5" t="s">
        <v>25</v>
      </c>
      <c r="G8" s="5" t="s">
        <v>26</v>
      </c>
      <c r="H8" s="6"/>
      <c r="I8" s="6" t="s">
        <v>27</v>
      </c>
      <c r="J8" s="5" t="s">
        <v>28</v>
      </c>
    </row>
    <row r="9" customFormat="false" ht="60" hidden="false" customHeight="true" outlineLevel="0" collapsed="false">
      <c r="B9" s="4" t="n">
        <v>4</v>
      </c>
      <c r="C9" s="5" t="s">
        <v>29</v>
      </c>
      <c r="D9" s="5" t="s">
        <v>30</v>
      </c>
      <c r="E9" s="6" t="s">
        <v>13</v>
      </c>
      <c r="F9" s="5" t="s">
        <v>31</v>
      </c>
      <c r="G9" s="5" t="s">
        <v>32</v>
      </c>
      <c r="H9" s="6"/>
      <c r="I9" s="6" t="s">
        <v>16</v>
      </c>
      <c r="J9" s="5" t="s">
        <v>33</v>
      </c>
    </row>
    <row r="10" customFormat="false" ht="60" hidden="false" customHeight="true" outlineLevel="0" collapsed="false">
      <c r="B10" s="4" t="n">
        <v>5</v>
      </c>
      <c r="C10" s="5" t="s">
        <v>34</v>
      </c>
      <c r="D10" s="5" t="s">
        <v>35</v>
      </c>
      <c r="E10" s="6" t="s">
        <v>36</v>
      </c>
      <c r="F10" s="5" t="s">
        <v>37</v>
      </c>
      <c r="G10" s="5" t="s">
        <v>38</v>
      </c>
      <c r="H10" s="6"/>
      <c r="I10" s="6" t="s">
        <v>39</v>
      </c>
      <c r="J10" s="5" t="s">
        <v>40</v>
      </c>
    </row>
    <row r="11" customFormat="false" ht="60" hidden="false" customHeight="true" outlineLevel="0" collapsed="false">
      <c r="B11" s="4" t="n">
        <v>6</v>
      </c>
      <c r="C11" s="5" t="s">
        <v>41</v>
      </c>
      <c r="D11" s="5" t="s">
        <v>42</v>
      </c>
      <c r="E11" s="6" t="s">
        <v>13</v>
      </c>
      <c r="F11" s="5" t="s">
        <v>43</v>
      </c>
      <c r="G11" s="5" t="s">
        <v>44</v>
      </c>
      <c r="H11" s="6"/>
      <c r="I11" s="6" t="s">
        <v>27</v>
      </c>
      <c r="J11" s="5" t="s">
        <v>45</v>
      </c>
    </row>
    <row r="12" customFormat="false" ht="60" hidden="false" customHeight="true" outlineLevel="0" collapsed="false">
      <c r="B12" s="4" t="n">
        <v>7</v>
      </c>
      <c r="C12" s="5" t="s">
        <v>46</v>
      </c>
      <c r="D12" s="5" t="s">
        <v>47</v>
      </c>
      <c r="E12" s="6" t="s">
        <v>36</v>
      </c>
      <c r="F12" s="5" t="s">
        <v>48</v>
      </c>
      <c r="G12" s="5" t="s">
        <v>49</v>
      </c>
      <c r="H12" s="6"/>
      <c r="I12" s="6" t="s">
        <v>16</v>
      </c>
      <c r="J12" s="5" t="s">
        <v>50</v>
      </c>
    </row>
    <row r="13" customFormat="false" ht="60" hidden="false" customHeight="true" outlineLevel="0" collapsed="false">
      <c r="B13" s="4" t="n">
        <v>8</v>
      </c>
      <c r="C13" s="5" t="s">
        <v>51</v>
      </c>
      <c r="D13" s="5" t="s">
        <v>52</v>
      </c>
      <c r="E13" s="6" t="s">
        <v>13</v>
      </c>
      <c r="F13" s="5" t="s">
        <v>53</v>
      </c>
      <c r="G13" s="5" t="s">
        <v>54</v>
      </c>
      <c r="H13" s="6"/>
      <c r="I13" s="6" t="s">
        <v>16</v>
      </c>
      <c r="J13" s="5" t="s">
        <v>55</v>
      </c>
    </row>
    <row r="14" customFormat="false" ht="15" hidden="false" customHeight="false" outlineLevel="0" collapsed="false">
      <c r="B14" s="4" t="n">
        <v>9</v>
      </c>
      <c r="C14" s="7"/>
      <c r="D14" s="7"/>
      <c r="E14" s="7"/>
      <c r="F14" s="7"/>
      <c r="G14" s="7"/>
      <c r="H14" s="7"/>
      <c r="I14" s="7"/>
      <c r="J14" s="7"/>
    </row>
    <row r="15" customFormat="false" ht="15" hidden="false" customHeight="false" outlineLevel="0" collapsed="false">
      <c r="B15" s="4" t="n">
        <v>10</v>
      </c>
      <c r="C15" s="7"/>
      <c r="D15" s="7"/>
      <c r="E15" s="7"/>
      <c r="F15" s="7"/>
      <c r="G15" s="7"/>
      <c r="H15" s="7"/>
      <c r="I15" s="7"/>
      <c r="J15" s="7"/>
    </row>
    <row r="16" customFormat="false" ht="15" hidden="false" customHeight="false" outlineLevel="0" collapsed="false">
      <c r="B16" s="4" t="n">
        <v>11</v>
      </c>
      <c r="C16" s="7"/>
      <c r="D16" s="7"/>
      <c r="E16" s="7"/>
      <c r="F16" s="7"/>
      <c r="G16" s="7"/>
      <c r="H16" s="7"/>
      <c r="I16" s="7"/>
      <c r="J16" s="7"/>
    </row>
    <row r="17" customFormat="false" ht="15" hidden="false" customHeight="false" outlineLevel="0" collapsed="false">
      <c r="B17" s="4" t="n">
        <v>12</v>
      </c>
      <c r="C17" s="7"/>
      <c r="D17" s="7"/>
      <c r="E17" s="7"/>
      <c r="F17" s="7"/>
      <c r="G17" s="7"/>
      <c r="H17" s="7"/>
      <c r="I17" s="7"/>
      <c r="J17" s="7"/>
    </row>
    <row r="18" customFormat="false" ht="15" hidden="false" customHeight="false" outlineLevel="0" collapsed="false">
      <c r="B18" s="4" t="n">
        <v>13</v>
      </c>
      <c r="C18" s="7"/>
      <c r="D18" s="7"/>
      <c r="E18" s="7"/>
      <c r="F18" s="7"/>
      <c r="G18" s="7"/>
      <c r="H18" s="7"/>
      <c r="I18" s="7"/>
      <c r="J18" s="7"/>
    </row>
    <row r="19" customFormat="false" ht="15" hidden="false" customHeight="false" outlineLevel="0" collapsed="false">
      <c r="B19" s="4" t="n">
        <v>14</v>
      </c>
      <c r="C19" s="7"/>
      <c r="D19" s="7"/>
      <c r="E19" s="7"/>
      <c r="F19" s="7"/>
      <c r="G19" s="7"/>
      <c r="H19" s="7"/>
      <c r="I19" s="7"/>
      <c r="J19" s="7"/>
    </row>
    <row r="20" customFormat="false" ht="15" hidden="false" customHeight="false" outlineLevel="0" collapsed="false">
      <c r="B20" s="4" t="n">
        <v>15</v>
      </c>
      <c r="C20" s="7"/>
      <c r="D20" s="7"/>
      <c r="E20" s="7"/>
      <c r="F20" s="7"/>
      <c r="G20" s="7"/>
      <c r="H20" s="7"/>
      <c r="I20" s="7"/>
      <c r="J20" s="7"/>
    </row>
  </sheetData>
  <mergeCells count="2">
    <mergeCell ref="B2:J2"/>
    <mergeCell ref="B3:J3"/>
  </mergeCells>
  <conditionalFormatting sqref="I6:I13">
    <cfRule type="cellIs" priority="2" operator="equal" aboveAverage="0" equalAverage="0" bottom="0" percent="0" rank="0" text="" dxfId="0">
      <formula>"Approved"</formula>
    </cfRule>
    <cfRule type="cellIs" priority="3" operator="equal" aboveAverage="0" equalAverage="0" bottom="0" percent="0" rank="0" text="" dxfId="1">
      <formula>"Under Review"</formula>
    </cfRule>
    <cfRule type="cellIs" priority="4" operator="equal" aboveAverage="0" equalAverage="0" bottom="0" percent="0" rank="0" text="" dxfId="2">
      <formula>"Rejected"</formula>
    </cfRule>
  </conditionalFormatting>
  <dataValidations count="3">
    <dataValidation allowBlank="true" errorStyle="stop" operator="between" showDropDown="false" showErrorMessage="false" showInputMessage="false" sqref="E6:E20" type="list">
      <formula1>"Y,N"</formula1>
      <formula2>0</formula2>
    </dataValidation>
    <dataValidation allowBlank="true" errorStyle="stop" operator="between" showDropDown="false" showErrorMessage="false" showInputMessage="false" sqref="H6:H20" type="list">
      <formula1>"1,2,3,4,5"</formula1>
      <formula2>0</formula2>
    </dataValidation>
    <dataValidation allowBlank="true" errorStyle="stop" operator="between" showDropDown="false" showErrorMessage="false" showInputMessage="false" sqref="I6:I20" type="list">
      <formula1>"Draft,Under Review,Approved,Rejected,Revised"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696F"/>
    <pageSetUpPr fitToPage="false"/>
  </sheetPr>
  <dimension ref="B2:P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32"/>
    <col collapsed="false" customWidth="true" hidden="false" outlineLevel="0" max="10" min="4" style="0" width="14"/>
    <col collapsed="false" customWidth="true" hidden="false" outlineLevel="0" max="16" min="11" style="0" width="13"/>
  </cols>
  <sheetData>
    <row r="2" customFormat="false" ht="19.7" hidden="false" customHeight="false" outlineLevel="0" collapsed="false">
      <c r="B2" s="1" t="s">
        <v>56</v>
      </c>
      <c r="C2" s="1"/>
      <c r="D2" s="1"/>
      <c r="E2" s="1"/>
      <c r="F2" s="1"/>
      <c r="G2" s="1"/>
      <c r="H2" s="1"/>
      <c r="I2" s="1"/>
    </row>
    <row r="3" customFormat="false" ht="15" hidden="false" customHeight="false" outlineLevel="0" collapsed="false">
      <c r="B3" s="8" t="s">
        <v>57</v>
      </c>
      <c r="C3" s="8"/>
      <c r="D3" s="8"/>
      <c r="E3" s="8"/>
      <c r="F3" s="8"/>
      <c r="G3" s="8"/>
      <c r="H3" s="8"/>
      <c r="I3" s="8"/>
    </row>
    <row r="5" customFormat="false" ht="42" hidden="false" customHeight="true" outlineLevel="0" collapsed="false">
      <c r="B5" s="3" t="s">
        <v>2</v>
      </c>
      <c r="C5" s="3" t="s">
        <v>58</v>
      </c>
      <c r="D5" s="3" t="s">
        <v>59</v>
      </c>
      <c r="E5" s="3" t="s">
        <v>60</v>
      </c>
      <c r="F5" s="3" t="s">
        <v>61</v>
      </c>
      <c r="G5" s="3" t="s">
        <v>62</v>
      </c>
      <c r="H5" s="3" t="s">
        <v>63</v>
      </c>
      <c r="I5" s="3" t="s">
        <v>64</v>
      </c>
      <c r="J5" s="3" t="s">
        <v>65</v>
      </c>
      <c r="K5" s="3" t="s">
        <v>66</v>
      </c>
      <c r="L5" s="3" t="s">
        <v>67</v>
      </c>
      <c r="M5" s="3" t="s">
        <v>68</v>
      </c>
      <c r="N5" s="3" t="s">
        <v>69</v>
      </c>
      <c r="O5" s="3" t="s">
        <v>70</v>
      </c>
      <c r="P5" s="3" t="s">
        <v>71</v>
      </c>
    </row>
    <row r="6" customFormat="false" ht="27.75" hidden="false" customHeight="true" outlineLevel="0" collapsed="false">
      <c r="B6" s="4" t="n">
        <v>1</v>
      </c>
      <c r="C6" s="5" t="s">
        <v>72</v>
      </c>
      <c r="D6" s="4"/>
      <c r="E6" s="4"/>
      <c r="F6" s="4"/>
      <c r="G6" s="4"/>
      <c r="H6" s="9" t="s">
        <v>73</v>
      </c>
      <c r="I6" s="9" t="s">
        <v>73</v>
      </c>
      <c r="J6" s="4"/>
      <c r="K6" s="9" t="s">
        <v>73</v>
      </c>
      <c r="L6" s="4"/>
      <c r="M6" s="4"/>
      <c r="N6" s="9" t="s">
        <v>73</v>
      </c>
      <c r="O6" s="4"/>
      <c r="P6" s="4"/>
    </row>
    <row r="7" customFormat="false" ht="27.75" hidden="false" customHeight="true" outlineLevel="0" collapsed="false">
      <c r="B7" s="4" t="n">
        <v>2</v>
      </c>
      <c r="C7" s="5" t="s">
        <v>74</v>
      </c>
      <c r="D7" s="4"/>
      <c r="E7" s="9" t="s">
        <v>73</v>
      </c>
      <c r="F7" s="9" t="s">
        <v>73</v>
      </c>
      <c r="G7" s="4"/>
      <c r="H7" s="9" t="s">
        <v>73</v>
      </c>
      <c r="I7" s="9" t="s">
        <v>73</v>
      </c>
      <c r="J7" s="4"/>
      <c r="K7" s="9" t="s">
        <v>73</v>
      </c>
      <c r="L7" s="9" t="s">
        <v>73</v>
      </c>
      <c r="M7" s="9" t="s">
        <v>73</v>
      </c>
      <c r="N7" s="4"/>
      <c r="O7" s="4"/>
      <c r="P7" s="4"/>
    </row>
    <row r="8" customFormat="false" ht="27.75" hidden="false" customHeight="true" outlineLevel="0" collapsed="false">
      <c r="B8" s="4" t="n">
        <v>3</v>
      </c>
      <c r="C8" s="5" t="s">
        <v>75</v>
      </c>
      <c r="D8" s="9" t="s">
        <v>73</v>
      </c>
      <c r="E8" s="9" t="s">
        <v>73</v>
      </c>
      <c r="F8" s="9" t="s">
        <v>73</v>
      </c>
      <c r="G8" s="4"/>
      <c r="H8" s="4"/>
      <c r="I8" s="4"/>
      <c r="J8" s="4"/>
      <c r="K8" s="9" t="s">
        <v>73</v>
      </c>
      <c r="L8" s="9" t="s">
        <v>73</v>
      </c>
      <c r="M8" s="9" t="s">
        <v>73</v>
      </c>
      <c r="N8" s="4"/>
      <c r="O8" s="4"/>
      <c r="P8" s="4"/>
    </row>
    <row r="9" customFormat="false" ht="27.75" hidden="false" customHeight="true" outlineLevel="0" collapsed="false">
      <c r="B9" s="4" t="n">
        <v>4</v>
      </c>
      <c r="C9" s="5" t="s">
        <v>76</v>
      </c>
      <c r="D9" s="4"/>
      <c r="E9" s="9" t="s">
        <v>73</v>
      </c>
      <c r="F9" s="4"/>
      <c r="G9" s="9" t="s">
        <v>73</v>
      </c>
      <c r="H9" s="9" t="s">
        <v>73</v>
      </c>
      <c r="I9" s="9" t="s">
        <v>73</v>
      </c>
      <c r="J9" s="4"/>
      <c r="K9" s="9" t="s">
        <v>73</v>
      </c>
      <c r="L9" s="4"/>
      <c r="M9" s="9" t="s">
        <v>73</v>
      </c>
      <c r="N9" s="9" t="s">
        <v>73</v>
      </c>
      <c r="O9" s="4"/>
      <c r="P9" s="4"/>
    </row>
    <row r="10" customFormat="false" ht="27.75" hidden="false" customHeight="true" outlineLevel="0" collapsed="false">
      <c r="B10" s="4" t="n">
        <v>5</v>
      </c>
      <c r="C10" s="5" t="s">
        <v>77</v>
      </c>
      <c r="D10" s="4"/>
      <c r="E10" s="4"/>
      <c r="F10" s="9" t="s">
        <v>73</v>
      </c>
      <c r="G10" s="4"/>
      <c r="H10" s="9" t="s">
        <v>73</v>
      </c>
      <c r="I10" s="4"/>
      <c r="J10" s="4"/>
      <c r="K10" s="4"/>
      <c r="L10" s="9" t="s">
        <v>73</v>
      </c>
      <c r="M10" s="9" t="s">
        <v>73</v>
      </c>
      <c r="N10" s="4"/>
      <c r="O10" s="4"/>
      <c r="P10" s="4"/>
    </row>
    <row r="11" customFormat="false" ht="27.75" hidden="false" customHeight="true" outlineLevel="0" collapsed="false">
      <c r="B11" s="4" t="n">
        <v>6</v>
      </c>
      <c r="C11" s="5" t="s">
        <v>78</v>
      </c>
      <c r="D11" s="9" t="s">
        <v>73</v>
      </c>
      <c r="E11" s="9" t="s">
        <v>73</v>
      </c>
      <c r="F11" s="4"/>
      <c r="G11" s="4"/>
      <c r="H11" s="4"/>
      <c r="I11" s="4"/>
      <c r="J11" s="9" t="s">
        <v>73</v>
      </c>
      <c r="K11" s="9" t="s">
        <v>73</v>
      </c>
      <c r="L11" s="9" t="s">
        <v>73</v>
      </c>
      <c r="M11" s="4"/>
      <c r="N11" s="4"/>
      <c r="O11" s="9" t="s">
        <v>73</v>
      </c>
      <c r="P11" s="4"/>
    </row>
    <row r="12" customFormat="false" ht="27.75" hidden="false" customHeight="true" outlineLevel="0" collapsed="false">
      <c r="B12" s="4" t="n">
        <v>7</v>
      </c>
      <c r="C12" s="5" t="s">
        <v>79</v>
      </c>
      <c r="D12" s="4"/>
      <c r="E12" s="4"/>
      <c r="F12" s="4"/>
      <c r="G12" s="4"/>
      <c r="H12" s="9" t="s">
        <v>73</v>
      </c>
      <c r="I12" s="4"/>
      <c r="J12" s="4"/>
      <c r="K12" s="4"/>
      <c r="L12" s="4"/>
      <c r="M12" s="9" t="s">
        <v>73</v>
      </c>
      <c r="N12" s="4"/>
      <c r="O12" s="4"/>
      <c r="P12" s="9" t="s">
        <v>73</v>
      </c>
    </row>
    <row r="13" customFormat="false" ht="27.75" hidden="false" customHeight="true" outlineLevel="0" collapsed="false">
      <c r="B13" s="4" t="n">
        <v>8</v>
      </c>
      <c r="C13" s="5" t="s">
        <v>80</v>
      </c>
      <c r="D13" s="9" t="s">
        <v>73</v>
      </c>
      <c r="E13" s="9" t="s">
        <v>73</v>
      </c>
      <c r="F13" s="4"/>
      <c r="G13" s="4"/>
      <c r="H13" s="9" t="s">
        <v>73</v>
      </c>
      <c r="I13" s="9" t="s">
        <v>73</v>
      </c>
      <c r="J13" s="4"/>
      <c r="K13" s="9" t="s">
        <v>73</v>
      </c>
      <c r="L13" s="9" t="s">
        <v>73</v>
      </c>
      <c r="M13" s="9" t="s">
        <v>73</v>
      </c>
      <c r="N13" s="4"/>
      <c r="O13" s="4"/>
      <c r="P13" s="4"/>
    </row>
    <row r="14" customFormat="false" ht="15" hidden="false" customHeight="false" outlineLevel="0" collapsed="false">
      <c r="B14" s="10"/>
      <c r="C14" s="11" t="s">
        <v>81</v>
      </c>
      <c r="D14" s="12" t="n">
        <f aca="false">COUNTA(D6:D13)</f>
        <v>3</v>
      </c>
      <c r="E14" s="12" t="n">
        <f aca="false">COUNTA(E6:E13)</f>
        <v>5</v>
      </c>
      <c r="F14" s="12" t="n">
        <f aca="false">COUNTA(F6:F13)</f>
        <v>3</v>
      </c>
      <c r="G14" s="12" t="n">
        <f aca="false">COUNTA(G6:G13)</f>
        <v>1</v>
      </c>
      <c r="H14" s="12" t="n">
        <f aca="false">COUNTA(H6:H13)</f>
        <v>6</v>
      </c>
      <c r="I14" s="12" t="n">
        <f aca="false">COUNTA(I6:I13)</f>
        <v>4</v>
      </c>
      <c r="J14" s="12" t="n">
        <f aca="false">COUNTA(J6:J13)</f>
        <v>1</v>
      </c>
      <c r="K14" s="12" t="n">
        <f aca="false">COUNTA(K6:K13)</f>
        <v>6</v>
      </c>
      <c r="L14" s="12" t="n">
        <f aca="false">COUNTA(L6:L13)</f>
        <v>5</v>
      </c>
      <c r="M14" s="12" t="n">
        <f aca="false">COUNTA(M6:M13)</f>
        <v>6</v>
      </c>
      <c r="N14" s="12" t="n">
        <f aca="false">COUNTA(N6:N13)</f>
        <v>2</v>
      </c>
      <c r="O14" s="12" t="n">
        <f aca="false">COUNTA(O6:O13)</f>
        <v>1</v>
      </c>
      <c r="P14" s="12" t="n">
        <f aca="false">COUNTA(P6:P13)</f>
        <v>1</v>
      </c>
    </row>
  </sheetData>
  <mergeCells count="2">
    <mergeCell ref="B2:I2"/>
    <mergeCell ref="B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1B2A"/>
    <pageSetUpPr fitToPage="false"/>
  </sheetPr>
  <dimension ref="B2:B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90"/>
  </cols>
  <sheetData>
    <row r="2" customFormat="false" ht="19.7" hidden="false" customHeight="false" outlineLevel="0" collapsed="false">
      <c r="B2" s="13" t="s">
        <v>82</v>
      </c>
    </row>
    <row r="3" customFormat="false" ht="15" hidden="false" customHeight="false" outlineLevel="0" collapsed="false">
      <c r="B3" s="14" t="s">
        <v>1</v>
      </c>
    </row>
    <row r="6" customFormat="false" ht="21.75" hidden="false" customHeight="true" outlineLevel="0" collapsed="false">
      <c r="B6" s="15" t="s">
        <v>83</v>
      </c>
    </row>
    <row r="7" customFormat="false" ht="48" hidden="false" customHeight="true" outlineLevel="0" collapsed="false">
      <c r="B7" s="16" t="s">
        <v>84</v>
      </c>
    </row>
    <row r="9" customFormat="false" ht="18" hidden="false" customHeight="true" outlineLevel="0" collapsed="false">
      <c r="B9" s="16" t="s">
        <v>85</v>
      </c>
    </row>
    <row r="10" customFormat="false" ht="18" hidden="false" customHeight="true" outlineLevel="0" collapsed="false">
      <c r="B10" s="16" t="s">
        <v>86</v>
      </c>
    </row>
    <row r="11" customFormat="false" ht="31.5" hidden="false" customHeight="true" outlineLevel="0" collapsed="false">
      <c r="B11" s="16" t="s">
        <v>87</v>
      </c>
    </row>
    <row r="12" customFormat="false" ht="31.5" hidden="false" customHeight="true" outlineLevel="0" collapsed="false">
      <c r="B12" s="16" t="s">
        <v>88</v>
      </c>
    </row>
    <row r="14" customFormat="false" ht="21.75" hidden="false" customHeight="true" outlineLevel="0" collapsed="false">
      <c r="B14" s="15" t="s">
        <v>89</v>
      </c>
    </row>
    <row r="15" customFormat="false" ht="48" hidden="false" customHeight="true" outlineLevel="0" collapsed="false">
      <c r="B15" s="16" t="s">
        <v>90</v>
      </c>
    </row>
    <row r="17" customFormat="false" ht="48" hidden="false" customHeight="true" outlineLevel="0" collapsed="false">
      <c r="B17" s="16" t="s">
        <v>91</v>
      </c>
    </row>
    <row r="19" customFormat="false" ht="63.75" hidden="false" customHeight="true" outlineLevel="0" collapsed="false">
      <c r="B19" s="16" t="s">
        <v>92</v>
      </c>
    </row>
    <row r="21" customFormat="false" ht="21.75" hidden="false" customHeight="true" outlineLevel="0" collapsed="false">
      <c r="B21" s="15" t="s">
        <v>93</v>
      </c>
    </row>
    <row r="22" customFormat="false" ht="31.5" hidden="false" customHeight="true" outlineLevel="0" collapsed="false">
      <c r="B22" s="16" t="s">
        <v>94</v>
      </c>
    </row>
    <row r="24" customFormat="false" ht="48" hidden="false" customHeight="true" outlineLevel="0" collapsed="false">
      <c r="B24" s="16" t="s">
        <v>95</v>
      </c>
    </row>
    <row r="26" customFormat="false" ht="31.5" hidden="false" customHeight="true" outlineLevel="0" collapsed="false">
      <c r="B26" s="16" t="s">
        <v>96</v>
      </c>
    </row>
    <row r="28" customFormat="false" ht="18" hidden="false" customHeight="true" outlineLevel="0" collapsed="false">
      <c r="B28" s="16" t="s">
        <v>97</v>
      </c>
    </row>
    <row r="29" customFormat="false" ht="18" hidden="false" customHeight="true" outlineLevel="0" collapsed="false">
      <c r="B29" s="16" t="s">
        <v>98</v>
      </c>
    </row>
    <row r="30" customFormat="false" ht="31.5" hidden="false" customHeight="true" outlineLevel="0" collapsed="false">
      <c r="B30" s="16" t="s">
        <v>99</v>
      </c>
    </row>
    <row r="31" customFormat="false" ht="31.5" hidden="false" customHeight="true" outlineLevel="0" collapsed="false">
      <c r="B31" s="16" t="s">
        <v>100</v>
      </c>
    </row>
    <row r="32" customFormat="false" ht="31.5" hidden="false" customHeight="true" outlineLevel="0" collapsed="false">
      <c r="B32" s="16" t="s">
        <v>101</v>
      </c>
    </row>
    <row r="34" customFormat="false" ht="21.75" hidden="false" customHeight="true" outlineLevel="0" collapsed="false">
      <c r="B34" s="15" t="s">
        <v>102</v>
      </c>
    </row>
    <row r="35" customFormat="false" ht="31.5" hidden="false" customHeight="true" outlineLevel="0" collapsed="false">
      <c r="B35" s="16" t="s">
        <v>103</v>
      </c>
    </row>
    <row r="36" customFormat="false" ht="18" hidden="false" customHeight="true" outlineLevel="0" collapsed="false">
      <c r="B36" s="16" t="s">
        <v>104</v>
      </c>
    </row>
    <row r="37" customFormat="false" ht="18" hidden="false" customHeight="true" outlineLevel="0" collapsed="false">
      <c r="B37" s="16" t="s">
        <v>105</v>
      </c>
    </row>
    <row r="38" customFormat="false" ht="18" hidden="false" customHeight="true" outlineLevel="0" collapsed="false">
      <c r="B38" s="16" t="s">
        <v>106</v>
      </c>
    </row>
    <row r="39" customFormat="false" ht="18" hidden="false" customHeight="true" outlineLevel="0" collapsed="false">
      <c r="B39" s="16" t="s">
        <v>107</v>
      </c>
    </row>
    <row r="41" customFormat="false" ht="21.75" hidden="false" customHeight="true" outlineLevel="0" collapsed="false">
      <c r="B41" s="15" t="s">
        <v>108</v>
      </c>
    </row>
    <row r="42" customFormat="false" ht="31.5" hidden="false" customHeight="true" outlineLevel="0" collapsed="false">
      <c r="B42" s="16" t="s">
        <v>109</v>
      </c>
    </row>
    <row r="43" customFormat="false" ht="18" hidden="false" customHeight="true" outlineLevel="0" collapsed="false">
      <c r="B43" s="16" t="s">
        <v>110</v>
      </c>
    </row>
    <row r="44" customFormat="false" ht="31.5" hidden="false" customHeight="true" outlineLevel="0" collapsed="false">
      <c r="B44" s="16" t="s">
        <v>111</v>
      </c>
    </row>
    <row r="45" customFormat="false" ht="18" hidden="false" customHeight="true" outlineLevel="0" collapsed="false">
      <c r="B45" s="16" t="s">
        <v>112</v>
      </c>
    </row>
    <row r="46" customFormat="false" ht="18" hidden="false" customHeight="true" outlineLevel="0" collapsed="false">
      <c r="B46" s="16" t="s">
        <v>113</v>
      </c>
    </row>
    <row r="48" customFormat="false" ht="18" hidden="false" customHeight="true" outlineLevel="0" collapsed="false">
      <c r="B48" s="16"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2026-03-23T14:50:51Z</dcterms:created>
  <dc:creator>openpyxl</dc:creator>
  <dc:description/>
  <dc:language>en-US</dc:language>
  <cp:lastModifiedBy/>
  <dcterms:modified xsi:type="dcterms:W3CDTF">2026-03-23T14:50:51Z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