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Wrap Rate Calculator" sheetId="1" state="visible" r:id="rId1"/>
    <sheet xmlns:r="http://schemas.openxmlformats.org/officeDocument/2006/relationships" name="Rate Comparison" sheetId="2" state="visible" r:id="rId2"/>
    <sheet xmlns:r="http://schemas.openxmlformats.org/officeDocument/2006/relationships" name="Instructions" sheetId="3" state="visible" r:id="rId3"/>
  </sheets>
  <definedNames>
    <definedName name="_xlnm.Print_Area" localSheetId="0">'Wrap Rate Calculator'!$A$1:$F$28</definedName>
    <definedName name="_xlnm.Print_Area" localSheetId="1">'Rate Comparison'!$A$1:$H$13</definedName>
    <definedName name="_xlnm.Print_Area" localSheetId="2">'Instructions'!$A$1:$D$62</definedName>
  </definedNames>
  <calcPr calcId="124519" fullCalcOnLoad="1" refMode="A1" iterate="0" iterateCount="100" iterateDelta="0.0001"/>
</workbook>
</file>

<file path=xl/styles.xml><?xml version="1.0" encoding="utf-8"?>
<styleSheet xmlns="http://schemas.openxmlformats.org/spreadsheetml/2006/main">
  <numFmts count="3">
    <numFmt numFmtId="164" formatCode="\$#,##0.00"/>
    <numFmt numFmtId="165" formatCode="0.0%"/>
    <numFmt numFmtId="166" formatCode="0.00\x"/>
  </numFmts>
  <fonts count="23">
    <font>
      <name val="Calibri"/>
      <charset val="1"/>
      <family val="2"/>
      <color theme="1"/>
      <sz val="11"/>
    </font>
    <font>
      <name val="Arial"/>
      <family val="0"/>
      <sz val="10"/>
    </font>
    <font>
      <name val="Arial"/>
      <family val="0"/>
      <sz val="10"/>
    </font>
    <font>
      <name val="Arial"/>
      <family val="0"/>
      <sz val="10"/>
    </font>
    <font>
      <name val="Calibri"/>
      <charset val="1"/>
      <family val="0"/>
      <b val="1"/>
      <color rgb="FFFFFFFF"/>
      <sz val="16"/>
    </font>
    <font>
      <name val="Calibri"/>
      <charset val="1"/>
      <family val="0"/>
      <b val="1"/>
      <color rgb="FF4DA8AE"/>
      <sz val="12"/>
    </font>
    <font>
      <name val="Calibri"/>
      <charset val="1"/>
      <family val="0"/>
      <color rgb="FFB0C4DE"/>
      <sz val="9"/>
    </font>
    <font>
      <name val="Calibri"/>
      <charset val="1"/>
      <family val="0"/>
      <i val="1"/>
      <color rgb="FFB0C4DE"/>
      <sz val="8"/>
    </font>
    <font>
      <name val="Calibri"/>
      <charset val="1"/>
      <family val="0"/>
      <b val="1"/>
      <color rgb="FFFFFFFF"/>
      <sz val="11"/>
    </font>
    <font>
      <name val="Calibri"/>
      <charset val="1"/>
      <family val="0"/>
      <b val="1"/>
      <color rgb="FF01696F"/>
      <sz val="9"/>
    </font>
    <font>
      <name val="Calibri"/>
      <charset val="1"/>
      <family val="0"/>
      <color rgb="FF333333"/>
      <sz val="10"/>
    </font>
    <font>
      <name val="Calibri"/>
      <charset val="1"/>
      <family val="0"/>
      <b val="1"/>
      <color rgb="FF0000FF"/>
      <sz val="11"/>
    </font>
    <font>
      <name val="Calibri"/>
      <charset val="1"/>
      <family val="0"/>
      <i val="1"/>
      <color rgb="FF666666"/>
      <sz val="8"/>
    </font>
    <font>
      <name val="Calibri"/>
      <charset val="1"/>
      <family val="0"/>
      <color rgb="FF333333"/>
      <sz val="11"/>
    </font>
    <font>
      <name val="Calibri"/>
      <charset val="1"/>
      <family val="0"/>
      <b val="1"/>
      <color rgb="FF333333"/>
      <sz val="10"/>
    </font>
    <font>
      <name val="Calibri"/>
      <charset val="1"/>
      <family val="0"/>
      <b val="1"/>
      <color rgb="FF333333"/>
      <sz val="11"/>
    </font>
    <font>
      <name val="Calibri"/>
      <charset val="1"/>
      <family val="0"/>
      <b val="1"/>
      <color rgb="FF01696F"/>
      <sz val="10"/>
    </font>
    <font>
      <name val="Calibri"/>
      <charset val="1"/>
      <family val="0"/>
      <b val="1"/>
      <color rgb="FF01696F"/>
      <sz val="13"/>
    </font>
    <font>
      <name val="Calibri"/>
      <charset val="1"/>
      <family val="0"/>
      <i val="1"/>
      <color rgb="FF666666"/>
      <sz val="7"/>
    </font>
    <font>
      <name val="Calibri"/>
      <charset val="1"/>
      <family val="0"/>
      <b val="1"/>
      <color rgb="FFFFFFFF"/>
      <sz val="9"/>
    </font>
    <font>
      <name val="Calibri"/>
      <charset val="1"/>
      <family val="0"/>
      <color rgb="FF333333"/>
      <sz val="9"/>
    </font>
    <font>
      <name val="Calibri"/>
      <charset val="1"/>
      <family val="0"/>
      <color rgb="FF666666"/>
      <sz val="8"/>
    </font>
    <font>
      <name val="Calibri"/>
      <charset val="1"/>
      <family val="0"/>
      <b val="1"/>
      <i val="1"/>
      <color rgb="FF01696F"/>
      <sz val="8"/>
    </font>
  </fonts>
  <fills count="8">
    <fill>
      <patternFill/>
    </fill>
    <fill>
      <patternFill patternType="gray125"/>
    </fill>
    <fill>
      <patternFill patternType="solid">
        <fgColor rgb="FF0D1B2A"/>
        <bgColor rgb="FF000000"/>
      </patternFill>
    </fill>
    <fill>
      <patternFill patternType="solid">
        <fgColor rgb="FF01696F"/>
        <bgColor rgb="FF008080"/>
      </patternFill>
    </fill>
    <fill>
      <patternFill patternType="solid">
        <fgColor rgb="FFFFFFF0"/>
        <bgColor rgb="FFFFFFFF"/>
      </patternFill>
    </fill>
    <fill>
      <patternFill patternType="solid">
        <fgColor rgb="FFFFFFFF"/>
        <bgColor rgb="FFFFFFF0"/>
      </patternFill>
    </fill>
    <fill>
      <patternFill patternType="solid">
        <fgColor rgb="FFE8F5E9"/>
        <bgColor rgb="FFE0F2F3"/>
      </patternFill>
    </fill>
    <fill>
      <patternFill patternType="solid">
        <fgColor rgb="FFE0F2F3"/>
        <bgColor rgb="FFE8F5E9"/>
      </patternFill>
    </fill>
  </fills>
  <borders count="6">
    <border>
      <left/>
      <right/>
      <top/>
      <bottom/>
      <diagonal/>
    </border>
    <border>
      <left/>
      <right/>
      <top/>
      <bottom style="thin">
        <color rgb="FFC0C0C0"/>
      </bottom>
      <diagonal/>
    </border>
    <border>
      <left style="thin">
        <color rgb="FF0000FF"/>
      </left>
      <right style="thin">
        <color rgb="FF0000FF"/>
      </right>
      <top style="thin">
        <color rgb="FF0000FF"/>
      </top>
      <bottom style="thin">
        <color rgb="FF0000FF"/>
      </bottom>
      <diagonal/>
    </border>
    <border>
      <left/>
      <right/>
      <top style="thin">
        <color rgb="FFC0C0C0"/>
      </top>
      <bottom style="thin">
        <color rgb="FFC0C0C0"/>
      </bottom>
      <diagonal/>
    </border>
    <border>
      <left style="medium">
        <color rgb="FF01696F"/>
      </left>
      <right style="medium">
        <color rgb="FF01696F"/>
      </right>
      <top style="medium">
        <color rgb="FF01696F"/>
      </top>
      <bottom style="medium">
        <color rgb="FF01696F"/>
      </bottom>
      <diagonal/>
    </border>
    <border>
      <left style="thin">
        <color rgb="FFC0C0C0"/>
      </left>
      <right style="thin">
        <color rgb="FFC0C0C0"/>
      </right>
      <top style="thin">
        <color rgb="FFC0C0C0"/>
      </top>
      <bottom style="thin">
        <color rgb="FFC0C0C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5">
    <xf numFmtId="0" fontId="0" fillId="0" borderId="0" applyAlignment="1" pivotButton="0" quotePrefix="0" xfId="0">
      <alignment horizontal="general" vertical="bottom"/>
    </xf>
    <xf numFmtId="0" fontId="0" fillId="2" borderId="0" applyAlignment="1" pivotButton="0" quotePrefix="0" xfId="0">
      <alignment horizontal="general" vertical="bottom"/>
    </xf>
    <xf numFmtId="0" fontId="4" fillId="2" borderId="0" applyAlignment="1" pivotButton="0" quotePrefix="0" xfId="0">
      <alignment horizontal="left" vertical="center"/>
    </xf>
    <xf numFmtId="0" fontId="5" fillId="2" borderId="0" applyAlignment="1" pivotButton="0" quotePrefix="0" xfId="0">
      <alignment horizontal="right" vertical="center"/>
    </xf>
    <xf numFmtId="0" fontId="6" fillId="2" borderId="0" applyAlignment="1" pivotButton="0" quotePrefix="0" xfId="0">
      <alignment horizontal="general" vertical="bottom"/>
    </xf>
    <xf numFmtId="0" fontId="7" fillId="2" borderId="0" applyAlignment="1" pivotButton="0" quotePrefix="0" xfId="0">
      <alignment horizontal="right" vertical="center"/>
    </xf>
    <xf numFmtId="0" fontId="8" fillId="3" borderId="0" applyAlignment="1" pivotButton="0" quotePrefix="0" xfId="0">
      <alignment horizontal="center" vertical="center" wrapText="1"/>
    </xf>
    <xf numFmtId="0" fontId="9" fillId="0" borderId="1" applyAlignment="1" pivotButton="0" quotePrefix="0" xfId="0">
      <alignment horizontal="center" vertical="center" wrapText="1"/>
    </xf>
    <xf numFmtId="0" fontId="10" fillId="0" borderId="0" applyAlignment="1" pivotButton="0" quotePrefix="0" xfId="0">
      <alignment horizontal="left" vertical="center" wrapText="1" indent="1"/>
    </xf>
    <xf numFmtId="164" fontId="11" fillId="4" borderId="2" applyAlignment="1" pivotButton="0" quotePrefix="0" xfId="0">
      <alignment horizontal="center" vertical="center" wrapText="1"/>
    </xf>
    <xf numFmtId="0" fontId="12" fillId="0" borderId="0" applyAlignment="1" pivotButton="0" quotePrefix="0" xfId="0">
      <alignment horizontal="left" vertical="center" wrapText="1"/>
    </xf>
    <xf numFmtId="165" fontId="11" fillId="4" borderId="2" applyAlignment="1" pivotButton="0" quotePrefix="0" xfId="0">
      <alignment horizontal="center" vertical="center" wrapText="1"/>
    </xf>
    <xf numFmtId="0" fontId="8" fillId="2" borderId="0" applyAlignment="1" pivotButton="0" quotePrefix="0" xfId="0">
      <alignment horizontal="center" vertical="center" wrapText="1"/>
    </xf>
    <xf numFmtId="164" fontId="13" fillId="5" borderId="0" applyAlignment="1" pivotButton="0" quotePrefix="0" xfId="0">
      <alignment horizontal="center" vertical="center" wrapText="1"/>
    </xf>
    <xf numFmtId="0" fontId="14" fillId="0" borderId="3" applyAlignment="1" pivotButton="0" quotePrefix="0" xfId="0">
      <alignment horizontal="left" vertical="center" wrapText="1" indent="1"/>
    </xf>
    <xf numFmtId="164" fontId="15" fillId="6" borderId="3" applyAlignment="1" pivotButton="0" quotePrefix="0" xfId="0">
      <alignment horizontal="center" vertical="center" wrapText="1"/>
    </xf>
    <xf numFmtId="0" fontId="12" fillId="0" borderId="3" applyAlignment="1" pivotButton="0" quotePrefix="0" xfId="0">
      <alignment horizontal="left" vertical="center" wrapText="1"/>
    </xf>
    <xf numFmtId="0" fontId="16" fillId="0" borderId="0" applyAlignment="1" pivotButton="0" quotePrefix="0" xfId="0">
      <alignment horizontal="left" vertical="center" wrapText="1" indent="1"/>
    </xf>
    <xf numFmtId="164" fontId="17" fillId="7" borderId="4" applyAlignment="1" pivotButton="0" quotePrefix="0" xfId="0">
      <alignment horizontal="center" vertical="center" wrapText="1"/>
    </xf>
    <xf numFmtId="0" fontId="12" fillId="0" borderId="0" applyAlignment="1" pivotButton="0" quotePrefix="0" xfId="0">
      <alignment horizontal="left" vertical="center" wrapText="1"/>
    </xf>
    <xf numFmtId="166" fontId="17" fillId="7" borderId="4" applyAlignment="1" pivotButton="0" quotePrefix="0" xfId="0">
      <alignment horizontal="center" vertical="center" wrapText="1"/>
    </xf>
    <xf numFmtId="0" fontId="18" fillId="0" borderId="0" applyAlignment="1" pivotButton="0" quotePrefix="0" xfId="0">
      <alignment horizontal="center" vertical="center" wrapText="1"/>
    </xf>
    <xf numFmtId="0" fontId="19" fillId="3" borderId="5" applyAlignment="1" pivotButton="0" quotePrefix="0" xfId="0">
      <alignment horizontal="center" vertical="center" wrapText="1"/>
    </xf>
    <xf numFmtId="0" fontId="14" fillId="7" borderId="5" applyAlignment="1" pivotButton="0" quotePrefix="0" xfId="0">
      <alignment horizontal="left" vertical="center" wrapText="1" indent="1"/>
    </xf>
    <xf numFmtId="0" fontId="20" fillId="7" borderId="5" applyAlignment="1" pivotButton="0" quotePrefix="0" xfId="0">
      <alignment horizontal="center" vertical="center" wrapText="1"/>
    </xf>
    <xf numFmtId="0" fontId="21" fillId="7" borderId="5" applyAlignment="1" pivotButton="0" quotePrefix="0" xfId="0">
      <alignment horizontal="left" vertical="top" wrapText="1"/>
    </xf>
    <xf numFmtId="0" fontId="14" fillId="5" borderId="5" applyAlignment="1" pivotButton="0" quotePrefix="0" xfId="0">
      <alignment horizontal="left" vertical="center" wrapText="1" indent="1"/>
    </xf>
    <xf numFmtId="0" fontId="20" fillId="5" borderId="5" applyAlignment="1" pivotButton="0" quotePrefix="0" xfId="0">
      <alignment horizontal="center" vertical="center" wrapText="1"/>
    </xf>
    <xf numFmtId="0" fontId="21" fillId="5" borderId="5" applyAlignment="1" pivotButton="0" quotePrefix="0" xfId="0">
      <alignment horizontal="left" vertical="top" wrapText="1"/>
    </xf>
    <xf numFmtId="0" fontId="22" fillId="0" borderId="0" applyAlignment="1" pivotButton="0" quotePrefix="0" xfId="0">
      <alignment horizontal="left" vertical="center" wrapText="1"/>
    </xf>
    <xf numFmtId="0" fontId="10" fillId="0" borderId="0" applyAlignment="1" pivotButton="0" quotePrefix="0" xfId="0">
      <alignment horizontal="left" vertical="top" wrapText="1"/>
    </xf>
    <xf numFmtId="0" fontId="0" fillId="0" borderId="0" applyAlignment="1" pivotButton="0" quotePrefix="0" xfId="0">
      <alignment horizontal="general" vertical="bottom"/>
    </xf>
    <xf numFmtId="0" fontId="14" fillId="0" borderId="0"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0" fillId="2" borderId="0" applyAlignment="1" pivotButton="0" quotePrefix="0" xfId="0">
      <alignment horizontal="general" vertical="bottom"/>
    </xf>
    <xf numFmtId="0" fontId="4" fillId="2" borderId="0" applyAlignment="1" pivotButton="0" quotePrefix="0" xfId="0">
      <alignment horizontal="left" vertical="center"/>
    </xf>
    <xf numFmtId="0" fontId="5" fillId="2" borderId="0" applyAlignment="1" pivotButton="0" quotePrefix="0" xfId="0">
      <alignment horizontal="right" vertical="center"/>
    </xf>
    <xf numFmtId="0" fontId="6" fillId="2" borderId="0" applyAlignment="1" pivotButton="0" quotePrefix="0" xfId="0">
      <alignment horizontal="general" vertical="bottom"/>
    </xf>
    <xf numFmtId="0" fontId="7" fillId="2" borderId="0" applyAlignment="1" pivotButton="0" quotePrefix="0" xfId="0">
      <alignment horizontal="right" vertical="center"/>
    </xf>
    <xf numFmtId="0" fontId="8" fillId="3" borderId="0" applyAlignment="1" pivotButton="0" quotePrefix="0" xfId="0">
      <alignment horizontal="center" vertical="center" wrapText="1"/>
    </xf>
    <xf numFmtId="0" fontId="9" fillId="0" borderId="1" applyAlignment="1" pivotButton="0" quotePrefix="0" xfId="0">
      <alignment horizontal="center" vertical="center" wrapText="1"/>
    </xf>
    <xf numFmtId="0" fontId="10" fillId="0" borderId="0" applyAlignment="1" pivotButton="0" quotePrefix="0" xfId="0">
      <alignment horizontal="left" vertical="center" wrapText="1" indent="1"/>
    </xf>
    <xf numFmtId="164" fontId="11" fillId="4" borderId="2" applyAlignment="1" pivotButton="0" quotePrefix="0" xfId="0">
      <alignment horizontal="center" vertical="center" wrapText="1"/>
    </xf>
    <xf numFmtId="0" fontId="12" fillId="0" borderId="0" applyAlignment="1" pivotButton="0" quotePrefix="0" xfId="0">
      <alignment horizontal="left" vertical="center" wrapText="1"/>
    </xf>
    <xf numFmtId="165" fontId="11" fillId="4" borderId="2" applyAlignment="1" pivotButton="0" quotePrefix="0" xfId="0">
      <alignment horizontal="center" vertical="center" wrapText="1"/>
    </xf>
    <xf numFmtId="0" fontId="8" fillId="2" borderId="0" applyAlignment="1" pivotButton="0" quotePrefix="0" xfId="0">
      <alignment horizontal="center" vertical="center" wrapText="1"/>
    </xf>
    <xf numFmtId="164" fontId="13" fillId="5" borderId="0" applyAlignment="1" pivotButton="0" quotePrefix="0" xfId="0">
      <alignment horizontal="center" vertical="center" wrapText="1"/>
    </xf>
    <xf numFmtId="0" fontId="14" fillId="0" borderId="3" applyAlignment="1" pivotButton="0" quotePrefix="0" xfId="0">
      <alignment horizontal="left" vertical="center" wrapText="1" indent="1"/>
    </xf>
    <xf numFmtId="164" fontId="15" fillId="6" borderId="3" applyAlignment="1" pivotButton="0" quotePrefix="0" xfId="0">
      <alignment horizontal="center" vertical="center" wrapText="1"/>
    </xf>
    <xf numFmtId="0" fontId="12" fillId="0" borderId="3" applyAlignment="1" pivotButton="0" quotePrefix="0" xfId="0">
      <alignment horizontal="left" vertical="center" wrapText="1"/>
    </xf>
    <xf numFmtId="0" fontId="16" fillId="0" borderId="0" applyAlignment="1" pivotButton="0" quotePrefix="0" xfId="0">
      <alignment horizontal="left" vertical="center" wrapText="1" indent="1"/>
    </xf>
    <xf numFmtId="164" fontId="17" fillId="7" borderId="4" applyAlignment="1" pivotButton="0" quotePrefix="0" xfId="0">
      <alignment horizontal="center" vertical="center" wrapText="1"/>
    </xf>
    <xf numFmtId="166" fontId="17" fillId="7" borderId="4" applyAlignment="1" pivotButton="0" quotePrefix="0" xfId="0">
      <alignment horizontal="center" vertical="center" wrapText="1"/>
    </xf>
    <xf numFmtId="0" fontId="18" fillId="0" borderId="0" applyAlignment="1" pivotButton="0" quotePrefix="0" xfId="0">
      <alignment horizontal="center" vertical="center" wrapText="1"/>
    </xf>
    <xf numFmtId="0" fontId="19" fillId="3" borderId="5" applyAlignment="1" pivotButton="0" quotePrefix="0" xfId="0">
      <alignment horizontal="center" vertical="center" wrapText="1"/>
    </xf>
    <xf numFmtId="0" fontId="14" fillId="7" borderId="5" applyAlignment="1" pivotButton="0" quotePrefix="0" xfId="0">
      <alignment horizontal="left" vertical="center" wrapText="1" indent="1"/>
    </xf>
    <xf numFmtId="0" fontId="20" fillId="7" borderId="5" applyAlignment="1" pivotButton="0" quotePrefix="0" xfId="0">
      <alignment horizontal="center" vertical="center" wrapText="1"/>
    </xf>
    <xf numFmtId="0" fontId="21" fillId="7" borderId="5" applyAlignment="1" pivotButton="0" quotePrefix="0" xfId="0">
      <alignment horizontal="left" vertical="top" wrapText="1"/>
    </xf>
    <xf numFmtId="0" fontId="14" fillId="5" borderId="5" applyAlignment="1" pivotButton="0" quotePrefix="0" xfId="0">
      <alignment horizontal="left" vertical="center" wrapText="1" indent="1"/>
    </xf>
    <xf numFmtId="0" fontId="20" fillId="5" borderId="5" applyAlignment="1" pivotButton="0" quotePrefix="0" xfId="0">
      <alignment horizontal="center" vertical="center" wrapText="1"/>
    </xf>
    <xf numFmtId="0" fontId="21" fillId="5" borderId="5" applyAlignment="1" pivotButton="0" quotePrefix="0" xfId="0">
      <alignment horizontal="left" vertical="top" wrapText="1"/>
    </xf>
    <xf numFmtId="0" fontId="22" fillId="0" borderId="0" applyAlignment="1" pivotButton="0" quotePrefix="0" xfId="0">
      <alignment horizontal="left" vertical="center" wrapText="1"/>
    </xf>
    <xf numFmtId="0" fontId="10" fillId="0" borderId="0" applyAlignment="1" pivotButton="0" quotePrefix="0" xfId="0">
      <alignment horizontal="left" vertical="top" wrapText="1"/>
    </xf>
    <xf numFmtId="0" fontId="14" fillId="0" borderId="0" applyAlignment="1" pivotButton="0" quotePrefix="0" xfId="0">
      <alignment horizontal="lef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1696F"/>
      <rgbColor rgb="FFC0C0C0"/>
      <rgbColor rgb="FF808080"/>
      <rgbColor rgb="FF9999FF"/>
      <rgbColor rgb="FF993366"/>
      <rgbColor rgb="FFFFFFF0"/>
      <rgbColor rgb="FFE0F2F3"/>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8F5E9"/>
      <rgbColor rgb="FFCCFFCC"/>
      <rgbColor rgb="FFFFFF99"/>
      <rgbColor rgb="FFB0C4DE"/>
      <rgbColor rgb="FFFF99CC"/>
      <rgbColor rgb="FFCC99FF"/>
      <rgbColor rgb="FFFFCC99"/>
      <rgbColor rgb="FF3366FF"/>
      <rgbColor rgb="FF33CCCC"/>
      <rgbColor rgb="FF99CC00"/>
      <rgbColor rgb="FFFFCC00"/>
      <rgbColor rgb="FFFF9900"/>
      <rgbColor rgb="FFFF6600"/>
      <rgbColor rgb="FF666666"/>
      <rgbColor rgb="FF969696"/>
      <rgbColor rgb="FF003366"/>
      <rgbColor rgb="FF4DA8AE"/>
      <rgbColor rgb="FF0D1B2A"/>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F29"/>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 customWidth="1" style="33" min="1" max="1"/>
    <col width="32" customWidth="1" style="33" min="2" max="2"/>
    <col width="16" customWidth="1" style="33" min="3" max="3"/>
    <col width="28" customWidth="1" style="33" min="4" max="4"/>
    <col width="16" customWidth="1" style="33" min="5" max="5"/>
    <col width="3" customWidth="1" style="33" min="6" max="6"/>
  </cols>
  <sheetData>
    <row r="1" ht="30" customHeight="1" s="34">
      <c r="A1" s="35" t="n"/>
      <c r="B1" s="36" t="inlineStr">
        <is>
          <t>Wrap Rate Calculator</t>
        </is>
      </c>
      <c r="E1" s="37" t="inlineStr">
        <is>
          <t>ACQLERATE</t>
        </is>
      </c>
    </row>
    <row r="2" ht="15.75" customHeight="1" s="34">
      <c r="A2" s="35" t="n"/>
      <c r="B2" s="38" t="inlineStr">
        <is>
          <t>Defense Contractor Rate Buildup — Defense Acquisitions Academy</t>
        </is>
      </c>
      <c r="E2" s="39" t="inlineStr">
        <is>
          <t>Blue text = inputs you can change</t>
        </is>
      </c>
    </row>
    <row r="3"/>
    <row r="4" ht="21.75" customHeight="1" s="34">
      <c r="B4" s="40" t="inlineStr">
        <is>
          <t>INPUT ASSUMPTIONS</t>
        </is>
      </c>
    </row>
    <row r="5" ht="18" customHeight="1" s="34">
      <c r="B5" s="41" t="inlineStr">
        <is>
          <t>Input</t>
        </is>
      </c>
      <c r="C5" s="41" t="inlineStr">
        <is>
          <t>Value</t>
        </is>
      </c>
      <c r="D5" s="41" t="inlineStr">
        <is>
          <t>Description</t>
        </is>
      </c>
    </row>
    <row r="6" ht="21.75" customHeight="1" s="34">
      <c r="B6" s="42" t="inlineStr">
        <is>
          <t>Base Hourly Rate</t>
        </is>
      </c>
      <c r="C6" s="43" t="n">
        <v>65</v>
      </c>
      <c r="D6" s="44" t="inlineStr">
        <is>
          <t>Direct labor hourly rate (loaded into labor category)</t>
        </is>
      </c>
    </row>
    <row r="7" ht="21.75" customHeight="1" s="34">
      <c r="B7" s="42" t="inlineStr">
        <is>
          <t>Fringe Benefit Rate %</t>
        </is>
      </c>
      <c r="C7" s="45" t="n">
        <v>0.3</v>
      </c>
      <c r="D7" s="44" t="inlineStr">
        <is>
          <t>FICA, health insurance, 401k, PTO, workers comp</t>
        </is>
      </c>
    </row>
    <row r="8" ht="21.75" customHeight="1" s="34">
      <c r="B8" s="42" t="inlineStr">
        <is>
          <t>Overhead Rate %</t>
        </is>
      </c>
      <c r="C8" s="45" t="n">
        <v>0.45</v>
      </c>
      <c r="D8" s="44" t="inlineStr">
        <is>
          <t>Indirect costs: mgmt, facilities, IT, HR (applied to DL + Fringe)</t>
        </is>
      </c>
    </row>
    <row r="9" ht="21.75" customHeight="1" s="34">
      <c r="B9" s="42" t="inlineStr">
        <is>
          <t>G&amp;A Rate %</t>
        </is>
      </c>
      <c r="C9" s="45" t="n">
        <v>0.12</v>
      </c>
      <c r="D9" s="44" t="inlineStr">
        <is>
          <t>General &amp; Administrative: exec, legal, finance (applied to Total Cost Input)</t>
        </is>
      </c>
    </row>
    <row r="10" ht="21.75" customHeight="1" s="34">
      <c r="B10" s="42" t="inlineStr">
        <is>
          <t>Fee / Profit %</t>
        </is>
      </c>
      <c r="C10" s="45" t="n">
        <v>0.08</v>
      </c>
      <c r="D10" s="44" t="inlineStr">
        <is>
          <t>Contractor profit margin (negotiated; varies by contract type)</t>
        </is>
      </c>
    </row>
    <row r="11"/>
    <row r="12" ht="21.75" customHeight="1" s="34">
      <c r="B12" s="46" t="inlineStr">
        <is>
          <t>RATE BUILDUP (All formulas — change inputs above to recalculate)</t>
        </is>
      </c>
    </row>
    <row r="13" ht="18" customHeight="1" s="34">
      <c r="B13" s="41" t="inlineStr">
        <is>
          <t>Component</t>
        </is>
      </c>
      <c r="C13" s="41" t="inlineStr">
        <is>
          <t>Amount</t>
        </is>
      </c>
      <c r="D13" s="41" t="inlineStr">
        <is>
          <t>Formula</t>
        </is>
      </c>
      <c r="E13" s="41" t="inlineStr">
        <is>
          <t>Running Total</t>
        </is>
      </c>
    </row>
    <row r="14" ht="21.75" customHeight="1" s="34">
      <c r="B14" s="42" t="inlineStr">
        <is>
          <t>Direct Labor (DL)</t>
        </is>
      </c>
      <c r="C14" s="47">
        <f>C6</f>
        <v/>
      </c>
      <c r="D14" s="44">
        <f>"$"&amp;TEXT(C6,"#,##0.00")&amp;"/hr (base rate)"</f>
        <v/>
      </c>
      <c r="E14" s="47">
        <f>C6</f>
        <v/>
      </c>
    </row>
    <row r="15" ht="21.75" customHeight="1" s="34">
      <c r="B15" s="42" t="inlineStr">
        <is>
          <t>+ Fringe Benefits</t>
        </is>
      </c>
      <c r="C15" s="47">
        <f>C6*C7</f>
        <v/>
      </c>
      <c r="D15" s="44">
        <f>"DL × "&amp;TEXT(C7,"0.0%")</f>
        <v/>
      </c>
      <c r="E15" s="47">
        <f>C6+C6*C7</f>
        <v/>
      </c>
    </row>
    <row r="16" ht="21.75" customHeight="1" s="34">
      <c r="B16" s="48" t="inlineStr">
        <is>
          <t>→ Fringe-Burdened Rate</t>
        </is>
      </c>
      <c r="C16" s="49">
        <f>C6*(1+C7)</f>
        <v/>
      </c>
      <c r="D16" s="50">
        <f>"DL + Fringe"</f>
        <v/>
      </c>
      <c r="E16" s="49">
        <f>C6*(1+C7)</f>
        <v/>
      </c>
    </row>
    <row r="17" ht="21.75" customHeight="1" s="34">
      <c r="B17" s="42" t="inlineStr">
        <is>
          <t>+ Overhead</t>
        </is>
      </c>
      <c r="C17" s="47">
        <f>C6*(1+C7)*C8</f>
        <v/>
      </c>
      <c r="D17" s="44">
        <f>"Fringe-Burdened × "&amp;TEXT(C8,"0.0%")</f>
        <v/>
      </c>
      <c r="E17" s="47">
        <f>C6*(1+C7)*(1+C8)</f>
        <v/>
      </c>
    </row>
    <row r="18" ht="21.75" customHeight="1" s="34">
      <c r="B18" s="48" t="inlineStr">
        <is>
          <t>→ Total Cost Input (TCI)</t>
        </is>
      </c>
      <c r="C18" s="49">
        <f>C6*(1+C7)*(1+C8)</f>
        <v/>
      </c>
      <c r="D18" s="50">
        <f>"DL + Fringe + Overhead"</f>
        <v/>
      </c>
      <c r="E18" s="49">
        <f>C6*(1+C7)*(1+C8)</f>
        <v/>
      </c>
    </row>
    <row r="19" ht="21.75" customHeight="1" s="34">
      <c r="B19" s="42" t="inlineStr">
        <is>
          <t>+ G&amp;A</t>
        </is>
      </c>
      <c r="C19" s="47">
        <f>C6*(1+C7)*(1+C8)*C9</f>
        <v/>
      </c>
      <c r="D19" s="44">
        <f>"TCI × "&amp;TEXT(C9,"0.0%")</f>
        <v/>
      </c>
      <c r="E19" s="47">
        <f>C6*(1+C7)*(1+C8)*(1+C9)</f>
        <v/>
      </c>
    </row>
    <row r="20" ht="21.75" customHeight="1" s="34">
      <c r="B20" s="48" t="inlineStr">
        <is>
          <t>→ Total Cost</t>
        </is>
      </c>
      <c r="C20" s="49">
        <f>C6*(1+C7)*(1+C8)*(1+C9)</f>
        <v/>
      </c>
      <c r="D20" s="50">
        <f>"TCI + G&amp;A"</f>
        <v/>
      </c>
      <c r="E20" s="49">
        <f>C6*(1+C7)*(1+C8)*(1+C9)</f>
        <v/>
      </c>
    </row>
    <row r="21" ht="21.75" customHeight="1" s="34">
      <c r="B21" s="42" t="inlineStr">
        <is>
          <t>+ Fee / Profit</t>
        </is>
      </c>
      <c r="C21" s="47">
        <f>C6*(1+C7)*(1+C8)*(1+C9)*C10</f>
        <v/>
      </c>
      <c r="D21" s="44">
        <f>"Total Cost × "&amp;TEXT(C10,"0.0%")</f>
        <v/>
      </c>
      <c r="E21" s="47">
        <f>C6*(1+C7)*(1+C8)*(1+C9)*(1+C10)</f>
        <v/>
      </c>
    </row>
    <row r="22"/>
    <row r="23" ht="21.75" customHeight="1" s="34">
      <c r="B23" s="40" t="inlineStr">
        <is>
          <t>FINAL RESULTS</t>
        </is>
      </c>
    </row>
    <row r="24" ht="27.75" customHeight="1" s="34">
      <c r="B24" s="51" t="inlineStr">
        <is>
          <t>Fully Loaded Billing Rate</t>
        </is>
      </c>
      <c r="C24" s="52">
        <f>C6*(1+C7)*(1+C8)*(1+C9)*(1+C10)</f>
        <v/>
      </c>
      <c r="D24" s="44" t="inlineStr">
        <is>
          <t>Total Cost + Fee = what the government pays per hour</t>
        </is>
      </c>
    </row>
    <row r="25" ht="27.75" customHeight="1" s="34">
      <c r="B25" s="51" t="inlineStr">
        <is>
          <t>Wrap Rate Multiplier</t>
        </is>
      </c>
      <c r="C25" s="53">
        <f>(1+C7)*(1+C8)*(1+C9)*(1+C10)</f>
        <v/>
      </c>
      <c r="D25" s="44" t="inlineStr">
        <is>
          <t>Fully Loaded Rate ÷ Base Rate (how many times base the govt pays)</t>
        </is>
      </c>
    </row>
    <row r="26"/>
    <row r="27" ht="15.75" customHeight="1" s="34">
      <c r="B27" s="44" t="inlineStr">
        <is>
          <t>★ Convention: Blue text = hardcoded inputs (change these)  |  Black text = formulas (auto-calculated)  |  Yellow background = input cells  |  Green = subtotals</t>
        </is>
      </c>
    </row>
    <row r="28" ht="15" customHeight="1" s="34">
      <c r="B28" s="54" t="inlineStr">
        <is>
          <t>© 2026 Acqlerate — Defense Acquisitions Academy  |  acqlerate.com</t>
        </is>
      </c>
    </row>
    <row r="29">
      <c r="B29" s="33" t="inlineStr">
        <is>
          <t>★ CMMC Compliance Costs (Emerging ODC/Pass-Through): CMMC Phase 1 self-assessments active Nov 10, 2025; Phase 2 C3PAO assessments mandatory by Nov 10, 2026. Budget $50K–$250K for C3PAO assessment fees and $25K–$100K/yr for continuous monitoring tools. Include as ODC pass-through or in G&amp;A pool per CAS/FAR 31.205 — coordinate with DCAA on cost allocation. (Source: CMMC Final Rule, 32 CFR Part 170, Oct 2024; FAC 2025-06)</t>
        </is>
      </c>
    </row>
  </sheetData>
  <mergeCells count="11">
    <mergeCell ref="D25:E25"/>
    <mergeCell ref="B23:E23"/>
    <mergeCell ref="B27:E27"/>
    <mergeCell ref="D24:E24"/>
    <mergeCell ref="B4:E4"/>
    <mergeCell ref="E2:F2"/>
    <mergeCell ref="B1:D1"/>
    <mergeCell ref="E1:F1"/>
    <mergeCell ref="B12:E12"/>
    <mergeCell ref="B28:E28"/>
    <mergeCell ref="B2:D2"/>
  </mergeCells>
  <printOptions horizontalCentered="0" verticalCentered="0" headings="0" gridLines="0" gridLinesSet="1"/>
  <pageMargins left="0.5" right="0.5" top="0.4" bottom="0.4"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H1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 customWidth="1" style="33" min="1" max="1"/>
    <col width="22" customWidth="1" style="33" min="2" max="2"/>
    <col width="13" customWidth="1" style="33" min="3" max="5"/>
    <col width="11" customWidth="1" style="33" min="6" max="6"/>
    <col width="14" customWidth="1" style="33" min="7" max="7"/>
    <col width="36" customWidth="1" style="33" min="8" max="8"/>
  </cols>
  <sheetData>
    <row r="1" ht="30" customHeight="1" s="34">
      <c r="A1" s="35" t="n"/>
      <c r="B1" s="36" t="inlineStr">
        <is>
          <t>Wrap Rate Comparison by Contractor Type</t>
        </is>
      </c>
      <c r="G1" s="37" t="inlineStr">
        <is>
          <t>ACQLERATE</t>
        </is>
      </c>
    </row>
    <row r="2" ht="15.75" customHeight="1" s="34">
      <c r="A2" s="35" t="n"/>
      <c r="B2" s="38" t="inlineStr">
        <is>
          <t>Typical rates across defense industry segments — Defense Acquisitions Academy</t>
        </is>
      </c>
    </row>
    <row r="3"/>
    <row r="4" ht="27.75" customHeight="1" s="34">
      <c r="B4" s="55" t="inlineStr">
        <is>
          <t>Contractor Type</t>
        </is>
      </c>
      <c r="C4" s="55" t="inlineStr">
        <is>
          <t>Typical Fringe</t>
        </is>
      </c>
      <c r="D4" s="55" t="inlineStr">
        <is>
          <t>Typical OH</t>
        </is>
      </c>
      <c r="E4" s="55" t="inlineStr">
        <is>
          <t>Typical G&amp;A</t>
        </is>
      </c>
      <c r="F4" s="55" t="inlineStr">
        <is>
          <t>Typical Fee</t>
        </is>
      </c>
      <c r="G4" s="55" t="inlineStr">
        <is>
          <t>Typical
Wrap Rate</t>
        </is>
      </c>
      <c r="H4" s="55" t="inlineStr">
        <is>
          <t>Notes</t>
        </is>
      </c>
    </row>
    <row r="5" ht="49.5" customHeight="1" s="34">
      <c r="B5" s="56" t="inlineStr">
        <is>
          <t>Large Prime
(LM, RTX, NGC, BA, GD)</t>
        </is>
      </c>
      <c r="C5" s="57" t="inlineStr">
        <is>
          <t>32-38%</t>
        </is>
      </c>
      <c r="D5" s="57" t="inlineStr">
        <is>
          <t>50-70%</t>
        </is>
      </c>
      <c r="E5" s="57" t="inlineStr">
        <is>
          <t>10-15%</t>
        </is>
      </c>
      <c r="F5" s="57" t="inlineStr">
        <is>
          <t>8-10%</t>
        </is>
      </c>
      <c r="G5" s="57" t="inlineStr">
        <is>
          <t>2.8x – 3.5x</t>
        </is>
      </c>
      <c r="H5" s="58" t="inlineStr">
        <is>
          <t>Highest overhead due to IRAD, facilities, compliance infrastructure. DCAA-audited rates. Competitive on large ACAT I/II programs.</t>
        </is>
      </c>
    </row>
    <row r="6" ht="49.5" customHeight="1" s="34">
      <c r="B6" s="59" t="inlineStr">
        <is>
          <t>Mid-Size Defense
(SAIC, Leidos, Booz Allen, CACI)</t>
        </is>
      </c>
      <c r="C6" s="60" t="inlineStr">
        <is>
          <t>28-35%</t>
        </is>
      </c>
      <c r="D6" s="60" t="inlineStr">
        <is>
          <t>40-55%</t>
        </is>
      </c>
      <c r="E6" s="60" t="inlineStr">
        <is>
          <t>10-14%</t>
        </is>
      </c>
      <c r="F6" s="60" t="inlineStr">
        <is>
          <t>7-10%</t>
        </is>
      </c>
      <c r="G6" s="60" t="inlineStr">
        <is>
          <t>2.3x – 2.9x</t>
        </is>
      </c>
      <c r="H6" s="61" t="inlineStr">
        <is>
          <t>Sweet spot for professional services. Lower OH than primes. Strong in A&amp;AS, SETA, IT contracts.</t>
        </is>
      </c>
    </row>
    <row r="7" ht="49.5" customHeight="1" s="34">
      <c r="B7" s="56" t="inlineStr">
        <is>
          <t>Small Business
(8(a), SDVOSB, HUBZone)</t>
        </is>
      </c>
      <c r="C7" s="57" t="inlineStr">
        <is>
          <t>22-30%</t>
        </is>
      </c>
      <c r="D7" s="57" t="inlineStr">
        <is>
          <t>30-45%</t>
        </is>
      </c>
      <c r="E7" s="57" t="inlineStr">
        <is>
          <t>8-15%</t>
        </is>
      </c>
      <c r="F7" s="57" t="inlineStr">
        <is>
          <t>8-15%</t>
        </is>
      </c>
      <c r="G7" s="57" t="inlineStr">
        <is>
          <t>1.9x – 2.5x</t>
        </is>
      </c>
      <c r="H7" s="58" t="inlineStr">
        <is>
          <t>Lower OH but potentially higher G&amp;A (smaller base). Fee can be higher on sole-source. May lack DCAA-approved rates initially.</t>
        </is>
      </c>
    </row>
    <row r="8" ht="49.5" customHeight="1" s="34">
      <c r="B8" s="59" t="inlineStr">
        <is>
          <t>Specialty / Niche
(Cleared professionals, cyber)</t>
        </is>
      </c>
      <c r="C8" s="60" t="inlineStr">
        <is>
          <t>30-38%</t>
        </is>
      </c>
      <c r="D8" s="60" t="inlineStr">
        <is>
          <t>45-65%</t>
        </is>
      </c>
      <c r="E8" s="60" t="inlineStr">
        <is>
          <t>10-16%</t>
        </is>
      </c>
      <c r="F8" s="60" t="inlineStr">
        <is>
          <t>8-12%</t>
        </is>
      </c>
      <c r="G8" s="60" t="inlineStr">
        <is>
          <t>2.5x – 3.2x</t>
        </is>
      </c>
      <c r="H8" s="61" t="inlineStr">
        <is>
          <t>High fringe due to cleared workforce retention. Premium for specialized skills. Cyber and SIGINT talent commands premium.</t>
        </is>
      </c>
    </row>
    <row r="9" ht="49.5" customHeight="1" s="34">
      <c r="B9" s="56" t="inlineStr">
        <is>
          <t>OCONUS / Deployed
(Overseas operations)</t>
        </is>
      </c>
      <c r="C9" s="57" t="inlineStr">
        <is>
          <t>35-45%</t>
        </is>
      </c>
      <c r="D9" s="57" t="inlineStr">
        <is>
          <t>55-80%</t>
        </is>
      </c>
      <c r="E9" s="57" t="inlineStr">
        <is>
          <t>12-18%</t>
        </is>
      </c>
      <c r="F9" s="57" t="inlineStr">
        <is>
          <t>8-12%</t>
        </is>
      </c>
      <c r="G9" s="57" t="inlineStr">
        <is>
          <t>3.0x – 4.0x</t>
        </is>
      </c>
      <c r="H9" s="58" t="inlineStr">
        <is>
          <t>Hazard/hardship differentials, LOGCAP support costs, security, housing, R&amp;R travel. OCONUS uplift can be 1.3-1.8x CONUS rates.</t>
        </is>
      </c>
    </row>
    <row r="10" ht="49.5" customHeight="1" s="34">
      <c r="B10" s="59" t="inlineStr">
        <is>
          <t>FFRDC / UARC
(MITRE, IDA, Lincoln Labs)</t>
        </is>
      </c>
      <c r="C10" s="60" t="inlineStr">
        <is>
          <t>35-40%</t>
        </is>
      </c>
      <c r="D10" s="60" t="inlineStr">
        <is>
          <t>55-75%</t>
        </is>
      </c>
      <c r="E10" s="60" t="inlineStr">
        <is>
          <t>12-16%</t>
        </is>
      </c>
      <c r="F10" s="60" t="inlineStr">
        <is>
          <t>0% (non-profit)</t>
        </is>
      </c>
      <c r="G10" s="60" t="inlineStr">
        <is>
          <t>2.4x – 3.0x</t>
        </is>
      </c>
      <c r="H10" s="61" t="inlineStr">
        <is>
          <t>No fee (non-profit). High OH reflects IRAD equivalent, facilities. Exempt from some cost principles. Sole-source authority.</t>
        </is>
      </c>
    </row>
    <row r="11"/>
    <row r="12" ht="24" customHeight="1" s="34">
      <c r="B12" s="62" t="inlineStr">
        <is>
          <t>NOTE: Rates vary significantly by region, contract vehicle, and cost accounting structure. Always verify against contractor's most recent FPRA/FPRR. DCAA Forward Pricing Rate Agreements are the gold standard.</t>
        </is>
      </c>
    </row>
    <row r="13" ht="15" customHeight="1" s="34">
      <c r="B13" s="54" t="inlineStr">
        <is>
          <t>© 2026 Acqlerate — Defense Acquisitions Academy  |  acqlerate.com</t>
        </is>
      </c>
    </row>
    <row r="14">
      <c r="B14" s="33" t="inlineStr">
        <is>
          <t>CMMC COMPLIANCE COSTS (Emerging ODC/Pass-Through, FAC 2025-06): Phase 1 self-assessment active Nov 10, 2025; Phase 2 C3PAO required by Nov 10, 2026. C3PAO assessment fees: $50K–$250K. Continuous monitoring tools: $25K–$100K/yr. Factor into overhead/G&amp;A or propose as direct ODC pass-through. Cleared professional and cyber contractors should already be planning for this cost.</t>
        </is>
      </c>
    </row>
  </sheetData>
  <mergeCells count="5">
    <mergeCell ref="B13:H13"/>
    <mergeCell ref="G1:H1"/>
    <mergeCell ref="B12:H12"/>
    <mergeCell ref="B2:H2"/>
    <mergeCell ref="B1:F1"/>
  </mergeCells>
  <printOptions horizontalCentered="0" verticalCentered="0" headings="0" gridLines="0" gridLinesSet="1"/>
  <pageMargins left="0.4" right="0.4" top="0.4" bottom="0.4" header="0.511811023622047" footer="0.511811023622047"/>
  <pageSetup orientation="landscape"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1"/>
  </sheetPr>
  <dimension ref="A1:D6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 customWidth="1" style="33" min="1" max="1"/>
    <col width="4" customWidth="1" style="33" min="2" max="2"/>
    <col width="80" customWidth="1" style="33" min="3" max="3"/>
    <col width="2" customWidth="1" style="33" min="4" max="4"/>
  </cols>
  <sheetData>
    <row r="1" ht="30" customHeight="1" s="34">
      <c r="A1" s="35" t="n"/>
      <c r="B1" s="36" t="inlineStr">
        <is>
          <t>Understanding Wrap Rates in Defense Contracting</t>
        </is>
      </c>
      <c r="D1" s="35" t="n"/>
    </row>
    <row r="2" ht="15.75" customHeight="1" s="34">
      <c r="A2" s="35" t="n"/>
      <c r="B2" s="38" t="inlineStr">
        <is>
          <t>Acqlerate — Defense Acquisitions Academy</t>
        </is>
      </c>
      <c r="D2" s="35" t="n"/>
    </row>
    <row r="3"/>
    <row r="4" ht="21.75" customHeight="1" s="34">
      <c r="B4" s="40" t="inlineStr">
        <is>
          <t>WHAT WRAP RATES ARE &amp; WHY THEY MATTER</t>
        </is>
      </c>
    </row>
    <row r="5" ht="27.75" customHeight="1" s="34">
      <c r="B5" s="63" t="inlineStr">
        <is>
          <t>A wrap rate (or burden rate/multiplier) is the total cost the government pays per hour of labor divided by the employee's base hourly wage. It captures all indirect costs, overhead, and profit layered on top of direct labor.</t>
        </is>
      </c>
    </row>
    <row r="6" ht="6" customHeight="1" s="34">
      <c r="B6" s="33" t="n"/>
    </row>
    <row r="7" ht="15.75" customHeight="1" s="34">
      <c r="B7" s="64" t="inlineStr">
        <is>
          <t>Why it matters to acquisition professionals:</t>
        </is>
      </c>
    </row>
    <row r="8" ht="15.75" customHeight="1" s="34">
      <c r="B8" s="63" t="inlineStr">
        <is>
          <t xml:space="preserve">  ▸ It determines the true cost of every labor hour on your contract</t>
        </is>
      </c>
    </row>
    <row r="9" ht="15.75" customHeight="1" s="34">
      <c r="B9" s="63" t="inlineStr">
        <is>
          <t xml:space="preserve">  ▸ A $65/hr engineer may cost the government $155-200/hr fully loaded</t>
        </is>
      </c>
    </row>
    <row r="10" ht="27.75" customHeight="1" s="34">
      <c r="B10" s="63" t="inlineStr">
        <is>
          <t xml:space="preserve">  ▸ Understanding wrap rates is essential for cost realism analysis in source selection</t>
        </is>
      </c>
    </row>
    <row r="11" ht="27.75" customHeight="1" s="34">
      <c r="B11" s="63" t="inlineStr">
        <is>
          <t xml:space="preserve">  ▸ Wrap rate differences between competitors explain most of the price spread in professional services</t>
        </is>
      </c>
    </row>
    <row r="12" ht="15.75" customHeight="1" s="34">
      <c r="B12" s="63" t="inlineStr">
        <is>
          <t xml:space="preserve">  ▸ Unrealistically low wrap rates signal an unrealistic proposal (buying in)</t>
        </is>
      </c>
    </row>
    <row r="13"/>
    <row r="14" ht="21.75" customHeight="1" s="34">
      <c r="B14" s="40" t="inlineStr">
        <is>
          <t>HOW DCAA VALIDATES RATES</t>
        </is>
      </c>
    </row>
    <row r="15" ht="15.75" customHeight="1" s="34">
      <c r="B15" s="64" t="inlineStr">
        <is>
          <t>The Defense Contract Audit Agency (DCAA) validates contractor indirect rates through several mechanisms:</t>
        </is>
      </c>
    </row>
    <row r="16" ht="6" customHeight="1" s="34">
      <c r="B16" s="33" t="n"/>
    </row>
    <row r="17" ht="27.75" customHeight="1" s="34">
      <c r="B17" s="63" t="inlineStr">
        <is>
          <t xml:space="preserve">  ▸ FPRA (Forward Pricing Rate Agreement) — A written agreement between the contractor and the government establishing billing rates for a future period. Gold standard — means rates are pre-negotiated and DCAA-approved.</t>
        </is>
      </c>
    </row>
    <row r="18" ht="27.75" customHeight="1" s="34">
      <c r="B18" s="63" t="inlineStr">
        <is>
          <t xml:space="preserve">  ▸ FPRR (Forward Pricing Rate Recommendation) — When no FPRA exists, DCAA issues a recommendation for rates to use in negotiations. Less authoritative than FPRA.</t>
        </is>
      </c>
    </row>
    <row r="19" ht="27.75" customHeight="1" s="34">
      <c r="B19" s="63" t="inlineStr">
        <is>
          <t xml:space="preserve">  ▸ Incurred Cost Audits — Annual audit of actual indirect rates vs. provisional billing rates. Determines final rates and any required adjustments.</t>
        </is>
      </c>
    </row>
    <row r="20" ht="27.75" customHeight="1" s="34">
      <c r="B20" s="63" t="inlineStr">
        <is>
          <t xml:space="preserve">  ▸ CAS Compliance — Cost Accounting Standards (CAS 401-420) require consistency in how costs are estimated, accumulated, and reported.</t>
        </is>
      </c>
    </row>
    <row r="21" ht="6" customHeight="1" s="34">
      <c r="B21" s="33" t="n"/>
    </row>
    <row r="22" ht="27.75" customHeight="1" s="34">
      <c r="B22" s="63" t="inlineStr">
        <is>
          <t>Key point: If a contractor does NOT have a DCAA-audited rate structure, require them to provide their rate buildup with supporting documentation. Provisional rates may apply.</t>
        </is>
      </c>
    </row>
    <row r="23"/>
    <row r="24" ht="21.75" customHeight="1" s="34">
      <c r="B24" s="40" t="inlineStr">
        <is>
          <t>WHAT 'UNCOMPETITIVE WRAP RATES' MEANS IN SOURCE SELECTION</t>
        </is>
      </c>
    </row>
    <row r="25" ht="15.75" customHeight="1" s="34">
      <c r="B25" s="64" t="inlineStr">
        <is>
          <t>During source selection, evaluators performing cost realism analysis should examine wrap rates to ensure:</t>
        </is>
      </c>
    </row>
    <row r="26" ht="6" customHeight="1" s="34">
      <c r="B26" s="33" t="n"/>
    </row>
    <row r="27" ht="15.75" customHeight="1" s="34">
      <c r="B27" s="63" t="inlineStr">
        <is>
          <t xml:space="preserve">  ▸ Rates are consistent with the contractor's FPRA/FPRR (if available)</t>
        </is>
      </c>
    </row>
    <row r="28" ht="15.75" customHeight="1" s="34">
      <c r="B28" s="63" t="inlineStr">
        <is>
          <t xml:space="preserve">  ▸ Rates are within industry norms for the contractor's size and type</t>
        </is>
      </c>
    </row>
    <row r="29" ht="15.75" customHeight="1" s="34">
      <c r="B29" s="63" t="inlineStr">
        <is>
          <t xml:space="preserve">  ▸ Rates adequately cover the contractor's real cost of doing business</t>
        </is>
      </c>
    </row>
    <row r="30" ht="27.75" customHeight="1" s="34">
      <c r="B30" s="63" t="inlineStr">
        <is>
          <t xml:space="preserve">  ▸ Unusually LOW rates may indicate buy-in pricing (contractor plans to raise rates later)</t>
        </is>
      </c>
    </row>
    <row r="31" ht="15.75" customHeight="1" s="34">
      <c r="B31" s="63" t="inlineStr">
        <is>
          <t xml:space="preserve">  ▸ Unusually HIGH rates may indicate over-staffing or inefficiency</t>
        </is>
      </c>
    </row>
    <row r="32" ht="6" customHeight="1" s="34">
      <c r="B32" s="33" t="n"/>
    </row>
    <row r="33" ht="15.75" customHeight="1" s="34">
      <c r="B33" s="64" t="inlineStr">
        <is>
          <t>Red flags in wrap rate analysis:</t>
        </is>
      </c>
    </row>
    <row r="34" ht="15.75" customHeight="1" s="34">
      <c r="B34" s="63" t="inlineStr">
        <is>
          <t xml:space="preserve">  ▸ Wrap rate &lt;1.8x for a mid-size contractor (likely unsustainable)</t>
        </is>
      </c>
    </row>
    <row r="35" ht="15.75" customHeight="1" s="34">
      <c r="B35" s="63" t="inlineStr">
        <is>
          <t xml:space="preserve">  ▸ Overhead rate declining year-over-year without explanation</t>
        </is>
      </c>
    </row>
    <row r="36" ht="27.75" customHeight="1" s="34">
      <c r="B36" s="63" t="inlineStr">
        <is>
          <t xml:space="preserve">  ▸ Fringe rate below 25% (may indicate inadequate employee benefits / high turnover risk)</t>
        </is>
      </c>
    </row>
    <row r="37" ht="15.75" customHeight="1" s="34">
      <c r="B37" s="63" t="inlineStr">
        <is>
          <t xml:space="preserve">  ▸ G&amp;A rate &gt;20% (indicates potential cost structure problems)</t>
        </is>
      </c>
    </row>
    <row r="38"/>
    <row r="39" ht="21.75" customHeight="1" s="34">
      <c r="B39" s="40" t="inlineStr">
        <is>
          <t>HOW TO CHECK IF A COMPETITOR'S PRICING IS OVER-LEVELED</t>
        </is>
      </c>
    </row>
    <row r="40" ht="15.75" customHeight="1" s="34">
      <c r="B40" s="64" t="inlineStr">
        <is>
          <t>Over-leveling occurs when a contractor proposes senior/expert labor for work that could be done by junior staff — a common pricing tactic:</t>
        </is>
      </c>
    </row>
    <row r="41" ht="6" customHeight="1" s="34">
      <c r="B41" s="33" t="n"/>
    </row>
    <row r="42" ht="15.75" customHeight="1" s="34">
      <c r="B42" s="63" t="inlineStr">
        <is>
          <t xml:space="preserve">  ▸ Compare proposed labor categories against the PWS/SOW task complexity</t>
        </is>
      </c>
    </row>
    <row r="43" ht="15.75" customHeight="1" s="34">
      <c r="B43" s="63" t="inlineStr">
        <is>
          <t xml:space="preserve">  ▸ Check if the proposed labor mix matches industry norms for similar work</t>
        </is>
      </c>
    </row>
    <row r="44" ht="15.75" customHeight="1" s="34">
      <c r="B44" s="63" t="inlineStr">
        <is>
          <t xml:space="preserve">  ▸ Verify years of experience claims are realistic for proposed categories</t>
        </is>
      </c>
    </row>
    <row r="45" ht="15.75" customHeight="1" s="34">
      <c r="B45" s="63" t="inlineStr">
        <is>
          <t xml:space="preserve">  ▸ Compare against GSA Schedule rates for equivalent labor categories</t>
        </is>
      </c>
    </row>
    <row r="46" ht="27.75" customHeight="1" s="34">
      <c r="B46" s="63" t="inlineStr">
        <is>
          <t xml:space="preserve">  ▸ Calculate effective hourly rates and compare against BLS data for the region</t>
        </is>
      </c>
    </row>
    <row r="47" ht="6" customHeight="1" s="34">
      <c r="B47" s="33" t="n"/>
    </row>
    <row r="48" ht="27.75" customHeight="1" s="34">
      <c r="B48" s="63" t="inlineStr">
        <is>
          <t>Tip: Request detailed labor category descriptions with minimum qualifications. Map each category to specific PWS tasks. If Level IV engineers are proposed for Level II work, that's over-leveling.</t>
        </is>
      </c>
    </row>
    <row r="49"/>
    <row r="50" ht="21.75" customHeight="1" s="34">
      <c r="B50" s="40" t="inlineStr">
        <is>
          <t>KEY REGULATORY REFERENCES</t>
        </is>
      </c>
    </row>
    <row r="51" ht="15.75" customHeight="1" s="34">
      <c r="B51" s="63" t="inlineStr">
        <is>
          <t xml:space="preserve">  ▸ FAR 31.201 — Composition of total cost (direct + indirect + fee)</t>
        </is>
      </c>
    </row>
    <row r="52" ht="15.75" customHeight="1" s="34">
      <c r="B52" s="63" t="inlineStr">
        <is>
          <t xml:space="preserve">  ▸ FAR 31.203 — Indirect costs — principles for allocating indirect costs</t>
        </is>
      </c>
    </row>
    <row r="53" ht="15.75" customHeight="1" s="34">
      <c r="B53" s="63" t="inlineStr">
        <is>
          <t xml:space="preserve">  ▸ FAR 31.205 — Selected costs — allowable vs. unallowable cost elements</t>
        </is>
      </c>
    </row>
    <row r="54" ht="15.75" customHeight="1" s="34">
      <c r="B54" s="63" t="inlineStr">
        <is>
          <t xml:space="preserve">  ▸ FAR 15.404-1(d) — Cost realism analysis requirements</t>
        </is>
      </c>
    </row>
    <row r="55" ht="15.75" customHeight="1" s="34">
      <c r="B55" s="63" t="inlineStr">
        <is>
          <t xml:space="preserve">  ▸ CAS 401 — Consistency in estimating, accumulating, and reporting costs</t>
        </is>
      </c>
    </row>
    <row r="56" ht="15.75" customHeight="1" s="34">
      <c r="B56" s="63" t="inlineStr">
        <is>
          <t xml:space="preserve">  ▸ CAS 402 — Consistency in allocating costs incurred for the same purpose</t>
        </is>
      </c>
    </row>
    <row r="57" ht="15.75" customHeight="1" s="34">
      <c r="B57" s="63" t="inlineStr">
        <is>
          <t xml:space="preserve">  ▸ CAS 410 — Allocation of business unit G&amp;A expenses</t>
        </is>
      </c>
    </row>
    <row r="58" ht="15.75" customHeight="1" s="34">
      <c r="B58" s="63" t="inlineStr">
        <is>
          <t xml:space="preserve">  ▸ CAS 418 — Allocation of direct and indirect costs</t>
        </is>
      </c>
    </row>
    <row r="59" ht="15.75" customHeight="1" s="34">
      <c r="B59" s="63" t="inlineStr">
        <is>
          <t xml:space="preserve">  ▸ DFARS 215.404-71 — Weighted Guidelines for profit/fee determination</t>
        </is>
      </c>
    </row>
    <row r="60" ht="27.75" customHeight="1" s="34">
      <c r="B60" s="63" t="inlineStr">
        <is>
          <t xml:space="preserve">  ▸ DCAM (DCAA Contract Audit Manual) — Chapter 6: Incurred Costs; Chapter 9: Forward Pricing</t>
        </is>
      </c>
    </row>
    <row r="61"/>
    <row r="62" ht="15" customHeight="1" s="34">
      <c r="B62" s="54" t="inlineStr">
        <is>
          <t>© 2026 Acqlerate — Defense Acquisitions Academy  |  acqlerate.com  |  For educational use — not legal or financial advice</t>
        </is>
      </c>
    </row>
  </sheetData>
  <mergeCells count="56">
    <mergeCell ref="B47:C47"/>
    <mergeCell ref="B62:C62"/>
    <mergeCell ref="B16:C16"/>
    <mergeCell ref="B54:C54"/>
    <mergeCell ref="B7:C7"/>
    <mergeCell ref="B25:C25"/>
    <mergeCell ref="B59:C59"/>
    <mergeCell ref="B46:C46"/>
    <mergeCell ref="B22:C22"/>
    <mergeCell ref="B31:C31"/>
    <mergeCell ref="B27:C27"/>
    <mergeCell ref="B56:C56"/>
    <mergeCell ref="B18:C18"/>
    <mergeCell ref="B43:C43"/>
    <mergeCell ref="B58:C58"/>
    <mergeCell ref="B39:C39"/>
    <mergeCell ref="B12:C12"/>
    <mergeCell ref="B52:C52"/>
    <mergeCell ref="B21:C21"/>
    <mergeCell ref="B2:C2"/>
    <mergeCell ref="B48:C48"/>
    <mergeCell ref="B11:C11"/>
    <mergeCell ref="B42:C42"/>
    <mergeCell ref="B14:C14"/>
    <mergeCell ref="B60:C60"/>
    <mergeCell ref="B17:C17"/>
    <mergeCell ref="B1:C1"/>
    <mergeCell ref="B8:C8"/>
    <mergeCell ref="B57:C57"/>
    <mergeCell ref="B53:C53"/>
    <mergeCell ref="B44:C44"/>
    <mergeCell ref="B29:C29"/>
    <mergeCell ref="B19:C19"/>
    <mergeCell ref="B34:C34"/>
    <mergeCell ref="B37:C37"/>
    <mergeCell ref="B10:C10"/>
    <mergeCell ref="B28:C28"/>
    <mergeCell ref="B40:C40"/>
    <mergeCell ref="B9:C9"/>
    <mergeCell ref="B55:C55"/>
    <mergeCell ref="B6:C6"/>
    <mergeCell ref="B24:C24"/>
    <mergeCell ref="B30:C30"/>
    <mergeCell ref="B15:C15"/>
    <mergeCell ref="B33:C33"/>
    <mergeCell ref="B5:C5"/>
    <mergeCell ref="B20:C20"/>
    <mergeCell ref="B51:C51"/>
    <mergeCell ref="B45:C45"/>
    <mergeCell ref="B36:C36"/>
    <mergeCell ref="B32:C32"/>
    <mergeCell ref="B50:C50"/>
    <mergeCell ref="B26:C26"/>
    <mergeCell ref="B41:C41"/>
    <mergeCell ref="B35:C35"/>
    <mergeCell ref="B4:C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2026-03-23T15:00:47Z</dcterms:created>
  <dcterms:modified xmlns:dcterms="http://purl.org/dc/terms/" xmlns:xsi="http://www.w3.org/2001/XMLSchema-instance" xsi:type="dcterms:W3CDTF">2026-09-14T15:48:06Z</dcterms:modified>
  <cp:revision>0</cp:revision>
</cp:coreProperties>
</file>